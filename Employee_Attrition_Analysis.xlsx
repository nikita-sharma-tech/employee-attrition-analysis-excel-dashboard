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kit\Downloads\"/>
    </mc:Choice>
  </mc:AlternateContent>
  <xr:revisionPtr revIDLastSave="0" documentId="8_{8D1E28F5-EFCC-4DAD-8F01-3F1EC7B109AF}" xr6:coauthVersionLast="47" xr6:coauthVersionMax="47" xr10:uidLastSave="{00000000-0000-0000-0000-000000000000}"/>
  <bookViews>
    <workbookView xWindow="-110" yWindow="-110" windowWidth="19420" windowHeight="10300" activeTab="1" xr2:uid="{060C25A5-4903-49BC-9DFB-F1A1018303F6}"/>
  </bookViews>
  <sheets>
    <sheet name="Age Group Attribution" sheetId="2" r:id="rId1"/>
    <sheet name="Dashboard" sheetId="3" r:id="rId2"/>
    <sheet name="Income Group Attribution" sheetId="4" r:id="rId3"/>
    <sheet name="Male Vs Female" sheetId="5" r:id="rId4"/>
    <sheet name="Monthly Income vs Job Level" sheetId="7" r:id="rId5"/>
    <sheet name="Job Satisfaction &amp; Performance " sheetId="9" r:id="rId6"/>
    <sheet name="Job Role " sheetId="10" r:id="rId7"/>
    <sheet name="HR-Employee-Attrition" sheetId="1" r:id="rId8"/>
  </sheets>
  <definedNames>
    <definedName name="_xlnm._FilterDatabase" localSheetId="7" hidden="1">'HR-Employee-Attrition'!$A$1:$U$1471</definedName>
    <definedName name="Slicer_Age_Group">#N/A</definedName>
    <definedName name="Slicer_Gender">#N/A</definedName>
    <definedName name="Slicer_Income_Group">#N/A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c r="M183" i="1" a="1"/>
  <c r="M183" i="1" s="1"/>
  <c r="M184" i="1" a="1"/>
  <c r="M184" i="1" s="1"/>
  <c r="M185" i="1" a="1"/>
  <c r="M185" i="1" s="1"/>
  <c r="M186" i="1" a="1"/>
  <c r="M186" i="1" s="1"/>
  <c r="M187" i="1" a="1"/>
  <c r="M187" i="1" s="1"/>
  <c r="M188" i="1" a="1"/>
  <c r="M188" i="1" s="1"/>
  <c r="M189" i="1" a="1"/>
  <c r="M189" i="1" s="1"/>
  <c r="M190" i="1" a="1"/>
  <c r="M190" i="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c r="M213" i="1" a="1"/>
  <c r="M213" i="1" s="1"/>
  <c r="M214" i="1" a="1"/>
  <c r="M214" i="1"/>
  <c r="M215" i="1" a="1"/>
  <c r="M215" i="1" s="1"/>
  <c r="M216" i="1" a="1"/>
  <c r="M216" i="1" s="1"/>
  <c r="M217" i="1" a="1"/>
  <c r="M217" i="1" s="1"/>
  <c r="M218" i="1" a="1"/>
  <c r="M218" i="1"/>
  <c r="M219" i="1" a="1"/>
  <c r="M219" i="1" s="1"/>
  <c r="M220" i="1" a="1"/>
  <c r="M220" i="1"/>
  <c r="M221" i="1" a="1"/>
  <c r="M221" i="1" s="1"/>
  <c r="M222" i="1" a="1"/>
  <c r="M222" i="1" s="1"/>
  <c r="M223" i="1" a="1"/>
  <c r="M223" i="1" s="1"/>
  <c r="M224" i="1" a="1"/>
  <c r="M224" i="1" s="1"/>
  <c r="M225" i="1" a="1"/>
  <c r="M225" i="1" s="1"/>
  <c r="M226" i="1" a="1"/>
  <c r="M226" i="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2" i="1" a="1"/>
  <c r="M2"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2" i="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<sst xmlns="http://schemas.openxmlformats.org/spreadsheetml/2006/main" count="7404" uniqueCount="50">
  <si>
    <t>Age</t>
  </si>
  <si>
    <t>Attrition</t>
  </si>
  <si>
    <t>Department</t>
  </si>
  <si>
    <t>EnvironmentSatisfaction</t>
  </si>
  <si>
    <t>Gender</t>
  </si>
  <si>
    <t>JobInvolvement</t>
  </si>
  <si>
    <t>JobLevel</t>
  </si>
  <si>
    <t>JobRole</t>
  </si>
  <si>
    <t>JobSatisfaction</t>
  </si>
  <si>
    <t>MonthlyIncome</t>
  </si>
  <si>
    <t>OverTime</t>
  </si>
  <si>
    <t>PercentSalaryHike</t>
  </si>
  <si>
    <t>PerformanceRating</t>
  </si>
  <si>
    <t>RelationshipSatisfaction</t>
  </si>
  <si>
    <t>TotalWorkingYears</t>
  </si>
  <si>
    <t>WorkLifeBalance</t>
  </si>
  <si>
    <t>YearsAtCompany</t>
  </si>
  <si>
    <t>YearsInCurrentRole</t>
  </si>
  <si>
    <t>Yes</t>
  </si>
  <si>
    <t>Sales</t>
  </si>
  <si>
    <t>Female</t>
  </si>
  <si>
    <t>Sales Executive</t>
  </si>
  <si>
    <t>No</t>
  </si>
  <si>
    <t>Research &amp; Development</t>
  </si>
  <si>
    <t>Male</t>
  </si>
  <si>
    <t>Research Scientist</t>
  </si>
  <si>
    <t>Laboratory Technician</t>
  </si>
  <si>
    <t>Manufacturing Director</t>
  </si>
  <si>
    <t>Healthcare Representative</t>
  </si>
  <si>
    <t>Manager</t>
  </si>
  <si>
    <t>Sales Representative</t>
  </si>
  <si>
    <t>Research Director</t>
  </si>
  <si>
    <t>Human Resources</t>
  </si>
  <si>
    <t>Age Group</t>
  </si>
  <si>
    <t>Attrition Value</t>
  </si>
  <si>
    <t>Income Group</t>
  </si>
  <si>
    <t>Sum of Attrition Value</t>
  </si>
  <si>
    <t>Row Labels</t>
  </si>
  <si>
    <t>Adult</t>
  </si>
  <si>
    <t>Senior</t>
  </si>
  <si>
    <t>Teenager</t>
  </si>
  <si>
    <t>High</t>
  </si>
  <si>
    <t>Low</t>
  </si>
  <si>
    <t>Medium</t>
  </si>
  <si>
    <t>Sum of MonthlyIncome</t>
  </si>
  <si>
    <t>Sum of PerformanceRating</t>
  </si>
  <si>
    <t>Employee Attrition Analysis</t>
  </si>
  <si>
    <t>.</t>
  </si>
  <si>
    <t>INSIGHTS</t>
  </si>
  <si>
    <t>Our analysis shows that employee attrition risk is highest among low-income, early-career, and high-workload roles. Improving compensation growth, job satisfaction, career progression, and work-life balance will significantly reduce attrition and improve overall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</si>
</sst>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4" tint="-0.249977111117893"/>
      <name val="Calibri"/>
      <family val="2"/>
      <scheme val="minor"/>
    </font>
    <font>
      <b/>
      <sz val="18"/>
      <color theme="7"/>
      <name val="Times New Roman"/>
      <family val="1"/>
    </font>
    <font>
      <sz val="11"/>
      <color theme="8" tint="-0.499984740745262"/>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bgColor indexed="64"/>
      </patternFill>
    </fill>
    <fill>
      <patternFill patternType="solid">
        <fgColor theme="4"/>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33" borderId="0" xfId="0" applyFill="1"/>
    <xf numFmtId="0" fontId="0" fillId="34" borderId="0" xfId="0" applyFill="1" applyAlignment="1">
      <alignment horizontal="center"/>
    </xf>
    <xf numFmtId="0" fontId="18" fillId="34" borderId="0" xfId="0" applyFont="1" applyFill="1" applyAlignment="1">
      <alignment horizontal="center"/>
    </xf>
    <xf numFmtId="0" fontId="19" fillId="35" borderId="0" xfId="0" applyFont="1" applyFill="1" applyAlignment="1">
      <alignment horizontal="center"/>
    </xf>
    <xf numFmtId="0" fontId="0" fillId="35" borderId="0" xfId="0" applyFill="1" applyAlignment="1">
      <alignment horizontal="center"/>
    </xf>
    <xf numFmtId="0" fontId="20" fillId="36" borderId="0" xfId="0" applyFont="1" applyFill="1" applyAlignment="1">
      <alignment horizontal="center" wrapText="1"/>
    </xf>
    <xf numFmtId="0" fontId="0" fillId="36" borderId="0" xfId="0"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[Employee_Attrition_Analysis.xlsx]Age Group Attribution!PivotTable1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Age</a:t>
            </a:r>
            <a:r>
              <a:rPr lang="en-US" b="1" baseline="0">
                <a:solidFill>
                  <a:schemeClr val="tx1">
                    <a:lumMod val="95000"/>
                    <a:lumOff val="5000"/>
                  </a:schemeClr>
                </a:solidFill>
              </a:rPr>
              <a:t> Groups Attribution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Attribution'!$B$3</c:f>
              <c:strCache>
                <c:ptCount val="1"/>
                <c:pt idx="0">
                  <c:v>Total</c:v>
                </c:pt>
              </c:strCache>
            </c:strRef>
          </c:tx>
          <c:spPr>
            <a:solidFill>
              <a:srgbClr val="FFC000"/>
            </a:solidFill>
            <a:ln>
              <a:noFill/>
            </a:ln>
            <a:effectLst/>
          </c:spPr>
          <c:invertIfNegative val="0"/>
          <c:cat>
            <c:strRef>
              <c:f>'Age Group Attribution'!$A$4:$A$6</c:f>
              <c:strCache>
                <c:ptCount val="3"/>
                <c:pt idx="0">
                  <c:v>Adult</c:v>
                </c:pt>
                <c:pt idx="1">
                  <c:v>Senior</c:v>
                </c:pt>
                <c:pt idx="2">
                  <c:v>Teenager</c:v>
                </c:pt>
              </c:strCache>
            </c:strRef>
          </c:cat>
          <c:val>
            <c:numRef>
              <c:f>'Age Group Attribution'!$B$4:$B$6</c:f>
              <c:numCache>
                <c:formatCode>General</c:formatCode>
                <c:ptCount val="3"/>
                <c:pt idx="0">
                  <c:v>85</c:v>
                </c:pt>
                <c:pt idx="1">
                  <c:v>52</c:v>
                </c:pt>
                <c:pt idx="2">
                  <c:v>100</c:v>
                </c:pt>
              </c:numCache>
            </c:numRef>
          </c:val>
          <c:extLst>
            <c:ext xmlns:c16="http://schemas.microsoft.com/office/drawing/2014/chart" uri="{C3380CC4-5D6E-409C-BE32-E72D297353CC}">
              <c16:uniqueId val="{00000000-8C56-47D3-AAF2-BA39F546A594}"/>
            </c:ext>
          </c:extLst>
        </c:ser>
        <c:dLbls>
          <c:showLegendKey val="0"/>
          <c:showVal val="0"/>
          <c:showCatName val="0"/>
          <c:showSerName val="0"/>
          <c:showPercent val="0"/>
          <c:showBubbleSize val="0"/>
        </c:dLbls>
        <c:gapWidth val="219"/>
        <c:overlap val="-27"/>
        <c:axId val="78378464"/>
        <c:axId val="78380384"/>
      </c:barChart>
      <c:catAx>
        <c:axId val="78378464"/>
        <c:scaling>
          <c:orientation val="minMax"/>
        </c:scaling>
        <c:delete val="0"/>
        <c:axPos val="b"/>
        <c:numFmt formatCode="General" sourceLinked="1"/>
        <c:majorTickMark val="none"/>
        <c:minorTickMark val="none"/>
        <c:tickLblPos val="nextTo"/>
        <c:spPr>
          <a:solidFill>
            <a:schemeClr val="bg1">
              <a:alpha val="2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0384"/>
        <c:crosses val="autoZero"/>
        <c:auto val="1"/>
        <c:lblAlgn val="ctr"/>
        <c:lblOffset val="100"/>
        <c:noMultiLvlLbl val="0"/>
      </c:catAx>
      <c:valAx>
        <c:axId val="7838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[Employee_Attrition_Analysis.xlsx]Age Group Attribution!PivotTable1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Age</a:t>
            </a:r>
            <a:r>
              <a:rPr lang="en-US" b="1" baseline="0">
                <a:solidFill>
                  <a:schemeClr val="tx1">
                    <a:lumMod val="95000"/>
                    <a:lumOff val="5000"/>
                  </a:schemeClr>
                </a:solidFill>
              </a:rPr>
              <a:t> Groups Attribution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Attribution'!$B$3</c:f>
              <c:strCache>
                <c:ptCount val="1"/>
                <c:pt idx="0">
                  <c:v>Total</c:v>
                </c:pt>
              </c:strCache>
            </c:strRef>
          </c:tx>
          <c:spPr>
            <a:solidFill>
              <a:srgbClr val="FFC000"/>
            </a:solidFill>
            <a:ln>
              <a:noFill/>
            </a:ln>
            <a:effectLst/>
          </c:spPr>
          <c:invertIfNegative val="0"/>
          <c:cat>
            <c:strRef>
              <c:f>'Age Group Attribution'!$A$4:$A$6</c:f>
              <c:strCache>
                <c:ptCount val="3"/>
                <c:pt idx="0">
                  <c:v>Adult</c:v>
                </c:pt>
                <c:pt idx="1">
                  <c:v>Senior</c:v>
                </c:pt>
                <c:pt idx="2">
                  <c:v>Teenager</c:v>
                </c:pt>
              </c:strCache>
            </c:strRef>
          </c:cat>
          <c:val>
            <c:numRef>
              <c:f>'Age Group Attribution'!$B$4:$B$6</c:f>
              <c:numCache>
                <c:formatCode>General</c:formatCode>
                <c:ptCount val="3"/>
                <c:pt idx="0">
                  <c:v>85</c:v>
                </c:pt>
                <c:pt idx="1">
                  <c:v>52</c:v>
                </c:pt>
                <c:pt idx="2">
                  <c:v>100</c:v>
                </c:pt>
              </c:numCache>
            </c:numRef>
          </c:val>
          <c:extLst>
            <c:ext xmlns:c16="http://schemas.microsoft.com/office/drawing/2014/chart" uri="{C3380CC4-5D6E-409C-BE32-E72D297353CC}">
              <c16:uniqueId val="{00000000-49AD-4118-8C57-2B5AD8B1F5CC}"/>
            </c:ext>
          </c:extLst>
        </c:ser>
        <c:dLbls>
          <c:showLegendKey val="0"/>
          <c:showVal val="0"/>
          <c:showCatName val="0"/>
          <c:showSerName val="0"/>
          <c:showPercent val="0"/>
          <c:showBubbleSize val="0"/>
        </c:dLbls>
        <c:gapWidth val="219"/>
        <c:overlap val="-27"/>
        <c:axId val="78378464"/>
        <c:axId val="78380384"/>
      </c:barChart>
      <c:catAx>
        <c:axId val="78378464"/>
        <c:scaling>
          <c:orientation val="minMax"/>
        </c:scaling>
        <c:delete val="0"/>
        <c:axPos val="b"/>
        <c:numFmt formatCode="General" sourceLinked="1"/>
        <c:majorTickMark val="none"/>
        <c:minorTickMark val="none"/>
        <c:tickLblPos val="nextTo"/>
        <c:spPr>
          <a:solidFill>
            <a:schemeClr val="bg1">
              <a:alpha val="2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80384"/>
        <c:crosses val="autoZero"/>
        <c:auto val="1"/>
        <c:lblAlgn val="ctr"/>
        <c:lblOffset val="100"/>
        <c:noMultiLvlLbl val="0"/>
      </c:catAx>
      <c:valAx>
        <c:axId val="7838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[Employee_Attrition_Analysis.xlsx]Income Group Attribution!PivotTable2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Income</a:t>
            </a:r>
            <a:r>
              <a:rPr lang="en-US" b="1" baseline="0">
                <a:solidFill>
                  <a:schemeClr val="tx1"/>
                </a:solidFill>
              </a:rPr>
              <a:t>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rgbClr val="92D050"/>
          </a:solidFill>
          <a:ln w="19050">
            <a:solidFill>
              <a:schemeClr val="lt1"/>
            </a:solidFill>
          </a:ln>
          <a:effectLst/>
        </c:spPr>
      </c:pivotFmt>
    </c:pivotFmts>
    <c:plotArea>
      <c:layout/>
      <c:pieChart>
        <c:varyColors val="1"/>
        <c:ser>
          <c:idx val="0"/>
          <c:order val="0"/>
          <c:tx>
            <c:strRef>
              <c:f>'Income Group Attribution'!$B$3</c:f>
              <c:strCache>
                <c:ptCount val="1"/>
                <c:pt idx="0">
                  <c:v>Total</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1-6743-4F4F-9BA5-8941CB7C373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6743-4F4F-9BA5-8941CB7C373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6743-4F4F-9BA5-8941CB7C373A}"/>
              </c:ext>
            </c:extLst>
          </c:dPt>
          <c:cat>
            <c:strRef>
              <c:f>'Income Group Attribution'!$A$4:$A$6</c:f>
              <c:strCache>
                <c:ptCount val="3"/>
                <c:pt idx="0">
                  <c:v>High</c:v>
                </c:pt>
                <c:pt idx="1">
                  <c:v>Low</c:v>
                </c:pt>
                <c:pt idx="2">
                  <c:v>Medium</c:v>
                </c:pt>
              </c:strCache>
            </c:strRef>
          </c:cat>
          <c:val>
            <c:numRef>
              <c:f>'Income Group Attribution'!$B$4:$B$6</c:f>
              <c:numCache>
                <c:formatCode>General</c:formatCode>
                <c:ptCount val="3"/>
                <c:pt idx="0">
                  <c:v>5</c:v>
                </c:pt>
                <c:pt idx="1">
                  <c:v>190</c:v>
                </c:pt>
                <c:pt idx="2">
                  <c:v>42</c:v>
                </c:pt>
              </c:numCache>
            </c:numRef>
          </c:val>
          <c:extLst>
            <c:ext xmlns:c16="http://schemas.microsoft.com/office/drawing/2014/chart" uri="{C3380CC4-5D6E-409C-BE32-E72D297353CC}">
              <c16:uniqueId val="{00000006-6743-4F4F-9BA5-8941CB7C373A}"/>
            </c:ext>
          </c:extLst>
        </c:ser>
        <c:dLbls>
          <c:showLegendKey val="0"/>
          <c:showVal val="0"/>
          <c:showCatName val="0"/>
          <c:showSerName val="0"/>
          <c:showPercent val="0"/>
          <c:showBubbleSize val="0"/>
          <c:showLeaderLines val="1"/>
        </c:dLbls>
        <c:firstSliceAng val="156"/>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[Employee_Attrition_Analysis.xlsx]Male Vs Female!PivotTable3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Male</a:t>
            </a:r>
            <a:r>
              <a:rPr lang="en-US" b="1" baseline="0"/>
              <a:t> Vs Female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accent1"/>
            </a:solidFill>
          </a:ln>
          <a:effectLst/>
        </c:spPr>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FFC000"/>
          </a:solidFill>
          <a:ln w="19050">
            <a:solidFill>
              <a:schemeClr val="lt1"/>
            </a:solidFill>
          </a:ln>
          <a:effectLst/>
        </c:spPr>
        <c:dLbl>
          <c:idx val="0"/>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w="19050">
            <a:solidFill>
              <a:schemeClr val="accent1"/>
            </a:solidFill>
          </a:ln>
          <a:effectLst/>
        </c:spPr>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FFC000"/>
          </a:solidFill>
          <a:ln w="19050">
            <a:solidFill>
              <a:schemeClr val="lt1"/>
            </a:solidFill>
          </a:ln>
          <a:effectLst/>
        </c:spPr>
        <c:dLbl>
          <c:idx val="0"/>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accent1"/>
            </a:solidFill>
          </a:ln>
          <a:effectLst/>
        </c:spPr>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FFC000"/>
          </a:solidFill>
          <a:ln w="19050">
            <a:solidFill>
              <a:schemeClr val="lt1"/>
            </a:solidFill>
          </a:ln>
          <a:effectLst/>
        </c:spPr>
        <c:dLbl>
          <c:idx val="0"/>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'Male Vs Female'!$B$3</c:f>
              <c:strCache>
                <c:ptCount val="1"/>
                <c:pt idx="0">
                  <c:v>Total</c:v>
                </c:pt>
              </c:strCache>
            </c:strRef>
          </c:tx>
          <c:spPr>
            <a:solidFill>
              <a:srgbClr val="FFC000"/>
            </a:solidFill>
          </c:spPr>
          <c:dPt>
            <c:idx val="0"/>
            <c:bubble3D val="0"/>
            <c:spPr>
              <a:solidFill>
                <a:srgbClr val="0070C0"/>
              </a:solidFill>
              <a:ln w="19050">
                <a:solidFill>
                  <a:schemeClr val="accent1"/>
                </a:solidFill>
              </a:ln>
              <a:effectLst/>
            </c:spPr>
            <c:extLst>
              <c:ext xmlns:c16="http://schemas.microsoft.com/office/drawing/2014/chart" uri="{C3380CC4-5D6E-409C-BE32-E72D297353CC}">
                <c16:uniqueId val="{00000001-171D-4FD4-A9C3-53976561252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71D-4FD4-A9C3-53976561252F}"/>
              </c:ext>
            </c:extLst>
          </c:dPt>
          <c:dLbls>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71D-4FD4-A9C3-53976561252F}"/>
                </c:ext>
              </c:extLst>
            </c:dLbl>
            <c:dLbl>
              <c:idx val="1"/>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171D-4FD4-A9C3-5397656125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'Male Vs Female'!$A$4:$A$5</c:f>
              <c:strCache>
                <c:ptCount val="2"/>
                <c:pt idx="0">
                  <c:v>Female</c:v>
                </c:pt>
                <c:pt idx="1">
                  <c:v>Male</c:v>
                </c:pt>
              </c:strCache>
            </c:strRef>
          </c:cat>
          <c:val>
            <c:numRef>
              <c:f>'Male Vs Female'!$B$4:$B$5</c:f>
              <c:numCache>
                <c:formatCode>General</c:formatCode>
                <c:ptCount val="2"/>
                <c:pt idx="0">
                  <c:v>87</c:v>
                </c:pt>
                <c:pt idx="1">
                  <c:v>150</c:v>
                </c:pt>
              </c:numCache>
            </c:numRef>
          </c:val>
          <c:extLst>
            <c:ext xmlns:c16="http://schemas.microsoft.com/office/drawing/2014/chart" uri="{C3380CC4-5D6E-409C-BE32-E72D297353CC}">
              <c16:uniqueId val="{00000004-171D-4FD4-A9C3-53976561252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74348792356011684"/>
          <c:y val="9.800853018372703E-2"/>
          <c:w val="0.24075059718658764"/>
          <c:h val="0.191756556746196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[Employee_Attrition_Analysis.xlsx]Monthly Income vs Job Level!PivotTable2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Income Vs Job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Income vs Job Level'!$B$3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 vs Job Level'!$A$4:$A$8</c:f>
              <c:strCache>
                <c:ptCount val="5"/>
                <c:pt idx="0">
                  <c:v>1</c:v>
                </c:pt>
                <c:pt idx="1">
                  <c:v>2</c:v>
                </c:pt>
                <c:pt idx="2">
                  <c:v>3</c:v>
                </c:pt>
                <c:pt idx="3">
                  <c:v>4</c:v>
                </c:pt>
                <c:pt idx="4">
                  <c:v>5</c:v>
                </c:pt>
              </c:strCache>
            </c:strRef>
          </c:cat>
          <c:val>
            <c:numRef>
              <c:f>'Monthly Income vs Job Level'!$B$4:$B$8</c:f>
              <c:numCache>
                <c:formatCode>General</c:formatCode>
                <c:ptCount val="5"/>
                <c:pt idx="0">
                  <c:v>1513295</c:v>
                </c:pt>
                <c:pt idx="1">
                  <c:v>2938216</c:v>
                </c:pt>
                <c:pt idx="2">
                  <c:v>2140161</c:v>
                </c:pt>
                <c:pt idx="3">
                  <c:v>1643401</c:v>
                </c:pt>
                <c:pt idx="4">
                  <c:v>1324236</c:v>
                </c:pt>
              </c:numCache>
            </c:numRef>
          </c:val>
          <c:extLst>
            <c:ext xmlns:c16="http://schemas.microsoft.com/office/drawing/2014/chart" uri="{C3380CC4-5D6E-409C-BE32-E72D297353CC}">
              <c16:uniqueId val="{00000000-237A-4E49-859C-16CAE9D693A0}"/>
            </c:ext>
          </c:extLst>
        </c:ser>
        <c:dLbls>
          <c:dLblPos val="outEnd"/>
          <c:showLegendKey val="0"/>
          <c:showVal val="1"/>
          <c:showCatName val="0"/>
          <c:showSerName val="0"/>
          <c:showPercent val="0"/>
          <c:showBubbleSize val="0"/>
        </c:dLbls>
        <c:gapWidth val="219"/>
        <c:overlap val="-27"/>
        <c:axId val="1399077392"/>
        <c:axId val="1399075952"/>
      </c:barChart>
      <c:catAx>
        <c:axId val="139907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75952"/>
        <c:crosses val="autoZero"/>
        <c:auto val="1"/>
        <c:lblAlgn val="ctr"/>
        <c:lblOffset val="100"/>
        <c:noMultiLvlLbl val="0"/>
      </c:catAx>
      <c:valAx>
        <c:axId val="1399075952"/>
        <c:scaling>
          <c:orientation val="minMax"/>
        </c:scaling>
        <c:delete val="0"/>
        <c:axPos val="l"/>
        <c:numFmt formatCode="0,,.&quot;M&quot;" sourceLinked="0"/>
        <c:majorTickMark val="none"/>
        <c:minorTickMark val="none"/>
        <c:tickLblPos val="nextTo"/>
        <c:spPr>
          <a:noFill/>
          <a:ln cap="rnd">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77392"/>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[Employee_Attrition_Analysis.xlsx]Job Satisfaction &amp; Performance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Job</a:t>
            </a:r>
            <a:r>
              <a:rPr lang="en-US" sz="1400" b="1" baseline="0"/>
              <a:t> Satisfaction &amp; Performance Rating</a:t>
            </a:r>
            <a:endParaRPr lang="en-US" sz="1400" b="1"/>
          </a:p>
        </c:rich>
      </c:tx>
      <c:layout>
        <c:manualLayout>
          <c:xMode val="edge"/>
          <c:yMode val="edge"/>
          <c:x val="0.12235528942115768"/>
          <c:y val="4.0345821325648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Satisfaction &amp; Performance '!$B$3</c:f>
              <c:strCache>
                <c:ptCount val="1"/>
                <c:pt idx="0">
                  <c:v>Total</c:v>
                </c:pt>
              </c:strCache>
            </c:strRef>
          </c:tx>
          <c:spPr>
            <a:ln w="28575" cap="rnd">
              <a:solidFill>
                <a:srgbClr val="FFC000"/>
              </a:solidFill>
              <a:round/>
            </a:ln>
            <a:effectLst/>
          </c:spPr>
          <c:marker>
            <c:symbol val="none"/>
          </c:marker>
          <c:dLbls>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70C0"/>
                </a:solidFill>
                <a:prstDash val="sysDot"/>
              </a:ln>
              <a:effectLst/>
            </c:spPr>
            <c:trendlineType val="linear"/>
            <c:dispRSqr val="0"/>
            <c:dispEq val="0"/>
          </c:trendline>
          <c:cat>
            <c:strRef>
              <c:f>'Job Satisfaction &amp; Performance '!$A$4:$A$7</c:f>
              <c:strCache>
                <c:ptCount val="4"/>
                <c:pt idx="0">
                  <c:v>1</c:v>
                </c:pt>
                <c:pt idx="1">
                  <c:v>2</c:v>
                </c:pt>
                <c:pt idx="2">
                  <c:v>3</c:v>
                </c:pt>
                <c:pt idx="3">
                  <c:v>4</c:v>
                </c:pt>
              </c:strCache>
            </c:strRef>
          </c:cat>
          <c:val>
            <c:numRef>
              <c:f>'Job Satisfaction &amp; Performance '!$B$4:$B$7</c:f>
              <c:numCache>
                <c:formatCode>General</c:formatCode>
                <c:ptCount val="4"/>
                <c:pt idx="0">
                  <c:v>915</c:v>
                </c:pt>
                <c:pt idx="1">
                  <c:v>883</c:v>
                </c:pt>
                <c:pt idx="2">
                  <c:v>1382</c:v>
                </c:pt>
                <c:pt idx="3">
                  <c:v>1456</c:v>
                </c:pt>
              </c:numCache>
            </c:numRef>
          </c:val>
          <c:smooth val="0"/>
          <c:extLst>
            <c:ext xmlns:c16="http://schemas.microsoft.com/office/drawing/2014/chart" uri="{C3380CC4-5D6E-409C-BE32-E72D297353CC}">
              <c16:uniqueId val="{00000001-78D0-4A22-85F3-74464E49D58E}"/>
            </c:ext>
          </c:extLst>
        </c:ser>
        <c:dLbls>
          <c:dLblPos val="t"/>
          <c:showLegendKey val="0"/>
          <c:showVal val="1"/>
          <c:showCatName val="0"/>
          <c:showSerName val="0"/>
          <c:showPercent val="0"/>
          <c:showBubbleSize val="0"/>
        </c:dLbls>
        <c:smooth val="0"/>
        <c:axId val="1761215728"/>
        <c:axId val="1761214768"/>
      </c:lineChart>
      <c:catAx>
        <c:axId val="17612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14768"/>
        <c:crosses val="autoZero"/>
        <c:auto val="1"/>
        <c:lblAlgn val="ctr"/>
        <c:lblOffset val="100"/>
        <c:noMultiLvlLbl val="0"/>
      </c:catAx>
      <c:valAx>
        <c:axId val="1761214768"/>
        <c:scaling>
          <c:orientation val="minMax"/>
        </c:scaling>
        <c:delete val="0"/>
        <c:axPos val="l"/>
        <c:numFmt formatCode="General" sourceLinked="1"/>
        <c:majorTickMark val="none"/>
        <c:minorTickMark val="none"/>
        <c:tickLblPos val="nextTo"/>
        <c:spPr>
          <a:noFill/>
          <a:ln>
            <a:solidFill>
              <a:schemeClr val="bg1">
                <a:alpha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15728"/>
        <c:crosses val="autoZero"/>
        <c:crossBetween val="between"/>
      </c:valAx>
      <c:spPr>
        <a:noFill/>
        <a:ln cmpd="dbl">
          <a:solidFill>
            <a:schemeClr val="bg1"/>
          </a:solidFill>
        </a:ln>
        <a:effectLst/>
      </c:spPr>
    </c:plotArea>
    <c:legend>
      <c:legendPos val="r"/>
      <c:layout>
        <c:manualLayout>
          <c:xMode val="edge"/>
          <c:yMode val="edge"/>
          <c:x val="0.69150738988252913"/>
          <c:y val="0.4647986501687289"/>
          <c:w val="0.28529075396897896"/>
          <c:h val="0.3171455568053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[Employee_Attrition_Analysis.xlsx]Job Role !PivotTable5</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Job</a:t>
            </a:r>
            <a:r>
              <a:rPr lang="en-US" b="1" baseline="0">
                <a:solidFill>
                  <a:schemeClr val="tx1"/>
                </a:solidFill>
              </a:rPr>
              <a:t> Role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'!$A$4:$A$12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'!$B$4:$B$12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A787-4706-9CBA-87CD13F76993}"/>
            </c:ext>
          </c:extLst>
        </c:ser>
        <c:dLbls>
          <c:dLblPos val="outEnd"/>
          <c:showLegendKey val="0"/>
          <c:showVal val="1"/>
          <c:showCatName val="0"/>
          <c:showSerName val="0"/>
          <c:showPercent val="0"/>
          <c:showBubbleSize val="0"/>
        </c:dLbls>
        <c:gapWidth val="100"/>
        <c:axId val="1761212848"/>
        <c:axId val="1761218128"/>
      </c:barChart>
      <c:catAx>
        <c:axId val="17612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218128"/>
        <c:crosses val="autoZero"/>
        <c:auto val="1"/>
        <c:lblAlgn val="ctr"/>
        <c:lblOffset val="100"/>
        <c:noMultiLvlLbl val="0"/>
      </c:catAx>
      <c:valAx>
        <c:axId val="17612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21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[Employee_Attrition_Analysis.xlsx]Income Group Attribution!PivotTable2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Income</a:t>
            </a:r>
            <a:r>
              <a:rPr lang="en-US" b="1" baseline="0">
                <a:solidFill>
                  <a:schemeClr val="tx1"/>
                </a:solidFill>
              </a:rPr>
              <a:t>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'Income Group Attribution'!$B$3</c:f>
              <c:strCache>
                <c:ptCount val="1"/>
                <c:pt idx="0">
                  <c:v>Total</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3-70EA-4741-B93E-10751B752FF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4-70EA-4741-B93E-10751B752FF4}"/>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2-70EA-4741-B93E-10751B752FF4}"/>
              </c:ext>
            </c:extLst>
          </c:dPt>
          <c:cat>
            <c:strRef>
              <c:f>'Income Group Attribution'!$A$4:$A$6</c:f>
              <c:strCache>
                <c:ptCount val="3"/>
                <c:pt idx="0">
                  <c:v>High</c:v>
                </c:pt>
                <c:pt idx="1">
                  <c:v>Low</c:v>
                </c:pt>
                <c:pt idx="2">
                  <c:v>Medium</c:v>
                </c:pt>
              </c:strCache>
            </c:strRef>
          </c:cat>
          <c:val>
            <c:numRef>
              <c:f>'Income Group Attribution'!$B$4:$B$6</c:f>
              <c:numCache>
                <c:formatCode>General</c:formatCode>
                <c:ptCount val="3"/>
                <c:pt idx="0">
                  <c:v>5</c:v>
                </c:pt>
                <c:pt idx="1">
                  <c:v>190</c:v>
                </c:pt>
                <c:pt idx="2">
                  <c:v>42</c:v>
                </c:pt>
              </c:numCache>
            </c:numRef>
          </c:val>
          <c:extLst>
            <c:ext xmlns:c16="http://schemas.microsoft.com/office/drawing/2014/chart" uri="{C3380CC4-5D6E-409C-BE32-E72D297353CC}">
              <c16:uniqueId val="{00000000-70EA-4741-B93E-10751B752FF4}"/>
            </c:ext>
          </c:extLst>
        </c:ser>
        <c:dLbls>
          <c:showLegendKey val="0"/>
          <c:showVal val="0"/>
          <c:showCatName val="0"/>
          <c:showSerName val="0"/>
          <c:showPercent val="0"/>
          <c:showBubbleSize val="0"/>
          <c:showLeaderLines val="1"/>
        </c:dLbls>
        <c:firstSliceAng val="156"/>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[Employee_Attrition_Analysis.xlsx]Male Vs Female!PivotTable3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Male</a:t>
            </a:r>
            <a:r>
              <a:rPr lang="en-US" b="1" baseline="0"/>
              <a:t> Vs Female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accent1"/>
            </a:solidFill>
          </a:ln>
          <a:effectLst/>
        </c:spPr>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FFC000"/>
          </a:solidFill>
          <a:ln w="19050">
            <a:solidFill>
              <a:schemeClr val="lt1"/>
            </a:solidFill>
          </a:ln>
          <a:effectLst/>
        </c:spPr>
        <c:dLbl>
          <c:idx val="0"/>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'Male Vs Female'!$B$3</c:f>
              <c:strCache>
                <c:ptCount val="1"/>
                <c:pt idx="0">
                  <c:v>Total</c:v>
                </c:pt>
              </c:strCache>
            </c:strRef>
          </c:tx>
          <c:spPr>
            <a:solidFill>
              <a:srgbClr val="FFC000"/>
            </a:solidFill>
          </c:spPr>
          <c:dPt>
            <c:idx val="0"/>
            <c:bubble3D val="0"/>
            <c:spPr>
              <a:solidFill>
                <a:srgbClr val="0070C0"/>
              </a:solidFill>
              <a:ln w="19050">
                <a:solidFill>
                  <a:schemeClr val="accent1"/>
                </a:solidFill>
              </a:ln>
              <a:effectLst/>
            </c:spPr>
            <c:extLst>
              <c:ext xmlns:c16="http://schemas.microsoft.com/office/drawing/2014/chart" uri="{C3380CC4-5D6E-409C-BE32-E72D297353CC}">
                <c16:uniqueId val="{00000002-DC43-420F-9F69-F8F5313B2A7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C43-420F-9F69-F8F5313B2A70}"/>
              </c:ext>
            </c:extLst>
          </c:dPt>
          <c:dLbls>
            <c:dLbl>
              <c:idx val="0"/>
              <c:layout>
                <c:manualLayout>
                  <c:x val="-0.1805555555555555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187A4A2-DAEE-4132-ACD9-10F8599259ED}" type="PERCENTAGE">
                      <a:rPr lang="en-US" sz="1100" b="1" baseline="0">
                        <a:solidFill>
                          <a:schemeClr val="tx1"/>
                        </a:solidFill>
                      </a:rPr>
                      <a:pPr>
                        <a:defRPr/>
                      </a:pPr>
                      <a:t>[PERCENTAGE]</a:t>
                    </a:fld>
                    <a:endParaRPr lang="en-US" baseline="0"/>
                  </a:p>
                </c:rich>
              </c:tx>
              <c:spPr>
                <a:solidFill>
                  <a:srgbClr val="0070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DC43-420F-9F69-F8F5313B2A70}"/>
                </c:ext>
              </c:extLst>
            </c:dLbl>
            <c:dLbl>
              <c:idx val="1"/>
              <c:layout>
                <c:manualLayout>
                  <c:x val="0.12777777777777777"/>
                  <c:y val="-9.7222222222222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7CB82696-6302-490C-83B6-A407DA7A33BB}" type="PERCENTAGE">
                      <a:rPr lang="en-US" sz="1200" b="1" baseline="0">
                        <a:solidFill>
                          <a:schemeClr val="tx1"/>
                        </a:solidFill>
                      </a:rPr>
                      <a:pPr>
                        <a:defRPr/>
                      </a:pPr>
                      <a:t>[PERCENTAGE]</a:t>
                    </a:fld>
                    <a:endParaRPr lang="en-US" baseline="0"/>
                  </a:p>
                </c:rich>
              </c:tx>
              <c:spPr>
                <a:solidFill>
                  <a:srgbClr val="FFC93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DC43-420F-9F69-F8F5313B2A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'Male Vs Female'!$A$4:$A$5</c:f>
              <c:strCache>
                <c:ptCount val="2"/>
                <c:pt idx="0">
                  <c:v>Female</c:v>
                </c:pt>
                <c:pt idx="1">
                  <c:v>Male</c:v>
                </c:pt>
              </c:strCache>
            </c:strRef>
          </c:cat>
          <c:val>
            <c:numRef>
              <c:f>'Male Vs Female'!$B$4:$B$5</c:f>
              <c:numCache>
                <c:formatCode>General</c:formatCode>
                <c:ptCount val="2"/>
                <c:pt idx="0">
                  <c:v>87</c:v>
                </c:pt>
                <c:pt idx="1">
                  <c:v>150</c:v>
                </c:pt>
              </c:numCache>
            </c:numRef>
          </c:val>
          <c:extLst>
            <c:ext xmlns:c16="http://schemas.microsoft.com/office/drawing/2014/chart" uri="{C3380CC4-5D6E-409C-BE32-E72D297353CC}">
              <c16:uniqueId val="{00000000-DC43-420F-9F69-F8F5313B2A70}"/>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79292607174103236"/>
          <c:y val="9.800853018372703E-2"/>
          <c:w val="0.15985170603674539"/>
          <c:h val="0.2118066491688538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[Employee_Attrition_Analysis.xlsx]Monthly Income vs Job Level!PivotTable2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Income Vs Job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barChart>
        <c:barDir val="col"/>
        <c:grouping val="clustered"/>
        <c:varyColors val="0"/>
        <c:ser>
          <c:idx val="0"/>
          <c:order val="0"/>
          <c:tx>
            <c:strRef>
              <c:f>'Monthly Income vs Job Level'!$B$3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 vs Job Level'!$A$4:$A$8</c:f>
              <c:strCache>
                <c:ptCount val="5"/>
                <c:pt idx="0">
                  <c:v>1</c:v>
                </c:pt>
                <c:pt idx="1">
                  <c:v>2</c:v>
                </c:pt>
                <c:pt idx="2">
                  <c:v>3</c:v>
                </c:pt>
                <c:pt idx="3">
                  <c:v>4</c:v>
                </c:pt>
                <c:pt idx="4">
                  <c:v>5</c:v>
                </c:pt>
              </c:strCache>
            </c:strRef>
          </c:cat>
          <c:val>
            <c:numRef>
              <c:f>'Monthly Income vs Job Level'!$B$4:$B$8</c:f>
              <c:numCache>
                <c:formatCode>General</c:formatCode>
                <c:ptCount val="5"/>
                <c:pt idx="0">
                  <c:v>1513295</c:v>
                </c:pt>
                <c:pt idx="1">
                  <c:v>2938216</c:v>
                </c:pt>
                <c:pt idx="2">
                  <c:v>2140161</c:v>
                </c:pt>
                <c:pt idx="3">
                  <c:v>1643401</c:v>
                </c:pt>
                <c:pt idx="4">
                  <c:v>1324236</c:v>
                </c:pt>
              </c:numCache>
            </c:numRef>
          </c:val>
          <c:extLst>
            <c:ext xmlns:c16="http://schemas.microsoft.com/office/drawing/2014/chart" uri="{C3380CC4-5D6E-409C-BE32-E72D297353CC}">
              <c16:uniqueId val="{00000000-3B38-4485-9CBD-B32A2E1F213D}"/>
            </c:ext>
          </c:extLst>
        </c:ser>
        <c:dLbls>
          <c:dLblPos val="outEnd"/>
          <c:showLegendKey val="0"/>
          <c:showVal val="1"/>
          <c:showCatName val="0"/>
          <c:showSerName val="0"/>
          <c:showPercent val="0"/>
          <c:showBubbleSize val="0"/>
        </c:dLbls>
        <c:gapWidth val="219"/>
        <c:overlap val="-27"/>
        <c:axId val="1399077392"/>
        <c:axId val="1399075952"/>
      </c:barChart>
      <c:catAx>
        <c:axId val="139907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75952"/>
        <c:crosses val="autoZero"/>
        <c:auto val="1"/>
        <c:lblAlgn val="ctr"/>
        <c:lblOffset val="100"/>
        <c:noMultiLvlLbl val="0"/>
      </c:catAx>
      <c:valAx>
        <c:axId val="1399075952"/>
        <c:scaling>
          <c:orientation val="minMax"/>
        </c:scaling>
        <c:delete val="0"/>
        <c:axPos val="l"/>
        <c:numFmt formatCode="0,,.&quot;M&quot;" sourceLinked="0"/>
        <c:majorTickMark val="none"/>
        <c:minorTickMark val="none"/>
        <c:tickLblPos val="nextTo"/>
        <c:spPr>
          <a:noFill/>
          <a:ln cap="rnd">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77392"/>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[Employee_Attrition_Analysis.xlsx]Job Satisfaction &amp; Performance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Job</a:t>
            </a:r>
            <a:r>
              <a:rPr lang="en-US" sz="1400" b="1" baseline="0"/>
              <a:t> Satisfaction &amp; Performance Rating</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C000"/>
            </a:solidFill>
            <a:round/>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Satisfaction &amp; Performance '!$B$3</c:f>
              <c:strCache>
                <c:ptCount val="1"/>
                <c:pt idx="0">
                  <c:v>Total</c:v>
                </c:pt>
              </c:strCache>
            </c:strRef>
          </c:tx>
          <c:spPr>
            <a:ln w="28575" cap="rnd">
              <a:solidFill>
                <a:srgbClr val="FFC000"/>
              </a:solidFill>
              <a:round/>
            </a:ln>
            <a:effectLst/>
          </c:spPr>
          <c:marker>
            <c:symbol val="none"/>
          </c:marker>
          <c:dLbls>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70C0"/>
                </a:solidFill>
                <a:prstDash val="sysDot"/>
              </a:ln>
              <a:effectLst/>
            </c:spPr>
            <c:trendlineType val="linear"/>
            <c:dispRSqr val="0"/>
            <c:dispEq val="0"/>
          </c:trendline>
          <c:cat>
            <c:strRef>
              <c:f>'Job Satisfaction &amp; Performance '!$A$4:$A$7</c:f>
              <c:strCache>
                <c:ptCount val="4"/>
                <c:pt idx="0">
                  <c:v>1</c:v>
                </c:pt>
                <c:pt idx="1">
                  <c:v>2</c:v>
                </c:pt>
                <c:pt idx="2">
                  <c:v>3</c:v>
                </c:pt>
                <c:pt idx="3">
                  <c:v>4</c:v>
                </c:pt>
              </c:strCache>
            </c:strRef>
          </c:cat>
          <c:val>
            <c:numRef>
              <c:f>'Job Satisfaction &amp; Performance '!$B$4:$B$7</c:f>
              <c:numCache>
                <c:formatCode>General</c:formatCode>
                <c:ptCount val="4"/>
                <c:pt idx="0">
                  <c:v>915</c:v>
                </c:pt>
                <c:pt idx="1">
                  <c:v>883</c:v>
                </c:pt>
                <c:pt idx="2">
                  <c:v>1382</c:v>
                </c:pt>
                <c:pt idx="3">
                  <c:v>1456</c:v>
                </c:pt>
              </c:numCache>
            </c:numRef>
          </c:val>
          <c:smooth val="0"/>
          <c:extLst>
            <c:ext xmlns:c16="http://schemas.microsoft.com/office/drawing/2014/chart" uri="{C3380CC4-5D6E-409C-BE32-E72D297353CC}">
              <c16:uniqueId val="{00000000-1053-4545-BC08-95C7F38A0E08}"/>
            </c:ext>
          </c:extLst>
        </c:ser>
        <c:dLbls>
          <c:dLblPos val="t"/>
          <c:showLegendKey val="0"/>
          <c:showVal val="1"/>
          <c:showCatName val="0"/>
          <c:showSerName val="0"/>
          <c:showPercent val="0"/>
          <c:showBubbleSize val="0"/>
        </c:dLbls>
        <c:smooth val="0"/>
        <c:axId val="1761215728"/>
        <c:axId val="1761214768"/>
      </c:lineChart>
      <c:catAx>
        <c:axId val="17612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14768"/>
        <c:crosses val="autoZero"/>
        <c:auto val="1"/>
        <c:lblAlgn val="ctr"/>
        <c:lblOffset val="100"/>
        <c:noMultiLvlLbl val="0"/>
      </c:catAx>
      <c:valAx>
        <c:axId val="1761214768"/>
        <c:scaling>
          <c:orientation val="minMax"/>
        </c:scaling>
        <c:delete val="0"/>
        <c:axPos val="l"/>
        <c:numFmt formatCode="General" sourceLinked="1"/>
        <c:majorTickMark val="none"/>
        <c:minorTickMark val="none"/>
        <c:tickLblPos val="nextTo"/>
        <c:spPr>
          <a:noFill/>
          <a:ln>
            <a:solidFill>
              <a:schemeClr val="bg1">
                <a:alpha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15728"/>
        <c:crosses val="autoZero"/>
        <c:crossBetween val="between"/>
      </c:valAx>
      <c:spPr>
        <a:noFill/>
        <a:ln cmpd="dbl">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[Employee_Attrition_Analysis.xlsx]Job Role !PivotTable5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Job</a:t>
            </a:r>
            <a:r>
              <a:rPr lang="en-US" b="1" baseline="0">
                <a:solidFill>
                  <a:schemeClr val="tx1"/>
                </a:solidFill>
              </a:rPr>
              <a:t> Role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FFC000"/>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'!$A$4:$A$12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'!$B$4:$B$12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C87B-4D4A-B217-07A1B62700C6}"/>
            </c:ext>
          </c:extLst>
        </c:ser>
        <c:dLbls>
          <c:dLblPos val="outEnd"/>
          <c:showLegendKey val="0"/>
          <c:showVal val="1"/>
          <c:showCatName val="0"/>
          <c:showSerName val="0"/>
          <c:showPercent val="0"/>
          <c:showBubbleSize val="0"/>
        </c:dLbls>
        <c:gapWidth val="100"/>
        <c:axId val="1761212848"/>
        <c:axId val="1761218128"/>
      </c:barChart>
      <c:catAx>
        <c:axId val="17612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218128"/>
        <c:crosses val="autoZero"/>
        <c:auto val="1"/>
        <c:lblAlgn val="ctr"/>
        <c:lblOffset val="100"/>
        <c:noMultiLvlLbl val="0"/>
      </c:catAx>
      <c:valAx>
        <c:axId val="17612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21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603250</xdr:colOff>
      <xdr:row>1</xdr:row>
      <xdr:rowOff>60325</xdr:rowOff>
    </xdr:from>
    <xdr:to>
      <xdr:col>10</xdr:col>
      <xdr:colOff>298450</xdr:colOff>
      <xdr:row>16</xdr:row>
      <xdr:rowOff>41275</xdr:rowOff>
    </xdr:to>
    <xdr:graphicFrame macro="">
      <xdr:nvGraphicFramePr>
        <xdr:cNvPr id="2" name="Chart 1">
          <a:extLst>
            <a:ext uri="{FF2B5EF4-FFF2-40B4-BE49-F238E27FC236}">
              <a16:creationId xmlns:a16="http://schemas.microsoft.com/office/drawing/2014/main" id="{922BAB2D-D86F-7682-4A01-86A3EFD97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139917</xdr:colOff>
      <xdr:row>13</xdr:row>
      <xdr:rowOff>46486</xdr:rowOff>
    </xdr:from>
    <xdr:to>
      <xdr:col>13</xdr:col>
      <xdr:colOff>512885</xdr:colOff>
      <xdr:row>25</xdr:row>
      <xdr:rowOff>19675</xdr:rowOff>
    </xdr:to>
    <xdr:graphicFrame macro="">
      <xdr:nvGraphicFramePr>
        <xdr:cNvPr id="2" name="Chart 1">
          <a:extLst>
            <a:ext uri="{FF2B5EF4-FFF2-40B4-BE49-F238E27FC236}">
              <a16:creationId xmlns:a16="http://schemas.microsoft.com/office/drawing/2014/main" id="{2FB91CAE-7093-45DA-AFC2-8CEDD45F3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36309</xdr:colOff>
      <xdr:row>2</xdr:row>
      <xdr:rowOff>21818</xdr:rowOff>
    </xdr:from>
    <xdr:to>
      <xdr:col>4</xdr:col>
      <xdr:colOff>322059</xdr:colOff>
      <xdr:row>13</xdr:row>
      <xdr:rowOff>0</xdr:rowOff>
    </xdr:to>
    <xdr:graphicFrame macro="">
      <xdr:nvGraphicFramePr>
        <xdr:cNvPr id="3" name="Chart 2">
          <a:extLst>
            <a:ext uri="{FF2B5EF4-FFF2-40B4-BE49-F238E27FC236}">
              <a16:creationId xmlns:a16="http://schemas.microsoft.com/office/drawing/2014/main" id="{AB38E363-CBEB-4D1E-91FE-1D7B73BE4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140596</xdr:colOff>
      <xdr:row>2</xdr:row>
      <xdr:rowOff>37367</xdr:rowOff>
    </xdr:from>
    <xdr:to>
      <xdr:col>13</xdr:col>
      <xdr:colOff>496195</xdr:colOff>
      <xdr:row>13</xdr:row>
      <xdr:rowOff>8141</xdr:rowOff>
    </xdr:to>
    <xdr:graphicFrame macro="">
      <xdr:nvGraphicFramePr>
        <xdr:cNvPr id="4" name="Chart 3">
          <a:extLst>
            <a:ext uri="{FF2B5EF4-FFF2-40B4-BE49-F238E27FC236}">
              <a16:creationId xmlns:a16="http://schemas.microsoft.com/office/drawing/2014/main" id="{A423E0FA-5018-46F1-9F33-093DD0772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365695</xdr:colOff>
      <xdr:row>2</xdr:row>
      <xdr:rowOff>41683</xdr:rowOff>
    </xdr:from>
    <xdr:to>
      <xdr:col>9</xdr:col>
      <xdr:colOff>92645</xdr:colOff>
      <xdr:row>12</xdr:row>
      <xdr:rowOff>179102</xdr:rowOff>
    </xdr:to>
    <xdr:graphicFrame macro="">
      <xdr:nvGraphicFramePr>
        <xdr:cNvPr id="5" name="Chart 4">
          <a:extLst>
            <a:ext uri="{FF2B5EF4-FFF2-40B4-BE49-F238E27FC236}">
              <a16:creationId xmlns:a16="http://schemas.microsoft.com/office/drawing/2014/main" id="{1CE4DE5C-7BEB-43A9-99D6-2F32F7656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26377</xdr:colOff>
      <xdr:row>13</xdr:row>
      <xdr:rowOff>48846</xdr:rowOff>
    </xdr:from>
    <xdr:to>
      <xdr:col>4</xdr:col>
      <xdr:colOff>324827</xdr:colOff>
      <xdr:row>25</xdr:row>
      <xdr:rowOff>29905</xdr:rowOff>
    </xdr:to>
    <xdr:graphicFrame macro="">
      <xdr:nvGraphicFramePr>
        <xdr:cNvPr id="6" name="Chart 5">
          <a:extLst>
            <a:ext uri="{FF2B5EF4-FFF2-40B4-BE49-F238E27FC236}">
              <a16:creationId xmlns:a16="http://schemas.microsoft.com/office/drawing/2014/main" id="{DD1C5668-63BE-476E-A6DA-BC83ADF5E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368922</xdr:colOff>
      <xdr:row>13</xdr:row>
      <xdr:rowOff>48656</xdr:rowOff>
    </xdr:from>
    <xdr:to>
      <xdr:col>9</xdr:col>
      <xdr:colOff>90229</xdr:colOff>
      <xdr:row>25</xdr:row>
      <xdr:rowOff>80054</xdr:rowOff>
    </xdr:to>
    <xdr:graphicFrame macro="">
      <xdr:nvGraphicFramePr>
        <xdr:cNvPr id="7" name="Chart 6">
          <a:extLst>
            <a:ext uri="{FF2B5EF4-FFF2-40B4-BE49-F238E27FC236}">
              <a16:creationId xmlns:a16="http://schemas.microsoft.com/office/drawing/2014/main" id="{B04080C3-DD9D-48ED-B947-D8B74E902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550902</xdr:colOff>
      <xdr:row>17</xdr:row>
      <xdr:rowOff>75743</xdr:rowOff>
    </xdr:from>
    <xdr:to>
      <xdr:col>17</xdr:col>
      <xdr:colOff>8141</xdr:colOff>
      <xdr:row>24</xdr:row>
      <xdr:rowOff>179104</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BC1DFB10-57F2-277D-4F37-CE6922B50F9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488402" y="3258884"/>
              <a:ext cx="1899547" cy="141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544345</xdr:colOff>
      <xdr:row>10</xdr:row>
      <xdr:rowOff>32695</xdr:rowOff>
    </xdr:from>
    <xdr:to>
      <xdr:col>17</xdr:col>
      <xdr:colOff>1100</xdr:colOff>
      <xdr:row>16</xdr:row>
      <xdr:rowOff>146539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E10AFC45-9D42-D806-84AE-8B220AE236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81845" y="1905131"/>
              <a:ext cx="1899063" cy="1237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529167</xdr:colOff>
      <xdr:row>2</xdr:row>
      <xdr:rowOff>60734</xdr:rowOff>
    </xdr:from>
    <xdr:to>
      <xdr:col>16</xdr:col>
      <xdr:colOff>586373</xdr:colOff>
      <xdr:row>9</xdr:row>
      <xdr:rowOff>122116</xdr:rowOff>
    </xdr:to>
    <mc:AlternateContent xmlns:mc="http://schemas.openxmlformats.org/markup-compatibility/2006">
      <mc:Choice xmlns:a14="http://schemas.microsoft.com/office/drawing/2010/main" Requires="a14">
        <xdr:graphicFrame macro="">
          <xdr:nvGraphicFramePr>
            <xdr:cNvPr id="10" name="Income Group">
              <a:extLst>
                <a:ext uri="{FF2B5EF4-FFF2-40B4-BE49-F238E27FC236}">
                  <a16:creationId xmlns:a16="http://schemas.microsoft.com/office/drawing/2014/main" id="{469DFF73-AD5C-D5BF-687D-D035CB213DE3}"/>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8466667" y="435221"/>
              <a:ext cx="1888937" cy="137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330200</xdr:colOff>
      <xdr:row>2</xdr:row>
      <xdr:rowOff>111125</xdr:rowOff>
    </xdr:from>
    <xdr:to>
      <xdr:col>10</xdr:col>
      <xdr:colOff>25400</xdr:colOff>
      <xdr:row>17</xdr:row>
      <xdr:rowOff>92075</xdr:rowOff>
    </xdr:to>
    <xdr:graphicFrame macro="">
      <xdr:nvGraphicFramePr>
        <xdr:cNvPr id="2" name="Chart 1">
          <a:extLst>
            <a:ext uri="{FF2B5EF4-FFF2-40B4-BE49-F238E27FC236}">
              <a16:creationId xmlns:a16="http://schemas.microsoft.com/office/drawing/2014/main" id="{20FB49F8-76BA-1B2B-86AA-0A912BF0C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425450</xdr:colOff>
      <xdr:row>1</xdr:row>
      <xdr:rowOff>60325</xdr:rowOff>
    </xdr:from>
    <xdr:to>
      <xdr:col>10</xdr:col>
      <xdr:colOff>120650</xdr:colOff>
      <xdr:row>16</xdr:row>
      <xdr:rowOff>41275</xdr:rowOff>
    </xdr:to>
    <xdr:graphicFrame macro="">
      <xdr:nvGraphicFramePr>
        <xdr:cNvPr id="2" name="Chart 1">
          <a:extLst>
            <a:ext uri="{FF2B5EF4-FFF2-40B4-BE49-F238E27FC236}">
              <a16:creationId xmlns:a16="http://schemas.microsoft.com/office/drawing/2014/main" id="{55F2A2B8-20A5-B81D-CB31-FFF2DFCB0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0</xdr:row>
      <xdr:rowOff>47625</xdr:rowOff>
    </xdr:from>
    <xdr:to>
      <xdr:col>10</xdr:col>
      <xdr:colOff>342900</xdr:colOff>
      <xdr:row>15</xdr:row>
      <xdr:rowOff>28575</xdr:rowOff>
    </xdr:to>
    <xdr:graphicFrame macro="">
      <xdr:nvGraphicFramePr>
        <xdr:cNvPr id="2" name="Chart 1">
          <a:extLst>
            <a:ext uri="{FF2B5EF4-FFF2-40B4-BE49-F238E27FC236}">
              <a16:creationId xmlns:a16="http://schemas.microsoft.com/office/drawing/2014/main" id="{B414A8A6-8791-47AB-050A-89059A1F3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590550</xdr:colOff>
      <xdr:row>2</xdr:row>
      <xdr:rowOff>41275</xdr:rowOff>
    </xdr:from>
    <xdr:to>
      <xdr:col>10</xdr:col>
      <xdr:colOff>285750</xdr:colOff>
      <xdr:row>17</xdr:row>
      <xdr:rowOff>22225</xdr:rowOff>
    </xdr:to>
    <xdr:graphicFrame macro="">
      <xdr:nvGraphicFramePr>
        <xdr:cNvPr id="2" name="Chart 1">
          <a:extLst>
            <a:ext uri="{FF2B5EF4-FFF2-40B4-BE49-F238E27FC236}">
              <a16:creationId xmlns:a16="http://schemas.microsoft.com/office/drawing/2014/main" id="{B67FDA09-5CF8-3FC4-B3C8-5CEDE26BE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1314450</xdr:colOff>
      <xdr:row>2</xdr:row>
      <xdr:rowOff>85725</xdr:rowOff>
    </xdr:from>
    <xdr:to>
      <xdr:col>9</xdr:col>
      <xdr:colOff>247650</xdr:colOff>
      <xdr:row>17</xdr:row>
      <xdr:rowOff>66675</xdr:rowOff>
    </xdr:to>
    <xdr:graphicFrame macro="">
      <xdr:nvGraphicFramePr>
        <xdr:cNvPr id="2" name="Chart 1">
          <a:extLst>
            <a:ext uri="{FF2B5EF4-FFF2-40B4-BE49-F238E27FC236}">
              <a16:creationId xmlns:a16="http://schemas.microsoft.com/office/drawing/2014/main" id="{5779F1ED-D2BB-51DC-5AE7-C0790E70B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sharmaearthling@hotmail.com" refreshedDate="46066.709507638887" createdVersion="8" refreshedVersion="8" minRefreshableVersion="3" recordCount="1470" xr:uid="{7F55ADA4-81D9-424F-A2B8-C6B2B7F5FFCB}">
  <cacheSource type="worksheet">
    <worksheetSource name="Table1"/>
  </cacheSource>
  <cacheFields count="21">
    <cacheField name="Age" numFmtId="0">
      <sharedItems containsSemiMixedTypes="0" containsString="0" containsNumber="1" containsInteger="1" minValue="18" maxValue="60"/>
    </cacheField>
    <cacheField name="Age Group" numFmtId="0">
      <sharedItems count="3">
        <s v="Senior"/>
        <s v="Adult"/>
        <s v="Teenager"/>
      </sharedItems>
    </cacheField>
    <cacheField name="Attrition" numFmtId="0">
      <sharedItems count="2">
        <s v="Yes"/>
        <s v="No"/>
      </sharedItems>
    </cacheField>
    <cacheField name="Attrition Value" numFmtId="0">
      <sharedItems containsSemiMixedTypes="0" containsString="0" containsNumber="1" containsInteger="1" minValue="0" maxValue="1"/>
    </cacheField>
    <cacheField name="Department"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onthlyIncome" numFmtId="0">
      <sharedItems containsSemiMixedTypes="0" containsString="0" containsNumber="1" containsInteger="1" minValue="1009" maxValue="19999"/>
    </cacheField>
    <cacheField name="Income Group" numFmtId="0">
      <sharedItems count="3">
        <s v="Low"/>
        <s v="Medium"/>
        <s v="High"/>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s>
  <extLst>
    <ext xmlns:x14="http://schemas.microsoft.com/office/spreadsheetml/2009/9/main" uri="{725AE2AE-9491-48be-B2B4-4EB974FC3084}">
      <x14:pivotCacheDefinition pivotCacheId="135634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s v="Sales"/>
    <n v="2"/>
    <x v="0"/>
    <n v="3"/>
    <x v="0"/>
    <x v="0"/>
    <x v="0"/>
    <n v="5993"/>
    <x v="0"/>
    <s v="Yes"/>
    <n v="11"/>
    <n v="3"/>
    <n v="1"/>
    <n v="8"/>
    <n v="1"/>
    <n v="6"/>
    <n v="4"/>
  </r>
  <r>
    <n v="49"/>
    <x v="0"/>
    <x v="1"/>
    <n v="0"/>
    <s v="Research &amp; Development"/>
    <n v="3"/>
    <x v="1"/>
    <n v="2"/>
    <x v="0"/>
    <x v="1"/>
    <x v="1"/>
    <n v="5130"/>
    <x v="0"/>
    <s v="No"/>
    <n v="23"/>
    <n v="4"/>
    <n v="4"/>
    <n v="10"/>
    <n v="3"/>
    <n v="10"/>
    <n v="7"/>
  </r>
  <r>
    <n v="37"/>
    <x v="1"/>
    <x v="0"/>
    <n v="1"/>
    <s v="Research &amp; Development"/>
    <n v="4"/>
    <x v="1"/>
    <n v="2"/>
    <x v="1"/>
    <x v="2"/>
    <x v="2"/>
    <n v="2090"/>
    <x v="0"/>
    <s v="Yes"/>
    <n v="15"/>
    <n v="3"/>
    <n v="2"/>
    <n v="7"/>
    <n v="3"/>
    <n v="0"/>
    <n v="0"/>
  </r>
  <r>
    <n v="33"/>
    <x v="1"/>
    <x v="1"/>
    <n v="0"/>
    <s v="Research &amp; Development"/>
    <n v="4"/>
    <x v="0"/>
    <n v="3"/>
    <x v="1"/>
    <x v="1"/>
    <x v="2"/>
    <n v="2909"/>
    <x v="0"/>
    <s v="Yes"/>
    <n v="11"/>
    <n v="3"/>
    <n v="3"/>
    <n v="8"/>
    <n v="3"/>
    <n v="8"/>
    <n v="7"/>
  </r>
  <r>
    <n v="27"/>
    <x v="2"/>
    <x v="1"/>
    <n v="0"/>
    <s v="Research &amp; Development"/>
    <n v="1"/>
    <x v="1"/>
    <n v="3"/>
    <x v="1"/>
    <x v="2"/>
    <x v="1"/>
    <n v="3468"/>
    <x v="0"/>
    <s v="No"/>
    <n v="12"/>
    <n v="3"/>
    <n v="4"/>
    <n v="6"/>
    <n v="3"/>
    <n v="2"/>
    <n v="2"/>
  </r>
  <r>
    <n v="32"/>
    <x v="1"/>
    <x v="1"/>
    <n v="0"/>
    <s v="Research &amp; Development"/>
    <n v="4"/>
    <x v="1"/>
    <n v="3"/>
    <x v="1"/>
    <x v="2"/>
    <x v="0"/>
    <n v="3068"/>
    <x v="0"/>
    <s v="No"/>
    <n v="13"/>
    <n v="3"/>
    <n v="3"/>
    <n v="8"/>
    <n v="2"/>
    <n v="7"/>
    <n v="7"/>
  </r>
  <r>
    <n v="59"/>
    <x v="0"/>
    <x v="1"/>
    <n v="0"/>
    <s v="Research &amp; Development"/>
    <n v="3"/>
    <x v="0"/>
    <n v="4"/>
    <x v="1"/>
    <x v="2"/>
    <x v="3"/>
    <n v="2670"/>
    <x v="0"/>
    <s v="Yes"/>
    <n v="20"/>
    <n v="4"/>
    <n v="1"/>
    <n v="12"/>
    <n v="2"/>
    <n v="1"/>
    <n v="0"/>
  </r>
  <r>
    <n v="30"/>
    <x v="2"/>
    <x v="1"/>
    <n v="0"/>
    <s v="Research &amp; Development"/>
    <n v="4"/>
    <x v="1"/>
    <n v="3"/>
    <x v="1"/>
    <x v="2"/>
    <x v="2"/>
    <n v="2693"/>
    <x v="0"/>
    <s v="No"/>
    <n v="22"/>
    <n v="4"/>
    <n v="2"/>
    <n v="1"/>
    <n v="3"/>
    <n v="1"/>
    <n v="0"/>
  </r>
  <r>
    <n v="38"/>
    <x v="1"/>
    <x v="1"/>
    <n v="0"/>
    <s v="Research &amp; Development"/>
    <n v="4"/>
    <x v="1"/>
    <n v="2"/>
    <x v="2"/>
    <x v="3"/>
    <x v="2"/>
    <n v="9526"/>
    <x v="1"/>
    <s v="No"/>
    <n v="21"/>
    <n v="4"/>
    <n v="2"/>
    <n v="10"/>
    <n v="3"/>
    <n v="9"/>
    <n v="7"/>
  </r>
  <r>
    <n v="36"/>
    <x v="1"/>
    <x v="1"/>
    <n v="0"/>
    <s v="Research &amp; Development"/>
    <n v="3"/>
    <x v="1"/>
    <n v="3"/>
    <x v="0"/>
    <x v="4"/>
    <x v="2"/>
    <n v="5237"/>
    <x v="0"/>
    <s v="No"/>
    <n v="13"/>
    <n v="3"/>
    <n v="2"/>
    <n v="17"/>
    <n v="2"/>
    <n v="7"/>
    <n v="7"/>
  </r>
  <r>
    <n v="35"/>
    <x v="1"/>
    <x v="1"/>
    <n v="0"/>
    <s v="Research &amp; Development"/>
    <n v="1"/>
    <x v="1"/>
    <n v="4"/>
    <x v="1"/>
    <x v="2"/>
    <x v="1"/>
    <n v="2426"/>
    <x v="0"/>
    <s v="No"/>
    <n v="13"/>
    <n v="3"/>
    <n v="3"/>
    <n v="6"/>
    <n v="3"/>
    <n v="5"/>
    <n v="4"/>
  </r>
  <r>
    <n v="29"/>
    <x v="2"/>
    <x v="1"/>
    <n v="0"/>
    <s v="Research &amp; Development"/>
    <n v="4"/>
    <x v="0"/>
    <n v="2"/>
    <x v="0"/>
    <x v="2"/>
    <x v="2"/>
    <n v="4193"/>
    <x v="0"/>
    <s v="Yes"/>
    <n v="12"/>
    <n v="3"/>
    <n v="4"/>
    <n v="10"/>
    <n v="3"/>
    <n v="9"/>
    <n v="5"/>
  </r>
  <r>
    <n v="31"/>
    <x v="1"/>
    <x v="1"/>
    <n v="0"/>
    <s v="Research &amp; Development"/>
    <n v="1"/>
    <x v="1"/>
    <n v="3"/>
    <x v="1"/>
    <x v="1"/>
    <x v="2"/>
    <n v="2911"/>
    <x v="0"/>
    <s v="No"/>
    <n v="17"/>
    <n v="3"/>
    <n v="4"/>
    <n v="5"/>
    <n v="2"/>
    <n v="5"/>
    <n v="2"/>
  </r>
  <r>
    <n v="34"/>
    <x v="1"/>
    <x v="1"/>
    <n v="0"/>
    <s v="Research &amp; Development"/>
    <n v="2"/>
    <x v="1"/>
    <n v="3"/>
    <x v="1"/>
    <x v="2"/>
    <x v="0"/>
    <n v="2661"/>
    <x v="0"/>
    <s v="No"/>
    <n v="11"/>
    <n v="3"/>
    <n v="3"/>
    <n v="3"/>
    <n v="3"/>
    <n v="2"/>
    <n v="2"/>
  </r>
  <r>
    <n v="28"/>
    <x v="2"/>
    <x v="0"/>
    <n v="1"/>
    <s v="Research &amp; Development"/>
    <n v="3"/>
    <x v="1"/>
    <n v="2"/>
    <x v="1"/>
    <x v="2"/>
    <x v="2"/>
    <n v="2028"/>
    <x v="0"/>
    <s v="Yes"/>
    <n v="14"/>
    <n v="3"/>
    <n v="2"/>
    <n v="6"/>
    <n v="3"/>
    <n v="4"/>
    <n v="2"/>
  </r>
  <r>
    <n v="29"/>
    <x v="2"/>
    <x v="1"/>
    <n v="0"/>
    <s v="Research &amp; Development"/>
    <n v="2"/>
    <x v="0"/>
    <n v="4"/>
    <x v="2"/>
    <x v="3"/>
    <x v="3"/>
    <n v="9980"/>
    <x v="1"/>
    <s v="No"/>
    <n v="11"/>
    <n v="3"/>
    <n v="3"/>
    <n v="10"/>
    <n v="3"/>
    <n v="10"/>
    <n v="9"/>
  </r>
  <r>
    <n v="32"/>
    <x v="1"/>
    <x v="1"/>
    <n v="0"/>
    <s v="Research &amp; Development"/>
    <n v="1"/>
    <x v="1"/>
    <n v="4"/>
    <x v="1"/>
    <x v="1"/>
    <x v="1"/>
    <n v="3298"/>
    <x v="0"/>
    <s v="Yes"/>
    <n v="12"/>
    <n v="3"/>
    <n v="4"/>
    <n v="7"/>
    <n v="2"/>
    <n v="6"/>
    <n v="2"/>
  </r>
  <r>
    <n v="22"/>
    <x v="2"/>
    <x v="1"/>
    <n v="0"/>
    <s v="Research &amp; Development"/>
    <n v="4"/>
    <x v="1"/>
    <n v="4"/>
    <x v="1"/>
    <x v="2"/>
    <x v="0"/>
    <n v="2935"/>
    <x v="0"/>
    <s v="Yes"/>
    <n v="13"/>
    <n v="3"/>
    <n v="2"/>
    <n v="1"/>
    <n v="2"/>
    <n v="1"/>
    <n v="0"/>
  </r>
  <r>
    <n v="53"/>
    <x v="0"/>
    <x v="1"/>
    <n v="0"/>
    <s v="Sales"/>
    <n v="1"/>
    <x v="0"/>
    <n v="2"/>
    <x v="3"/>
    <x v="5"/>
    <x v="0"/>
    <n v="15427"/>
    <x v="2"/>
    <s v="No"/>
    <n v="16"/>
    <n v="3"/>
    <n v="3"/>
    <n v="31"/>
    <n v="3"/>
    <n v="25"/>
    <n v="8"/>
  </r>
  <r>
    <n v="38"/>
    <x v="1"/>
    <x v="1"/>
    <n v="0"/>
    <s v="Research &amp; Development"/>
    <n v="4"/>
    <x v="1"/>
    <n v="3"/>
    <x v="1"/>
    <x v="1"/>
    <x v="0"/>
    <n v="3944"/>
    <x v="0"/>
    <s v="Yes"/>
    <n v="11"/>
    <n v="3"/>
    <n v="3"/>
    <n v="6"/>
    <n v="3"/>
    <n v="3"/>
    <n v="2"/>
  </r>
  <r>
    <n v="24"/>
    <x v="2"/>
    <x v="1"/>
    <n v="0"/>
    <s v="Research &amp; Development"/>
    <n v="1"/>
    <x v="0"/>
    <n v="4"/>
    <x v="0"/>
    <x v="3"/>
    <x v="2"/>
    <n v="4011"/>
    <x v="0"/>
    <s v="No"/>
    <n v="18"/>
    <n v="3"/>
    <n v="4"/>
    <n v="5"/>
    <n v="2"/>
    <n v="4"/>
    <n v="2"/>
  </r>
  <r>
    <n v="36"/>
    <x v="1"/>
    <x v="0"/>
    <n v="1"/>
    <s v="Sales"/>
    <n v="3"/>
    <x v="1"/>
    <n v="2"/>
    <x v="1"/>
    <x v="6"/>
    <x v="3"/>
    <n v="3407"/>
    <x v="0"/>
    <s v="No"/>
    <n v="23"/>
    <n v="4"/>
    <n v="2"/>
    <n v="10"/>
    <n v="3"/>
    <n v="5"/>
    <n v="3"/>
  </r>
  <r>
    <n v="34"/>
    <x v="1"/>
    <x v="1"/>
    <n v="0"/>
    <s v="Research &amp; Development"/>
    <n v="1"/>
    <x v="0"/>
    <n v="3"/>
    <x v="2"/>
    <x v="7"/>
    <x v="1"/>
    <n v="11994"/>
    <x v="1"/>
    <s v="No"/>
    <n v="11"/>
    <n v="3"/>
    <n v="3"/>
    <n v="13"/>
    <n v="3"/>
    <n v="12"/>
    <n v="6"/>
  </r>
  <r>
    <n v="21"/>
    <x v="2"/>
    <x v="1"/>
    <n v="0"/>
    <s v="Research &amp; Development"/>
    <n v="3"/>
    <x v="1"/>
    <n v="3"/>
    <x v="1"/>
    <x v="1"/>
    <x v="0"/>
    <n v="1232"/>
    <x v="0"/>
    <s v="No"/>
    <n v="14"/>
    <n v="3"/>
    <n v="4"/>
    <n v="0"/>
    <n v="3"/>
    <n v="0"/>
    <n v="0"/>
  </r>
  <r>
    <n v="34"/>
    <x v="1"/>
    <x v="0"/>
    <n v="1"/>
    <s v="Research &amp; Development"/>
    <n v="2"/>
    <x v="1"/>
    <n v="3"/>
    <x v="1"/>
    <x v="1"/>
    <x v="3"/>
    <n v="2960"/>
    <x v="0"/>
    <s v="No"/>
    <n v="11"/>
    <n v="3"/>
    <n v="3"/>
    <n v="8"/>
    <n v="3"/>
    <n v="4"/>
    <n v="2"/>
  </r>
  <r>
    <n v="53"/>
    <x v="0"/>
    <x v="1"/>
    <n v="0"/>
    <s v="Research &amp; Development"/>
    <n v="3"/>
    <x v="0"/>
    <n v="3"/>
    <x v="4"/>
    <x v="5"/>
    <x v="2"/>
    <n v="19094"/>
    <x v="2"/>
    <s v="No"/>
    <n v="11"/>
    <n v="3"/>
    <n v="4"/>
    <n v="26"/>
    <n v="2"/>
    <n v="14"/>
    <n v="13"/>
  </r>
  <r>
    <n v="32"/>
    <x v="1"/>
    <x v="0"/>
    <n v="1"/>
    <s v="Research &amp; Development"/>
    <n v="2"/>
    <x v="0"/>
    <n v="1"/>
    <x v="1"/>
    <x v="1"/>
    <x v="3"/>
    <n v="3919"/>
    <x v="0"/>
    <s v="Yes"/>
    <n v="22"/>
    <n v="4"/>
    <n v="2"/>
    <n v="10"/>
    <n v="3"/>
    <n v="10"/>
    <n v="2"/>
  </r>
  <r>
    <n v="42"/>
    <x v="0"/>
    <x v="1"/>
    <n v="0"/>
    <s v="Sales"/>
    <n v="3"/>
    <x v="1"/>
    <n v="3"/>
    <x v="0"/>
    <x v="0"/>
    <x v="1"/>
    <n v="6825"/>
    <x v="0"/>
    <s v="No"/>
    <n v="11"/>
    <n v="3"/>
    <n v="4"/>
    <n v="10"/>
    <n v="3"/>
    <n v="9"/>
    <n v="7"/>
  </r>
  <r>
    <n v="44"/>
    <x v="0"/>
    <x v="1"/>
    <n v="0"/>
    <s v="Research &amp; Development"/>
    <n v="1"/>
    <x v="0"/>
    <n v="2"/>
    <x v="2"/>
    <x v="4"/>
    <x v="0"/>
    <n v="10248"/>
    <x v="1"/>
    <s v="No"/>
    <n v="14"/>
    <n v="3"/>
    <n v="4"/>
    <n v="24"/>
    <n v="3"/>
    <n v="22"/>
    <n v="6"/>
  </r>
  <r>
    <n v="46"/>
    <x v="0"/>
    <x v="1"/>
    <n v="0"/>
    <s v="Sales"/>
    <n v="2"/>
    <x v="0"/>
    <n v="3"/>
    <x v="4"/>
    <x v="5"/>
    <x v="3"/>
    <n v="18947"/>
    <x v="2"/>
    <s v="No"/>
    <n v="12"/>
    <n v="3"/>
    <n v="4"/>
    <n v="22"/>
    <n v="2"/>
    <n v="2"/>
    <n v="2"/>
  </r>
  <r>
    <n v="33"/>
    <x v="1"/>
    <x v="1"/>
    <n v="0"/>
    <s v="Research &amp; Development"/>
    <n v="3"/>
    <x v="1"/>
    <n v="3"/>
    <x v="1"/>
    <x v="2"/>
    <x v="0"/>
    <n v="2496"/>
    <x v="0"/>
    <s v="No"/>
    <n v="11"/>
    <n v="3"/>
    <n v="4"/>
    <n v="7"/>
    <n v="3"/>
    <n v="1"/>
    <n v="1"/>
  </r>
  <r>
    <n v="44"/>
    <x v="0"/>
    <x v="1"/>
    <n v="0"/>
    <s v="Research &amp; Development"/>
    <n v="4"/>
    <x v="1"/>
    <n v="3"/>
    <x v="0"/>
    <x v="4"/>
    <x v="0"/>
    <n v="6465"/>
    <x v="0"/>
    <s v="Yes"/>
    <n v="13"/>
    <n v="3"/>
    <n v="4"/>
    <n v="9"/>
    <n v="4"/>
    <n v="4"/>
    <n v="2"/>
  </r>
  <r>
    <n v="30"/>
    <x v="2"/>
    <x v="1"/>
    <n v="0"/>
    <s v="Research &amp; Development"/>
    <n v="4"/>
    <x v="1"/>
    <n v="2"/>
    <x v="1"/>
    <x v="2"/>
    <x v="2"/>
    <n v="2206"/>
    <x v="0"/>
    <s v="No"/>
    <n v="13"/>
    <n v="3"/>
    <n v="1"/>
    <n v="10"/>
    <n v="3"/>
    <n v="10"/>
    <n v="0"/>
  </r>
  <r>
    <n v="39"/>
    <x v="1"/>
    <x v="0"/>
    <n v="1"/>
    <s v="Sales"/>
    <n v="4"/>
    <x v="1"/>
    <n v="3"/>
    <x v="0"/>
    <x v="6"/>
    <x v="0"/>
    <n v="2086"/>
    <x v="0"/>
    <s v="No"/>
    <n v="14"/>
    <n v="3"/>
    <n v="3"/>
    <n v="19"/>
    <n v="4"/>
    <n v="1"/>
    <n v="0"/>
  </r>
  <r>
    <n v="24"/>
    <x v="2"/>
    <x v="0"/>
    <n v="1"/>
    <s v="Research &amp; Development"/>
    <n v="2"/>
    <x v="1"/>
    <n v="3"/>
    <x v="1"/>
    <x v="1"/>
    <x v="0"/>
    <n v="2293"/>
    <x v="0"/>
    <s v="Yes"/>
    <n v="16"/>
    <n v="3"/>
    <n v="1"/>
    <n v="6"/>
    <n v="2"/>
    <n v="2"/>
    <n v="0"/>
  </r>
  <r>
    <n v="43"/>
    <x v="0"/>
    <x v="1"/>
    <n v="0"/>
    <s v="Research &amp; Development"/>
    <n v="4"/>
    <x v="0"/>
    <n v="4"/>
    <x v="1"/>
    <x v="1"/>
    <x v="2"/>
    <n v="2645"/>
    <x v="0"/>
    <s v="No"/>
    <n v="12"/>
    <n v="3"/>
    <n v="4"/>
    <n v="6"/>
    <n v="2"/>
    <n v="5"/>
    <n v="3"/>
  </r>
  <r>
    <n v="50"/>
    <x v="0"/>
    <x v="0"/>
    <n v="1"/>
    <s v="Sales"/>
    <n v="1"/>
    <x v="1"/>
    <n v="2"/>
    <x v="1"/>
    <x v="6"/>
    <x v="2"/>
    <n v="2683"/>
    <x v="0"/>
    <s v="Yes"/>
    <n v="14"/>
    <n v="3"/>
    <n v="3"/>
    <n v="3"/>
    <n v="3"/>
    <n v="3"/>
    <n v="2"/>
  </r>
  <r>
    <n v="35"/>
    <x v="1"/>
    <x v="1"/>
    <n v="0"/>
    <s v="Sales"/>
    <n v="4"/>
    <x v="0"/>
    <n v="3"/>
    <x v="1"/>
    <x v="6"/>
    <x v="0"/>
    <n v="2014"/>
    <x v="0"/>
    <s v="No"/>
    <n v="13"/>
    <n v="3"/>
    <n v="1"/>
    <n v="2"/>
    <n v="3"/>
    <n v="2"/>
    <n v="2"/>
  </r>
  <r>
    <n v="36"/>
    <x v="1"/>
    <x v="1"/>
    <n v="0"/>
    <s v="Research &amp; Development"/>
    <n v="2"/>
    <x v="0"/>
    <n v="2"/>
    <x v="1"/>
    <x v="1"/>
    <x v="3"/>
    <n v="3419"/>
    <x v="0"/>
    <s v="Yes"/>
    <n v="14"/>
    <n v="3"/>
    <n v="4"/>
    <n v="6"/>
    <n v="4"/>
    <n v="1"/>
    <n v="1"/>
  </r>
  <r>
    <n v="33"/>
    <x v="1"/>
    <x v="1"/>
    <n v="0"/>
    <s v="Sales"/>
    <n v="3"/>
    <x v="0"/>
    <n v="4"/>
    <x v="0"/>
    <x v="0"/>
    <x v="3"/>
    <n v="5376"/>
    <x v="0"/>
    <s v="No"/>
    <n v="19"/>
    <n v="3"/>
    <n v="1"/>
    <n v="10"/>
    <n v="3"/>
    <n v="5"/>
    <n v="3"/>
  </r>
  <r>
    <n v="35"/>
    <x v="1"/>
    <x v="1"/>
    <n v="0"/>
    <s v="Research &amp; Development"/>
    <n v="3"/>
    <x v="1"/>
    <n v="3"/>
    <x v="1"/>
    <x v="2"/>
    <x v="0"/>
    <n v="1951"/>
    <x v="0"/>
    <s v="No"/>
    <n v="12"/>
    <n v="3"/>
    <n v="3"/>
    <n v="1"/>
    <n v="3"/>
    <n v="1"/>
    <n v="0"/>
  </r>
  <r>
    <n v="27"/>
    <x v="2"/>
    <x v="1"/>
    <n v="0"/>
    <s v="Research &amp; Development"/>
    <n v="4"/>
    <x v="0"/>
    <n v="3"/>
    <x v="1"/>
    <x v="2"/>
    <x v="3"/>
    <n v="2341"/>
    <x v="0"/>
    <s v="No"/>
    <n v="13"/>
    <n v="3"/>
    <n v="4"/>
    <n v="1"/>
    <n v="3"/>
    <n v="1"/>
    <n v="0"/>
  </r>
  <r>
    <n v="26"/>
    <x v="2"/>
    <x v="0"/>
    <n v="1"/>
    <s v="Research &amp; Development"/>
    <n v="1"/>
    <x v="1"/>
    <n v="1"/>
    <x v="1"/>
    <x v="2"/>
    <x v="2"/>
    <n v="2293"/>
    <x v="0"/>
    <s v="No"/>
    <n v="12"/>
    <n v="3"/>
    <n v="3"/>
    <n v="1"/>
    <n v="2"/>
    <n v="1"/>
    <n v="0"/>
  </r>
  <r>
    <n v="27"/>
    <x v="2"/>
    <x v="1"/>
    <n v="0"/>
    <s v="Sales"/>
    <n v="4"/>
    <x v="1"/>
    <n v="3"/>
    <x v="2"/>
    <x v="0"/>
    <x v="2"/>
    <n v="8726"/>
    <x v="1"/>
    <s v="No"/>
    <n v="15"/>
    <n v="3"/>
    <n v="4"/>
    <n v="9"/>
    <n v="3"/>
    <n v="9"/>
    <n v="8"/>
  </r>
  <r>
    <n v="30"/>
    <x v="2"/>
    <x v="1"/>
    <n v="0"/>
    <s v="Research &amp; Development"/>
    <n v="3"/>
    <x v="0"/>
    <n v="3"/>
    <x v="0"/>
    <x v="2"/>
    <x v="0"/>
    <n v="4011"/>
    <x v="0"/>
    <s v="No"/>
    <n v="23"/>
    <n v="4"/>
    <n v="4"/>
    <n v="12"/>
    <n v="3"/>
    <n v="12"/>
    <n v="8"/>
  </r>
  <r>
    <n v="41"/>
    <x v="0"/>
    <x v="0"/>
    <n v="1"/>
    <s v="Research &amp; Development"/>
    <n v="2"/>
    <x v="0"/>
    <n v="3"/>
    <x v="4"/>
    <x v="7"/>
    <x v="2"/>
    <n v="19545"/>
    <x v="2"/>
    <s v="No"/>
    <n v="12"/>
    <n v="3"/>
    <n v="4"/>
    <n v="23"/>
    <n v="3"/>
    <n v="22"/>
    <n v="15"/>
  </r>
  <r>
    <n v="34"/>
    <x v="1"/>
    <x v="1"/>
    <n v="0"/>
    <s v="Sales"/>
    <n v="2"/>
    <x v="1"/>
    <n v="3"/>
    <x v="0"/>
    <x v="0"/>
    <x v="2"/>
    <n v="4568"/>
    <x v="0"/>
    <s v="No"/>
    <n v="20"/>
    <n v="4"/>
    <n v="3"/>
    <n v="10"/>
    <n v="3"/>
    <n v="9"/>
    <n v="5"/>
  </r>
  <r>
    <n v="37"/>
    <x v="1"/>
    <x v="1"/>
    <n v="0"/>
    <s v="Research &amp; Development"/>
    <n v="2"/>
    <x v="1"/>
    <n v="3"/>
    <x v="1"/>
    <x v="1"/>
    <x v="1"/>
    <n v="3022"/>
    <x v="0"/>
    <s v="No"/>
    <n v="21"/>
    <n v="4"/>
    <n v="1"/>
    <n v="8"/>
    <n v="3"/>
    <n v="1"/>
    <n v="0"/>
  </r>
  <r>
    <n v="46"/>
    <x v="0"/>
    <x v="1"/>
    <n v="0"/>
    <s v="Sales"/>
    <n v="1"/>
    <x v="1"/>
    <n v="3"/>
    <x v="0"/>
    <x v="0"/>
    <x v="0"/>
    <n v="5772"/>
    <x v="0"/>
    <s v="Yes"/>
    <n v="21"/>
    <n v="4"/>
    <n v="3"/>
    <n v="14"/>
    <n v="3"/>
    <n v="9"/>
    <n v="6"/>
  </r>
  <r>
    <n v="35"/>
    <x v="1"/>
    <x v="1"/>
    <n v="0"/>
    <s v="Research &amp; Development"/>
    <n v="4"/>
    <x v="1"/>
    <n v="4"/>
    <x v="1"/>
    <x v="2"/>
    <x v="0"/>
    <n v="2269"/>
    <x v="0"/>
    <s v="No"/>
    <n v="19"/>
    <n v="3"/>
    <n v="4"/>
    <n v="1"/>
    <n v="3"/>
    <n v="1"/>
    <n v="0"/>
  </r>
  <r>
    <n v="48"/>
    <x v="0"/>
    <x v="0"/>
    <n v="1"/>
    <s v="Research &amp; Development"/>
    <n v="1"/>
    <x v="1"/>
    <n v="2"/>
    <x v="2"/>
    <x v="2"/>
    <x v="2"/>
    <n v="5381"/>
    <x v="0"/>
    <s v="Yes"/>
    <n v="13"/>
    <n v="3"/>
    <n v="4"/>
    <n v="23"/>
    <n v="3"/>
    <n v="1"/>
    <n v="0"/>
  </r>
  <r>
    <n v="28"/>
    <x v="2"/>
    <x v="0"/>
    <n v="1"/>
    <s v="Research &amp; Development"/>
    <n v="3"/>
    <x v="1"/>
    <n v="3"/>
    <x v="1"/>
    <x v="2"/>
    <x v="2"/>
    <n v="3441"/>
    <x v="0"/>
    <s v="Yes"/>
    <n v="13"/>
    <n v="3"/>
    <n v="3"/>
    <n v="2"/>
    <n v="2"/>
    <n v="2"/>
    <n v="2"/>
  </r>
  <r>
    <n v="44"/>
    <x v="0"/>
    <x v="1"/>
    <n v="0"/>
    <s v="Sales"/>
    <n v="2"/>
    <x v="0"/>
    <n v="3"/>
    <x v="0"/>
    <x v="0"/>
    <x v="3"/>
    <n v="5454"/>
    <x v="0"/>
    <s v="Yes"/>
    <n v="21"/>
    <n v="4"/>
    <n v="3"/>
    <n v="9"/>
    <n v="2"/>
    <n v="4"/>
    <n v="3"/>
  </r>
  <r>
    <n v="35"/>
    <x v="1"/>
    <x v="1"/>
    <n v="0"/>
    <s v="Research &amp; Development"/>
    <n v="3"/>
    <x v="1"/>
    <n v="2"/>
    <x v="2"/>
    <x v="4"/>
    <x v="3"/>
    <n v="9884"/>
    <x v="1"/>
    <s v="Yes"/>
    <n v="13"/>
    <n v="3"/>
    <n v="3"/>
    <n v="10"/>
    <n v="3"/>
    <n v="4"/>
    <n v="0"/>
  </r>
  <r>
    <n v="26"/>
    <x v="2"/>
    <x v="1"/>
    <n v="0"/>
    <s v="Sales"/>
    <n v="3"/>
    <x v="0"/>
    <n v="2"/>
    <x v="0"/>
    <x v="0"/>
    <x v="0"/>
    <n v="4157"/>
    <x v="0"/>
    <s v="Yes"/>
    <n v="19"/>
    <n v="3"/>
    <n v="3"/>
    <n v="5"/>
    <n v="2"/>
    <n v="2"/>
    <n v="2"/>
  </r>
  <r>
    <n v="33"/>
    <x v="1"/>
    <x v="1"/>
    <n v="0"/>
    <s v="Research &amp; Development"/>
    <n v="1"/>
    <x v="0"/>
    <n v="3"/>
    <x v="2"/>
    <x v="7"/>
    <x v="0"/>
    <n v="13458"/>
    <x v="1"/>
    <s v="Yes"/>
    <n v="12"/>
    <n v="3"/>
    <n v="3"/>
    <n v="15"/>
    <n v="3"/>
    <n v="15"/>
    <n v="14"/>
  </r>
  <r>
    <n v="35"/>
    <x v="1"/>
    <x v="1"/>
    <n v="0"/>
    <s v="Sales"/>
    <n v="2"/>
    <x v="1"/>
    <n v="3"/>
    <x v="2"/>
    <x v="0"/>
    <x v="3"/>
    <n v="9069"/>
    <x v="1"/>
    <s v="No"/>
    <n v="22"/>
    <n v="4"/>
    <n v="4"/>
    <n v="9"/>
    <n v="2"/>
    <n v="9"/>
    <n v="8"/>
  </r>
  <r>
    <n v="35"/>
    <x v="1"/>
    <x v="1"/>
    <n v="0"/>
    <s v="Research &amp; Development"/>
    <n v="3"/>
    <x v="0"/>
    <n v="3"/>
    <x v="1"/>
    <x v="2"/>
    <x v="3"/>
    <n v="4014"/>
    <x v="0"/>
    <s v="Yes"/>
    <n v="15"/>
    <n v="3"/>
    <n v="3"/>
    <n v="4"/>
    <n v="3"/>
    <n v="2"/>
    <n v="2"/>
  </r>
  <r>
    <n v="31"/>
    <x v="1"/>
    <x v="1"/>
    <n v="0"/>
    <s v="Research &amp; Development"/>
    <n v="4"/>
    <x v="1"/>
    <n v="3"/>
    <x v="0"/>
    <x v="2"/>
    <x v="0"/>
    <n v="5915"/>
    <x v="0"/>
    <s v="No"/>
    <n v="22"/>
    <n v="4"/>
    <n v="4"/>
    <n v="10"/>
    <n v="2"/>
    <n v="7"/>
    <n v="7"/>
  </r>
  <r>
    <n v="37"/>
    <x v="1"/>
    <x v="1"/>
    <n v="0"/>
    <s v="Research &amp; Development"/>
    <n v="1"/>
    <x v="1"/>
    <n v="2"/>
    <x v="0"/>
    <x v="3"/>
    <x v="2"/>
    <n v="5993"/>
    <x v="0"/>
    <s v="No"/>
    <n v="18"/>
    <n v="3"/>
    <n v="3"/>
    <n v="7"/>
    <n v="4"/>
    <n v="7"/>
    <n v="5"/>
  </r>
  <r>
    <n v="32"/>
    <x v="1"/>
    <x v="1"/>
    <n v="0"/>
    <s v="Research &amp; Development"/>
    <n v="1"/>
    <x v="1"/>
    <n v="3"/>
    <x v="0"/>
    <x v="3"/>
    <x v="0"/>
    <n v="6162"/>
    <x v="0"/>
    <s v="Yes"/>
    <n v="22"/>
    <n v="4"/>
    <n v="2"/>
    <n v="9"/>
    <n v="3"/>
    <n v="9"/>
    <n v="8"/>
  </r>
  <r>
    <n v="38"/>
    <x v="1"/>
    <x v="1"/>
    <n v="0"/>
    <s v="Research &amp; Development"/>
    <n v="4"/>
    <x v="0"/>
    <n v="3"/>
    <x v="0"/>
    <x v="2"/>
    <x v="0"/>
    <n v="2406"/>
    <x v="0"/>
    <s v="No"/>
    <n v="11"/>
    <n v="3"/>
    <n v="4"/>
    <n v="10"/>
    <n v="3"/>
    <n v="10"/>
    <n v="3"/>
  </r>
  <r>
    <n v="50"/>
    <x v="0"/>
    <x v="1"/>
    <n v="0"/>
    <s v="Research &amp; Development"/>
    <n v="2"/>
    <x v="0"/>
    <n v="2"/>
    <x v="4"/>
    <x v="7"/>
    <x v="2"/>
    <n v="18740"/>
    <x v="2"/>
    <s v="Yes"/>
    <n v="12"/>
    <n v="3"/>
    <n v="4"/>
    <n v="29"/>
    <n v="2"/>
    <n v="27"/>
    <n v="3"/>
  </r>
  <r>
    <n v="59"/>
    <x v="0"/>
    <x v="1"/>
    <n v="0"/>
    <s v="Sales"/>
    <n v="1"/>
    <x v="0"/>
    <n v="3"/>
    <x v="2"/>
    <x v="0"/>
    <x v="3"/>
    <n v="7637"/>
    <x v="1"/>
    <s v="No"/>
    <n v="11"/>
    <n v="3"/>
    <n v="4"/>
    <n v="28"/>
    <n v="2"/>
    <n v="21"/>
    <n v="16"/>
  </r>
  <r>
    <n v="36"/>
    <x v="1"/>
    <x v="1"/>
    <n v="0"/>
    <s v="Research &amp; Development"/>
    <n v="3"/>
    <x v="0"/>
    <n v="3"/>
    <x v="2"/>
    <x v="4"/>
    <x v="2"/>
    <n v="10096"/>
    <x v="1"/>
    <s v="No"/>
    <n v="13"/>
    <n v="3"/>
    <n v="2"/>
    <n v="17"/>
    <n v="3"/>
    <n v="17"/>
    <n v="14"/>
  </r>
  <r>
    <n v="55"/>
    <x v="0"/>
    <x v="1"/>
    <n v="0"/>
    <s v="Research &amp; Development"/>
    <n v="4"/>
    <x v="0"/>
    <n v="3"/>
    <x v="3"/>
    <x v="5"/>
    <x v="2"/>
    <n v="14756"/>
    <x v="1"/>
    <s v="Yes"/>
    <n v="14"/>
    <n v="3"/>
    <n v="3"/>
    <n v="21"/>
    <n v="3"/>
    <n v="5"/>
    <n v="0"/>
  </r>
  <r>
    <n v="36"/>
    <x v="1"/>
    <x v="1"/>
    <n v="0"/>
    <s v="Research &amp; Development"/>
    <n v="2"/>
    <x v="1"/>
    <n v="2"/>
    <x v="0"/>
    <x v="3"/>
    <x v="1"/>
    <n v="6499"/>
    <x v="0"/>
    <s v="No"/>
    <n v="13"/>
    <n v="3"/>
    <n v="3"/>
    <n v="6"/>
    <n v="3"/>
    <n v="6"/>
    <n v="5"/>
  </r>
  <r>
    <n v="45"/>
    <x v="0"/>
    <x v="1"/>
    <n v="0"/>
    <s v="Research &amp; Development"/>
    <n v="2"/>
    <x v="1"/>
    <n v="3"/>
    <x v="2"/>
    <x v="1"/>
    <x v="3"/>
    <n v="9724"/>
    <x v="1"/>
    <s v="No"/>
    <n v="17"/>
    <n v="3"/>
    <n v="3"/>
    <n v="25"/>
    <n v="3"/>
    <n v="1"/>
    <n v="0"/>
  </r>
  <r>
    <n v="35"/>
    <x v="1"/>
    <x v="1"/>
    <n v="0"/>
    <s v="Research &amp; Development"/>
    <n v="2"/>
    <x v="1"/>
    <n v="3"/>
    <x v="1"/>
    <x v="1"/>
    <x v="3"/>
    <n v="2194"/>
    <x v="0"/>
    <s v="No"/>
    <n v="13"/>
    <n v="3"/>
    <n v="4"/>
    <n v="5"/>
    <n v="2"/>
    <n v="3"/>
    <n v="2"/>
  </r>
  <r>
    <n v="36"/>
    <x v="1"/>
    <x v="0"/>
    <n v="1"/>
    <s v="Research &amp; Development"/>
    <n v="4"/>
    <x v="1"/>
    <n v="2"/>
    <x v="1"/>
    <x v="1"/>
    <x v="2"/>
    <n v="3388"/>
    <x v="0"/>
    <s v="Yes"/>
    <n v="17"/>
    <n v="3"/>
    <n v="1"/>
    <n v="2"/>
    <n v="2"/>
    <n v="1"/>
    <n v="0"/>
  </r>
  <r>
    <n v="59"/>
    <x v="0"/>
    <x v="1"/>
    <n v="0"/>
    <s v="Sales"/>
    <n v="1"/>
    <x v="0"/>
    <n v="2"/>
    <x v="0"/>
    <x v="0"/>
    <x v="2"/>
    <n v="5473"/>
    <x v="0"/>
    <s v="No"/>
    <n v="11"/>
    <n v="3"/>
    <n v="4"/>
    <n v="20"/>
    <n v="2"/>
    <n v="4"/>
    <n v="3"/>
  </r>
  <r>
    <n v="29"/>
    <x v="2"/>
    <x v="1"/>
    <n v="0"/>
    <s v="Research &amp; Development"/>
    <n v="3"/>
    <x v="1"/>
    <n v="3"/>
    <x v="1"/>
    <x v="1"/>
    <x v="1"/>
    <n v="2703"/>
    <x v="0"/>
    <s v="No"/>
    <n v="23"/>
    <n v="4"/>
    <n v="4"/>
    <n v="6"/>
    <n v="3"/>
    <n v="5"/>
    <n v="4"/>
  </r>
  <r>
    <n v="31"/>
    <x v="1"/>
    <x v="1"/>
    <n v="0"/>
    <s v="Research &amp; Development"/>
    <n v="3"/>
    <x v="1"/>
    <n v="3"/>
    <x v="1"/>
    <x v="1"/>
    <x v="1"/>
    <n v="2501"/>
    <x v="0"/>
    <s v="No"/>
    <n v="17"/>
    <n v="3"/>
    <n v="2"/>
    <n v="1"/>
    <n v="3"/>
    <n v="1"/>
    <n v="1"/>
  </r>
  <r>
    <n v="32"/>
    <x v="1"/>
    <x v="1"/>
    <n v="0"/>
    <s v="Research &amp; Development"/>
    <n v="2"/>
    <x v="1"/>
    <n v="3"/>
    <x v="0"/>
    <x v="1"/>
    <x v="1"/>
    <n v="6220"/>
    <x v="0"/>
    <s v="No"/>
    <n v="17"/>
    <n v="3"/>
    <n v="2"/>
    <n v="10"/>
    <n v="3"/>
    <n v="10"/>
    <n v="4"/>
  </r>
  <r>
    <n v="36"/>
    <x v="1"/>
    <x v="1"/>
    <n v="0"/>
    <s v="Research &amp; Development"/>
    <n v="2"/>
    <x v="0"/>
    <n v="4"/>
    <x v="1"/>
    <x v="2"/>
    <x v="0"/>
    <n v="3038"/>
    <x v="0"/>
    <s v="No"/>
    <n v="12"/>
    <n v="3"/>
    <n v="2"/>
    <n v="5"/>
    <n v="3"/>
    <n v="1"/>
    <n v="0"/>
  </r>
  <r>
    <n v="31"/>
    <x v="1"/>
    <x v="1"/>
    <n v="0"/>
    <s v="Research &amp; Development"/>
    <n v="3"/>
    <x v="0"/>
    <n v="3"/>
    <x v="0"/>
    <x v="3"/>
    <x v="0"/>
    <n v="4424"/>
    <x v="0"/>
    <s v="No"/>
    <n v="23"/>
    <n v="4"/>
    <n v="4"/>
    <n v="11"/>
    <n v="3"/>
    <n v="11"/>
    <n v="7"/>
  </r>
  <r>
    <n v="35"/>
    <x v="1"/>
    <x v="1"/>
    <n v="0"/>
    <s v="Sales"/>
    <n v="3"/>
    <x v="1"/>
    <n v="2"/>
    <x v="0"/>
    <x v="0"/>
    <x v="3"/>
    <n v="4312"/>
    <x v="0"/>
    <s v="No"/>
    <n v="14"/>
    <n v="3"/>
    <n v="2"/>
    <n v="16"/>
    <n v="3"/>
    <n v="15"/>
    <n v="13"/>
  </r>
  <r>
    <n v="45"/>
    <x v="0"/>
    <x v="1"/>
    <n v="0"/>
    <s v="Research &amp; Development"/>
    <n v="4"/>
    <x v="1"/>
    <n v="3"/>
    <x v="2"/>
    <x v="7"/>
    <x v="3"/>
    <n v="13245"/>
    <x v="1"/>
    <s v="Yes"/>
    <n v="14"/>
    <n v="3"/>
    <n v="2"/>
    <n v="17"/>
    <n v="4"/>
    <n v="0"/>
    <n v="0"/>
  </r>
  <r>
    <n v="37"/>
    <x v="1"/>
    <x v="1"/>
    <n v="0"/>
    <s v="Research &amp; Development"/>
    <n v="1"/>
    <x v="1"/>
    <n v="3"/>
    <x v="2"/>
    <x v="7"/>
    <x v="2"/>
    <n v="13664"/>
    <x v="1"/>
    <s v="No"/>
    <n v="13"/>
    <n v="3"/>
    <n v="1"/>
    <n v="16"/>
    <n v="4"/>
    <n v="5"/>
    <n v="2"/>
  </r>
  <r>
    <n v="46"/>
    <x v="0"/>
    <x v="1"/>
    <n v="0"/>
    <s v="Human Resources"/>
    <n v="2"/>
    <x v="1"/>
    <n v="3"/>
    <x v="0"/>
    <x v="8"/>
    <x v="1"/>
    <n v="5021"/>
    <x v="0"/>
    <s v="Yes"/>
    <n v="22"/>
    <n v="4"/>
    <n v="4"/>
    <n v="16"/>
    <n v="3"/>
    <n v="4"/>
    <n v="2"/>
  </r>
  <r>
    <n v="30"/>
    <x v="2"/>
    <x v="1"/>
    <n v="0"/>
    <s v="Research &amp; Development"/>
    <n v="4"/>
    <x v="1"/>
    <n v="2"/>
    <x v="0"/>
    <x v="2"/>
    <x v="0"/>
    <n v="5126"/>
    <x v="0"/>
    <s v="Yes"/>
    <n v="12"/>
    <n v="3"/>
    <n v="3"/>
    <n v="10"/>
    <n v="2"/>
    <n v="10"/>
    <n v="8"/>
  </r>
  <r>
    <n v="35"/>
    <x v="1"/>
    <x v="1"/>
    <n v="0"/>
    <s v="Research &amp; Development"/>
    <n v="2"/>
    <x v="1"/>
    <n v="2"/>
    <x v="1"/>
    <x v="1"/>
    <x v="2"/>
    <n v="2859"/>
    <x v="0"/>
    <s v="No"/>
    <n v="18"/>
    <n v="3"/>
    <n v="1"/>
    <n v="6"/>
    <n v="3"/>
    <n v="6"/>
    <n v="4"/>
  </r>
  <r>
    <n v="55"/>
    <x v="0"/>
    <x v="1"/>
    <n v="0"/>
    <s v="Sales"/>
    <n v="1"/>
    <x v="1"/>
    <n v="3"/>
    <x v="2"/>
    <x v="0"/>
    <x v="0"/>
    <n v="10239"/>
    <x v="1"/>
    <s v="No"/>
    <n v="14"/>
    <n v="3"/>
    <n v="4"/>
    <n v="24"/>
    <n v="3"/>
    <n v="1"/>
    <n v="0"/>
  </r>
  <r>
    <n v="38"/>
    <x v="1"/>
    <x v="1"/>
    <n v="0"/>
    <s v="Research &amp; Development"/>
    <n v="2"/>
    <x v="0"/>
    <n v="1"/>
    <x v="0"/>
    <x v="1"/>
    <x v="0"/>
    <n v="5329"/>
    <x v="0"/>
    <s v="Yes"/>
    <n v="12"/>
    <n v="3"/>
    <n v="4"/>
    <n v="17"/>
    <n v="3"/>
    <n v="13"/>
    <n v="11"/>
  </r>
  <r>
    <n v="34"/>
    <x v="1"/>
    <x v="1"/>
    <n v="0"/>
    <s v="Research &amp; Development"/>
    <n v="1"/>
    <x v="1"/>
    <n v="3"/>
    <x v="0"/>
    <x v="3"/>
    <x v="1"/>
    <n v="4325"/>
    <x v="0"/>
    <s v="No"/>
    <n v="15"/>
    <n v="3"/>
    <n v="3"/>
    <n v="5"/>
    <n v="3"/>
    <n v="5"/>
    <n v="2"/>
  </r>
  <r>
    <n v="56"/>
    <x v="0"/>
    <x v="1"/>
    <n v="0"/>
    <s v="Research &amp; Development"/>
    <n v="4"/>
    <x v="1"/>
    <n v="1"/>
    <x v="2"/>
    <x v="3"/>
    <x v="0"/>
    <n v="7260"/>
    <x v="1"/>
    <s v="No"/>
    <n v="11"/>
    <n v="3"/>
    <n v="1"/>
    <n v="37"/>
    <n v="2"/>
    <n v="6"/>
    <n v="4"/>
  </r>
  <r>
    <n v="23"/>
    <x v="2"/>
    <x v="1"/>
    <n v="0"/>
    <s v="Sales"/>
    <n v="3"/>
    <x v="1"/>
    <n v="3"/>
    <x v="1"/>
    <x v="6"/>
    <x v="3"/>
    <n v="2322"/>
    <x v="0"/>
    <s v="No"/>
    <n v="13"/>
    <n v="3"/>
    <n v="3"/>
    <n v="3"/>
    <n v="3"/>
    <n v="0"/>
    <n v="0"/>
  </r>
  <r>
    <n v="51"/>
    <x v="0"/>
    <x v="1"/>
    <n v="0"/>
    <s v="Research &amp; Development"/>
    <n v="4"/>
    <x v="1"/>
    <n v="3"/>
    <x v="1"/>
    <x v="2"/>
    <x v="0"/>
    <n v="2075"/>
    <x v="0"/>
    <s v="No"/>
    <n v="23"/>
    <n v="4"/>
    <n v="2"/>
    <n v="10"/>
    <n v="3"/>
    <n v="4"/>
    <n v="2"/>
  </r>
  <r>
    <n v="30"/>
    <x v="2"/>
    <x v="1"/>
    <n v="0"/>
    <s v="Research &amp; Development"/>
    <n v="3"/>
    <x v="1"/>
    <n v="2"/>
    <x v="0"/>
    <x v="4"/>
    <x v="0"/>
    <n v="4152"/>
    <x v="0"/>
    <s v="No"/>
    <n v="19"/>
    <n v="3"/>
    <n v="1"/>
    <n v="11"/>
    <n v="3"/>
    <n v="11"/>
    <n v="10"/>
  </r>
  <r>
    <n v="46"/>
    <x v="0"/>
    <x v="0"/>
    <n v="1"/>
    <s v="Sales"/>
    <n v="3"/>
    <x v="1"/>
    <n v="2"/>
    <x v="2"/>
    <x v="0"/>
    <x v="0"/>
    <n v="9619"/>
    <x v="1"/>
    <s v="No"/>
    <n v="16"/>
    <n v="3"/>
    <n v="4"/>
    <n v="9"/>
    <n v="3"/>
    <n v="9"/>
    <n v="8"/>
  </r>
  <r>
    <n v="40"/>
    <x v="1"/>
    <x v="1"/>
    <n v="0"/>
    <s v="Research &amp; Development"/>
    <n v="3"/>
    <x v="1"/>
    <n v="2"/>
    <x v="3"/>
    <x v="4"/>
    <x v="1"/>
    <n v="13503"/>
    <x v="1"/>
    <s v="No"/>
    <n v="22"/>
    <n v="4"/>
    <n v="4"/>
    <n v="22"/>
    <n v="2"/>
    <n v="22"/>
    <n v="3"/>
  </r>
  <r>
    <n v="51"/>
    <x v="0"/>
    <x v="1"/>
    <n v="0"/>
    <s v="Sales"/>
    <n v="3"/>
    <x v="1"/>
    <n v="3"/>
    <x v="0"/>
    <x v="0"/>
    <x v="0"/>
    <n v="5441"/>
    <x v="0"/>
    <s v="Yes"/>
    <n v="22"/>
    <n v="4"/>
    <n v="4"/>
    <n v="11"/>
    <n v="1"/>
    <n v="10"/>
    <n v="7"/>
  </r>
  <r>
    <n v="30"/>
    <x v="2"/>
    <x v="1"/>
    <n v="0"/>
    <s v="Sales"/>
    <n v="3"/>
    <x v="0"/>
    <n v="2"/>
    <x v="0"/>
    <x v="0"/>
    <x v="1"/>
    <n v="5209"/>
    <x v="0"/>
    <s v="Yes"/>
    <n v="12"/>
    <n v="3"/>
    <n v="2"/>
    <n v="11"/>
    <n v="2"/>
    <n v="11"/>
    <n v="8"/>
  </r>
  <r>
    <n v="46"/>
    <x v="0"/>
    <x v="1"/>
    <n v="0"/>
    <s v="Research &amp; Development"/>
    <n v="3"/>
    <x v="1"/>
    <n v="2"/>
    <x v="2"/>
    <x v="4"/>
    <x v="3"/>
    <n v="10673"/>
    <x v="1"/>
    <s v="Yes"/>
    <n v="13"/>
    <n v="3"/>
    <n v="3"/>
    <n v="21"/>
    <n v="2"/>
    <n v="10"/>
    <n v="9"/>
  </r>
  <r>
    <n v="32"/>
    <x v="1"/>
    <x v="1"/>
    <n v="0"/>
    <s v="Sales"/>
    <n v="2"/>
    <x v="1"/>
    <n v="3"/>
    <x v="0"/>
    <x v="0"/>
    <x v="2"/>
    <n v="5010"/>
    <x v="0"/>
    <s v="No"/>
    <n v="16"/>
    <n v="3"/>
    <n v="1"/>
    <n v="12"/>
    <n v="3"/>
    <n v="11"/>
    <n v="8"/>
  </r>
  <r>
    <n v="54"/>
    <x v="0"/>
    <x v="1"/>
    <n v="0"/>
    <s v="Research &amp; Development"/>
    <n v="1"/>
    <x v="0"/>
    <n v="3"/>
    <x v="2"/>
    <x v="7"/>
    <x v="2"/>
    <n v="13549"/>
    <x v="1"/>
    <s v="No"/>
    <n v="12"/>
    <n v="3"/>
    <n v="1"/>
    <n v="16"/>
    <n v="1"/>
    <n v="4"/>
    <n v="3"/>
  </r>
  <r>
    <n v="24"/>
    <x v="2"/>
    <x v="1"/>
    <n v="0"/>
    <s v="Sales"/>
    <n v="1"/>
    <x v="0"/>
    <n v="3"/>
    <x v="0"/>
    <x v="0"/>
    <x v="2"/>
    <n v="4999"/>
    <x v="0"/>
    <s v="No"/>
    <n v="21"/>
    <n v="4"/>
    <n v="1"/>
    <n v="4"/>
    <n v="2"/>
    <n v="3"/>
    <n v="2"/>
  </r>
  <r>
    <n v="28"/>
    <x v="2"/>
    <x v="1"/>
    <n v="0"/>
    <s v="Sales"/>
    <n v="2"/>
    <x v="1"/>
    <n v="3"/>
    <x v="0"/>
    <x v="0"/>
    <x v="2"/>
    <n v="4221"/>
    <x v="0"/>
    <s v="No"/>
    <n v="15"/>
    <n v="3"/>
    <n v="2"/>
    <n v="5"/>
    <n v="4"/>
    <n v="5"/>
    <n v="4"/>
  </r>
  <r>
    <n v="58"/>
    <x v="0"/>
    <x v="1"/>
    <n v="0"/>
    <s v="Sales"/>
    <n v="4"/>
    <x v="1"/>
    <n v="3"/>
    <x v="3"/>
    <x v="0"/>
    <x v="2"/>
    <n v="13872"/>
    <x v="1"/>
    <s v="No"/>
    <n v="13"/>
    <n v="3"/>
    <n v="3"/>
    <n v="38"/>
    <n v="2"/>
    <n v="37"/>
    <n v="10"/>
  </r>
  <r>
    <n v="44"/>
    <x v="0"/>
    <x v="1"/>
    <n v="0"/>
    <s v="Research &amp; Development"/>
    <n v="2"/>
    <x v="1"/>
    <n v="3"/>
    <x v="0"/>
    <x v="2"/>
    <x v="1"/>
    <n v="2042"/>
    <x v="0"/>
    <s v="No"/>
    <n v="12"/>
    <n v="3"/>
    <n v="3"/>
    <n v="17"/>
    <n v="4"/>
    <n v="3"/>
    <n v="2"/>
  </r>
  <r>
    <n v="37"/>
    <x v="1"/>
    <x v="0"/>
    <n v="1"/>
    <s v="Human Resources"/>
    <n v="3"/>
    <x v="1"/>
    <n v="3"/>
    <x v="1"/>
    <x v="8"/>
    <x v="3"/>
    <n v="2073"/>
    <x v="0"/>
    <s v="Yes"/>
    <n v="22"/>
    <n v="4"/>
    <n v="4"/>
    <n v="7"/>
    <n v="3"/>
    <n v="3"/>
    <n v="2"/>
  </r>
  <r>
    <n v="32"/>
    <x v="1"/>
    <x v="1"/>
    <n v="0"/>
    <s v="Research &amp; Development"/>
    <n v="4"/>
    <x v="1"/>
    <n v="3"/>
    <x v="1"/>
    <x v="1"/>
    <x v="3"/>
    <n v="2956"/>
    <x v="0"/>
    <s v="No"/>
    <n v="13"/>
    <n v="3"/>
    <n v="4"/>
    <n v="1"/>
    <n v="3"/>
    <n v="1"/>
    <n v="0"/>
  </r>
  <r>
    <n v="20"/>
    <x v="2"/>
    <x v="0"/>
    <n v="1"/>
    <s v="Research &amp; Development"/>
    <n v="4"/>
    <x v="0"/>
    <n v="2"/>
    <x v="1"/>
    <x v="2"/>
    <x v="0"/>
    <n v="2926"/>
    <x v="0"/>
    <s v="Yes"/>
    <n v="18"/>
    <n v="3"/>
    <n v="2"/>
    <n v="1"/>
    <n v="3"/>
    <n v="1"/>
    <n v="0"/>
  </r>
  <r>
    <n v="34"/>
    <x v="1"/>
    <x v="1"/>
    <n v="0"/>
    <s v="Research &amp; Development"/>
    <n v="1"/>
    <x v="0"/>
    <n v="3"/>
    <x v="0"/>
    <x v="1"/>
    <x v="2"/>
    <n v="4809"/>
    <x v="0"/>
    <s v="No"/>
    <n v="14"/>
    <n v="3"/>
    <n v="3"/>
    <n v="16"/>
    <n v="3"/>
    <n v="16"/>
    <n v="13"/>
  </r>
  <r>
    <n v="37"/>
    <x v="1"/>
    <x v="1"/>
    <n v="0"/>
    <s v="Research &amp; Development"/>
    <n v="3"/>
    <x v="1"/>
    <n v="2"/>
    <x v="0"/>
    <x v="4"/>
    <x v="0"/>
    <n v="5163"/>
    <x v="0"/>
    <s v="No"/>
    <n v="14"/>
    <n v="3"/>
    <n v="4"/>
    <n v="17"/>
    <n v="4"/>
    <n v="1"/>
    <n v="0"/>
  </r>
  <r>
    <n v="59"/>
    <x v="0"/>
    <x v="1"/>
    <n v="0"/>
    <s v="Human Resources"/>
    <n v="3"/>
    <x v="0"/>
    <n v="2"/>
    <x v="4"/>
    <x v="5"/>
    <x v="0"/>
    <n v="18844"/>
    <x v="2"/>
    <s v="No"/>
    <n v="21"/>
    <n v="4"/>
    <n v="4"/>
    <n v="30"/>
    <n v="3"/>
    <n v="3"/>
    <n v="2"/>
  </r>
  <r>
    <n v="50"/>
    <x v="0"/>
    <x v="1"/>
    <n v="0"/>
    <s v="Research &amp; Development"/>
    <n v="1"/>
    <x v="0"/>
    <n v="3"/>
    <x v="4"/>
    <x v="7"/>
    <x v="1"/>
    <n v="18172"/>
    <x v="2"/>
    <s v="Yes"/>
    <n v="19"/>
    <n v="3"/>
    <n v="1"/>
    <n v="28"/>
    <n v="2"/>
    <n v="8"/>
    <n v="3"/>
  </r>
  <r>
    <n v="25"/>
    <x v="2"/>
    <x v="0"/>
    <n v="1"/>
    <s v="Sales"/>
    <n v="3"/>
    <x v="1"/>
    <n v="2"/>
    <x v="0"/>
    <x v="0"/>
    <x v="2"/>
    <n v="5744"/>
    <x v="0"/>
    <s v="Yes"/>
    <n v="11"/>
    <n v="3"/>
    <n v="4"/>
    <n v="6"/>
    <n v="3"/>
    <n v="6"/>
    <n v="4"/>
  </r>
  <r>
    <n v="25"/>
    <x v="2"/>
    <x v="1"/>
    <n v="0"/>
    <s v="Research &amp; Development"/>
    <n v="4"/>
    <x v="1"/>
    <n v="2"/>
    <x v="1"/>
    <x v="1"/>
    <x v="0"/>
    <n v="2889"/>
    <x v="0"/>
    <s v="No"/>
    <n v="11"/>
    <n v="3"/>
    <n v="3"/>
    <n v="2"/>
    <n v="3"/>
    <n v="2"/>
    <n v="2"/>
  </r>
  <r>
    <n v="22"/>
    <x v="2"/>
    <x v="1"/>
    <n v="0"/>
    <s v="Research &amp; Development"/>
    <n v="2"/>
    <x v="0"/>
    <n v="3"/>
    <x v="1"/>
    <x v="2"/>
    <x v="0"/>
    <n v="2871"/>
    <x v="0"/>
    <s v="No"/>
    <n v="15"/>
    <n v="3"/>
    <n v="3"/>
    <n v="1"/>
    <n v="3"/>
    <n v="0"/>
    <n v="0"/>
  </r>
  <r>
    <n v="51"/>
    <x v="0"/>
    <x v="1"/>
    <n v="0"/>
    <s v="Research &amp; Development"/>
    <n v="1"/>
    <x v="0"/>
    <n v="2"/>
    <x v="2"/>
    <x v="4"/>
    <x v="3"/>
    <n v="7484"/>
    <x v="1"/>
    <s v="No"/>
    <n v="20"/>
    <n v="4"/>
    <n v="3"/>
    <n v="23"/>
    <n v="2"/>
    <n v="13"/>
    <n v="12"/>
  </r>
  <r>
    <n v="34"/>
    <x v="1"/>
    <x v="0"/>
    <n v="1"/>
    <s v="Research &amp; Development"/>
    <n v="1"/>
    <x v="1"/>
    <n v="1"/>
    <x v="0"/>
    <x v="2"/>
    <x v="2"/>
    <n v="6074"/>
    <x v="0"/>
    <s v="Yes"/>
    <n v="24"/>
    <n v="4"/>
    <n v="4"/>
    <n v="9"/>
    <n v="3"/>
    <n v="9"/>
    <n v="7"/>
  </r>
  <r>
    <n v="54"/>
    <x v="0"/>
    <x v="1"/>
    <n v="0"/>
    <s v="Human Resources"/>
    <n v="4"/>
    <x v="0"/>
    <n v="4"/>
    <x v="3"/>
    <x v="5"/>
    <x v="0"/>
    <n v="17328"/>
    <x v="2"/>
    <s v="Yes"/>
    <n v="12"/>
    <n v="3"/>
    <n v="3"/>
    <n v="23"/>
    <n v="3"/>
    <n v="5"/>
    <n v="3"/>
  </r>
  <r>
    <n v="24"/>
    <x v="2"/>
    <x v="1"/>
    <n v="0"/>
    <s v="Research &amp; Development"/>
    <n v="2"/>
    <x v="1"/>
    <n v="3"/>
    <x v="1"/>
    <x v="2"/>
    <x v="2"/>
    <n v="2774"/>
    <x v="0"/>
    <s v="No"/>
    <n v="12"/>
    <n v="3"/>
    <n v="3"/>
    <n v="6"/>
    <n v="3"/>
    <n v="5"/>
    <n v="3"/>
  </r>
  <r>
    <n v="34"/>
    <x v="1"/>
    <x v="1"/>
    <n v="0"/>
    <s v="Research &amp; Development"/>
    <n v="3"/>
    <x v="0"/>
    <n v="2"/>
    <x v="0"/>
    <x v="1"/>
    <x v="1"/>
    <n v="4505"/>
    <x v="0"/>
    <s v="No"/>
    <n v="15"/>
    <n v="3"/>
    <n v="3"/>
    <n v="12"/>
    <n v="3"/>
    <n v="1"/>
    <n v="0"/>
  </r>
  <r>
    <n v="37"/>
    <x v="1"/>
    <x v="1"/>
    <n v="0"/>
    <s v="Sales"/>
    <n v="3"/>
    <x v="1"/>
    <n v="3"/>
    <x v="2"/>
    <x v="0"/>
    <x v="0"/>
    <n v="7428"/>
    <x v="1"/>
    <s v="No"/>
    <n v="12"/>
    <n v="3"/>
    <n v="1"/>
    <n v="12"/>
    <n v="3"/>
    <n v="5"/>
    <n v="3"/>
  </r>
  <r>
    <n v="34"/>
    <x v="1"/>
    <x v="1"/>
    <n v="0"/>
    <s v="Research &amp; Development"/>
    <n v="3"/>
    <x v="0"/>
    <n v="2"/>
    <x v="2"/>
    <x v="5"/>
    <x v="3"/>
    <n v="11631"/>
    <x v="1"/>
    <s v="No"/>
    <n v="12"/>
    <n v="3"/>
    <n v="4"/>
    <n v="14"/>
    <n v="3"/>
    <n v="11"/>
    <n v="10"/>
  </r>
  <r>
    <n v="36"/>
    <x v="1"/>
    <x v="1"/>
    <n v="0"/>
    <s v="Sales"/>
    <n v="2"/>
    <x v="0"/>
    <n v="3"/>
    <x v="2"/>
    <x v="0"/>
    <x v="0"/>
    <n v="9738"/>
    <x v="1"/>
    <s v="No"/>
    <n v="14"/>
    <n v="3"/>
    <n v="3"/>
    <n v="10"/>
    <n v="3"/>
    <n v="9"/>
    <n v="7"/>
  </r>
  <r>
    <n v="36"/>
    <x v="1"/>
    <x v="1"/>
    <n v="0"/>
    <s v="Research &amp; Development"/>
    <n v="1"/>
    <x v="0"/>
    <n v="3"/>
    <x v="1"/>
    <x v="2"/>
    <x v="0"/>
    <n v="2835"/>
    <x v="0"/>
    <s v="No"/>
    <n v="22"/>
    <n v="4"/>
    <n v="1"/>
    <n v="7"/>
    <n v="3"/>
    <n v="1"/>
    <n v="0"/>
  </r>
  <r>
    <n v="43"/>
    <x v="0"/>
    <x v="1"/>
    <n v="0"/>
    <s v="Sales"/>
    <n v="3"/>
    <x v="1"/>
    <n v="3"/>
    <x v="3"/>
    <x v="5"/>
    <x v="0"/>
    <n v="16959"/>
    <x v="2"/>
    <s v="Yes"/>
    <n v="12"/>
    <n v="3"/>
    <n v="4"/>
    <n v="25"/>
    <n v="4"/>
    <n v="25"/>
    <n v="12"/>
  </r>
  <r>
    <n v="30"/>
    <x v="2"/>
    <x v="1"/>
    <n v="0"/>
    <s v="Research &amp; Development"/>
    <n v="1"/>
    <x v="1"/>
    <n v="1"/>
    <x v="1"/>
    <x v="1"/>
    <x v="2"/>
    <n v="2613"/>
    <x v="0"/>
    <s v="No"/>
    <n v="25"/>
    <n v="4"/>
    <n v="3"/>
    <n v="10"/>
    <n v="2"/>
    <n v="10"/>
    <n v="7"/>
  </r>
  <r>
    <n v="33"/>
    <x v="1"/>
    <x v="1"/>
    <n v="0"/>
    <s v="Sales"/>
    <n v="3"/>
    <x v="1"/>
    <n v="3"/>
    <x v="0"/>
    <x v="0"/>
    <x v="1"/>
    <n v="6146"/>
    <x v="0"/>
    <s v="No"/>
    <n v="13"/>
    <n v="3"/>
    <n v="1"/>
    <n v="8"/>
    <n v="4"/>
    <n v="7"/>
    <n v="7"/>
  </r>
  <r>
    <n v="56"/>
    <x v="0"/>
    <x v="0"/>
    <n v="1"/>
    <s v="Research &amp; Development"/>
    <n v="2"/>
    <x v="0"/>
    <n v="3"/>
    <x v="1"/>
    <x v="1"/>
    <x v="1"/>
    <n v="4963"/>
    <x v="0"/>
    <s v="Yes"/>
    <n v="18"/>
    <n v="3"/>
    <n v="1"/>
    <n v="7"/>
    <n v="3"/>
    <n v="5"/>
    <n v="4"/>
  </r>
  <r>
    <n v="51"/>
    <x v="0"/>
    <x v="1"/>
    <n v="0"/>
    <s v="Research &amp; Development"/>
    <n v="1"/>
    <x v="1"/>
    <n v="3"/>
    <x v="4"/>
    <x v="7"/>
    <x v="2"/>
    <n v="19537"/>
    <x v="2"/>
    <s v="No"/>
    <n v="13"/>
    <n v="3"/>
    <n v="3"/>
    <n v="23"/>
    <n v="3"/>
    <n v="20"/>
    <n v="18"/>
  </r>
  <r>
    <n v="31"/>
    <x v="1"/>
    <x v="0"/>
    <n v="1"/>
    <s v="Sales"/>
    <n v="2"/>
    <x v="1"/>
    <n v="1"/>
    <x v="0"/>
    <x v="0"/>
    <x v="2"/>
    <n v="6172"/>
    <x v="0"/>
    <s v="Yes"/>
    <n v="18"/>
    <n v="3"/>
    <n v="2"/>
    <n v="12"/>
    <n v="2"/>
    <n v="7"/>
    <n v="7"/>
  </r>
  <r>
    <n v="26"/>
    <x v="2"/>
    <x v="1"/>
    <n v="0"/>
    <s v="Research &amp; Development"/>
    <n v="3"/>
    <x v="0"/>
    <n v="2"/>
    <x v="1"/>
    <x v="1"/>
    <x v="1"/>
    <n v="2368"/>
    <x v="0"/>
    <s v="No"/>
    <n v="19"/>
    <n v="3"/>
    <n v="3"/>
    <n v="5"/>
    <n v="2"/>
    <n v="5"/>
    <n v="4"/>
  </r>
  <r>
    <n v="58"/>
    <x v="0"/>
    <x v="0"/>
    <n v="1"/>
    <s v="Research &amp; Development"/>
    <n v="4"/>
    <x v="0"/>
    <n v="3"/>
    <x v="2"/>
    <x v="4"/>
    <x v="0"/>
    <n v="10312"/>
    <x v="1"/>
    <s v="No"/>
    <n v="12"/>
    <n v="3"/>
    <n v="4"/>
    <n v="40"/>
    <n v="2"/>
    <n v="40"/>
    <n v="10"/>
  </r>
  <r>
    <n v="19"/>
    <x v="2"/>
    <x v="0"/>
    <n v="1"/>
    <s v="Sales"/>
    <n v="4"/>
    <x v="1"/>
    <n v="3"/>
    <x v="1"/>
    <x v="6"/>
    <x v="2"/>
    <n v="1675"/>
    <x v="0"/>
    <s v="Yes"/>
    <n v="19"/>
    <n v="3"/>
    <n v="4"/>
    <n v="0"/>
    <n v="2"/>
    <n v="0"/>
    <n v="0"/>
  </r>
  <r>
    <n v="22"/>
    <x v="2"/>
    <x v="1"/>
    <n v="0"/>
    <s v="Research &amp; Development"/>
    <n v="3"/>
    <x v="1"/>
    <n v="3"/>
    <x v="1"/>
    <x v="2"/>
    <x v="0"/>
    <n v="2523"/>
    <x v="0"/>
    <s v="No"/>
    <n v="14"/>
    <n v="3"/>
    <n v="3"/>
    <n v="3"/>
    <n v="3"/>
    <n v="2"/>
    <n v="1"/>
  </r>
  <r>
    <n v="49"/>
    <x v="0"/>
    <x v="1"/>
    <n v="0"/>
    <s v="Research &amp; Development"/>
    <n v="3"/>
    <x v="0"/>
    <n v="3"/>
    <x v="0"/>
    <x v="3"/>
    <x v="3"/>
    <n v="6567"/>
    <x v="0"/>
    <s v="No"/>
    <n v="14"/>
    <n v="3"/>
    <n v="3"/>
    <n v="16"/>
    <n v="2"/>
    <n v="15"/>
    <n v="11"/>
  </r>
  <r>
    <n v="43"/>
    <x v="0"/>
    <x v="1"/>
    <n v="0"/>
    <s v="Research &amp; Development"/>
    <n v="2"/>
    <x v="0"/>
    <n v="4"/>
    <x v="1"/>
    <x v="1"/>
    <x v="2"/>
    <n v="4739"/>
    <x v="0"/>
    <s v="No"/>
    <n v="12"/>
    <n v="3"/>
    <n v="4"/>
    <n v="18"/>
    <n v="3"/>
    <n v="3"/>
    <n v="2"/>
  </r>
  <r>
    <n v="50"/>
    <x v="0"/>
    <x v="1"/>
    <n v="0"/>
    <s v="Sales"/>
    <n v="3"/>
    <x v="0"/>
    <n v="3"/>
    <x v="2"/>
    <x v="0"/>
    <x v="0"/>
    <n v="9208"/>
    <x v="1"/>
    <s v="No"/>
    <n v="11"/>
    <n v="3"/>
    <n v="4"/>
    <n v="16"/>
    <n v="3"/>
    <n v="2"/>
    <n v="2"/>
  </r>
  <r>
    <n v="31"/>
    <x v="1"/>
    <x v="0"/>
    <n v="1"/>
    <s v="Sales"/>
    <n v="2"/>
    <x v="0"/>
    <n v="1"/>
    <x v="0"/>
    <x v="0"/>
    <x v="2"/>
    <n v="4559"/>
    <x v="0"/>
    <s v="Yes"/>
    <n v="11"/>
    <n v="3"/>
    <n v="3"/>
    <n v="4"/>
    <n v="3"/>
    <n v="2"/>
    <n v="2"/>
  </r>
  <r>
    <n v="41"/>
    <x v="0"/>
    <x v="1"/>
    <n v="0"/>
    <s v="Sales"/>
    <n v="3"/>
    <x v="1"/>
    <n v="3"/>
    <x v="2"/>
    <x v="0"/>
    <x v="2"/>
    <n v="8189"/>
    <x v="1"/>
    <s v="Yes"/>
    <n v="13"/>
    <n v="3"/>
    <n v="3"/>
    <n v="12"/>
    <n v="3"/>
    <n v="9"/>
    <n v="7"/>
  </r>
  <r>
    <n v="26"/>
    <x v="2"/>
    <x v="1"/>
    <n v="0"/>
    <s v="Human Resources"/>
    <n v="3"/>
    <x v="0"/>
    <n v="3"/>
    <x v="1"/>
    <x v="8"/>
    <x v="2"/>
    <n v="2942"/>
    <x v="0"/>
    <s v="No"/>
    <n v="23"/>
    <n v="4"/>
    <n v="4"/>
    <n v="8"/>
    <n v="3"/>
    <n v="8"/>
    <n v="7"/>
  </r>
  <r>
    <n v="36"/>
    <x v="1"/>
    <x v="1"/>
    <n v="0"/>
    <s v="Research &amp; Development"/>
    <n v="2"/>
    <x v="1"/>
    <n v="3"/>
    <x v="0"/>
    <x v="3"/>
    <x v="1"/>
    <n v="4941"/>
    <x v="0"/>
    <s v="No"/>
    <n v="20"/>
    <n v="4"/>
    <n v="4"/>
    <n v="7"/>
    <n v="3"/>
    <n v="3"/>
    <n v="2"/>
  </r>
  <r>
    <n v="51"/>
    <x v="0"/>
    <x v="0"/>
    <n v="1"/>
    <s v="Research &amp; Development"/>
    <n v="1"/>
    <x v="1"/>
    <n v="1"/>
    <x v="2"/>
    <x v="3"/>
    <x v="0"/>
    <n v="10650"/>
    <x v="1"/>
    <s v="No"/>
    <n v="15"/>
    <n v="3"/>
    <n v="4"/>
    <n v="18"/>
    <n v="3"/>
    <n v="4"/>
    <n v="2"/>
  </r>
  <r>
    <n v="39"/>
    <x v="1"/>
    <x v="1"/>
    <n v="0"/>
    <s v="Sales"/>
    <n v="4"/>
    <x v="0"/>
    <n v="2"/>
    <x v="0"/>
    <x v="0"/>
    <x v="2"/>
    <n v="5902"/>
    <x v="0"/>
    <s v="No"/>
    <n v="14"/>
    <n v="3"/>
    <n v="3"/>
    <n v="17"/>
    <n v="4"/>
    <n v="15"/>
    <n v="11"/>
  </r>
  <r>
    <n v="25"/>
    <x v="2"/>
    <x v="1"/>
    <n v="0"/>
    <s v="Sales"/>
    <n v="1"/>
    <x v="1"/>
    <n v="2"/>
    <x v="0"/>
    <x v="0"/>
    <x v="2"/>
    <n v="8639"/>
    <x v="1"/>
    <s v="No"/>
    <n v="18"/>
    <n v="3"/>
    <n v="4"/>
    <n v="6"/>
    <n v="3"/>
    <n v="2"/>
    <n v="2"/>
  </r>
  <r>
    <n v="30"/>
    <x v="2"/>
    <x v="1"/>
    <n v="0"/>
    <s v="Human Resources"/>
    <n v="3"/>
    <x v="1"/>
    <n v="3"/>
    <x v="0"/>
    <x v="8"/>
    <x v="0"/>
    <n v="6347"/>
    <x v="0"/>
    <s v="Yes"/>
    <n v="19"/>
    <n v="3"/>
    <n v="4"/>
    <n v="12"/>
    <n v="1"/>
    <n v="11"/>
    <n v="9"/>
  </r>
  <r>
    <n v="32"/>
    <x v="1"/>
    <x v="0"/>
    <n v="1"/>
    <s v="Research &amp; Development"/>
    <n v="1"/>
    <x v="0"/>
    <n v="3"/>
    <x v="1"/>
    <x v="2"/>
    <x v="3"/>
    <n v="4200"/>
    <x v="0"/>
    <s v="No"/>
    <n v="22"/>
    <n v="4"/>
    <n v="1"/>
    <n v="10"/>
    <n v="4"/>
    <n v="5"/>
    <n v="4"/>
  </r>
  <r>
    <n v="45"/>
    <x v="0"/>
    <x v="1"/>
    <n v="0"/>
    <s v="Research &amp; Development"/>
    <n v="3"/>
    <x v="1"/>
    <n v="3"/>
    <x v="1"/>
    <x v="1"/>
    <x v="0"/>
    <n v="3452"/>
    <x v="0"/>
    <s v="No"/>
    <n v="13"/>
    <n v="3"/>
    <n v="2"/>
    <n v="9"/>
    <n v="2"/>
    <n v="6"/>
    <n v="5"/>
  </r>
  <r>
    <n v="38"/>
    <x v="1"/>
    <x v="1"/>
    <n v="0"/>
    <s v="Research &amp; Development"/>
    <n v="4"/>
    <x v="0"/>
    <n v="3"/>
    <x v="0"/>
    <x v="1"/>
    <x v="2"/>
    <n v="4317"/>
    <x v="0"/>
    <s v="Yes"/>
    <n v="20"/>
    <n v="4"/>
    <n v="2"/>
    <n v="19"/>
    <n v="3"/>
    <n v="3"/>
    <n v="2"/>
  </r>
  <r>
    <n v="30"/>
    <x v="2"/>
    <x v="1"/>
    <n v="0"/>
    <s v="Research &amp; Development"/>
    <n v="1"/>
    <x v="0"/>
    <n v="3"/>
    <x v="1"/>
    <x v="1"/>
    <x v="2"/>
    <n v="2632"/>
    <x v="0"/>
    <s v="No"/>
    <n v="14"/>
    <n v="3"/>
    <n v="3"/>
    <n v="5"/>
    <n v="2"/>
    <n v="5"/>
    <n v="4"/>
  </r>
  <r>
    <n v="32"/>
    <x v="1"/>
    <x v="1"/>
    <n v="0"/>
    <s v="Sales"/>
    <n v="4"/>
    <x v="1"/>
    <n v="1"/>
    <x v="0"/>
    <x v="0"/>
    <x v="0"/>
    <n v="4668"/>
    <x v="0"/>
    <s v="No"/>
    <n v="17"/>
    <n v="3"/>
    <n v="4"/>
    <n v="9"/>
    <n v="4"/>
    <n v="8"/>
    <n v="7"/>
  </r>
  <r>
    <n v="30"/>
    <x v="2"/>
    <x v="1"/>
    <n v="0"/>
    <s v="Research &amp; Development"/>
    <n v="4"/>
    <x v="0"/>
    <n v="3"/>
    <x v="1"/>
    <x v="1"/>
    <x v="3"/>
    <n v="3204"/>
    <x v="0"/>
    <s v="No"/>
    <n v="14"/>
    <n v="3"/>
    <n v="4"/>
    <n v="8"/>
    <n v="3"/>
    <n v="3"/>
    <n v="2"/>
  </r>
  <r>
    <n v="30"/>
    <x v="2"/>
    <x v="1"/>
    <n v="0"/>
    <s v="Research &amp; Development"/>
    <n v="2"/>
    <x v="1"/>
    <n v="2"/>
    <x v="1"/>
    <x v="2"/>
    <x v="0"/>
    <n v="2720"/>
    <x v="0"/>
    <s v="No"/>
    <n v="13"/>
    <n v="3"/>
    <n v="4"/>
    <n v="6"/>
    <n v="3"/>
    <n v="5"/>
    <n v="3"/>
  </r>
  <r>
    <n v="41"/>
    <x v="0"/>
    <x v="1"/>
    <n v="0"/>
    <s v="Research &amp; Development"/>
    <n v="4"/>
    <x v="1"/>
    <n v="2"/>
    <x v="3"/>
    <x v="5"/>
    <x v="3"/>
    <n v="17181"/>
    <x v="2"/>
    <s v="No"/>
    <n v="13"/>
    <n v="3"/>
    <n v="2"/>
    <n v="21"/>
    <n v="2"/>
    <n v="7"/>
    <n v="6"/>
  </r>
  <r>
    <n v="41"/>
    <x v="0"/>
    <x v="1"/>
    <n v="0"/>
    <s v="Research &amp; Development"/>
    <n v="3"/>
    <x v="1"/>
    <n v="3"/>
    <x v="1"/>
    <x v="2"/>
    <x v="3"/>
    <n v="2238"/>
    <x v="0"/>
    <s v="No"/>
    <n v="21"/>
    <n v="4"/>
    <n v="4"/>
    <n v="7"/>
    <n v="3"/>
    <n v="5"/>
    <n v="0"/>
  </r>
  <r>
    <n v="19"/>
    <x v="2"/>
    <x v="1"/>
    <n v="0"/>
    <s v="Research &amp; Development"/>
    <n v="2"/>
    <x v="0"/>
    <n v="3"/>
    <x v="1"/>
    <x v="2"/>
    <x v="1"/>
    <n v="1483"/>
    <x v="0"/>
    <s v="No"/>
    <n v="14"/>
    <n v="3"/>
    <n v="4"/>
    <n v="1"/>
    <n v="3"/>
    <n v="1"/>
    <n v="0"/>
  </r>
  <r>
    <n v="40"/>
    <x v="1"/>
    <x v="1"/>
    <n v="0"/>
    <s v="Research &amp; Development"/>
    <n v="2"/>
    <x v="0"/>
    <n v="3"/>
    <x v="0"/>
    <x v="1"/>
    <x v="1"/>
    <n v="5605"/>
    <x v="0"/>
    <s v="No"/>
    <n v="11"/>
    <n v="3"/>
    <n v="1"/>
    <n v="20"/>
    <n v="3"/>
    <n v="20"/>
    <n v="7"/>
  </r>
  <r>
    <n v="35"/>
    <x v="1"/>
    <x v="1"/>
    <n v="0"/>
    <s v="Sales"/>
    <n v="3"/>
    <x v="1"/>
    <n v="3"/>
    <x v="2"/>
    <x v="0"/>
    <x v="1"/>
    <n v="7295"/>
    <x v="1"/>
    <s v="No"/>
    <n v="13"/>
    <n v="3"/>
    <n v="1"/>
    <n v="10"/>
    <n v="3"/>
    <n v="10"/>
    <n v="8"/>
  </r>
  <r>
    <n v="53"/>
    <x v="0"/>
    <x v="1"/>
    <n v="0"/>
    <s v="Sales"/>
    <n v="2"/>
    <x v="1"/>
    <n v="3"/>
    <x v="0"/>
    <x v="6"/>
    <x v="2"/>
    <n v="2306"/>
    <x v="0"/>
    <s v="Yes"/>
    <n v="20"/>
    <n v="4"/>
    <n v="4"/>
    <n v="13"/>
    <n v="1"/>
    <n v="7"/>
    <n v="7"/>
  </r>
  <r>
    <n v="45"/>
    <x v="0"/>
    <x v="1"/>
    <n v="0"/>
    <s v="Research &amp; Development"/>
    <n v="2"/>
    <x v="1"/>
    <n v="3"/>
    <x v="0"/>
    <x v="2"/>
    <x v="1"/>
    <n v="2348"/>
    <x v="0"/>
    <s v="No"/>
    <n v="18"/>
    <n v="3"/>
    <n v="3"/>
    <n v="20"/>
    <n v="1"/>
    <n v="17"/>
    <n v="9"/>
  </r>
  <r>
    <n v="32"/>
    <x v="1"/>
    <x v="1"/>
    <n v="0"/>
    <s v="Sales"/>
    <n v="2"/>
    <x v="0"/>
    <n v="3"/>
    <x v="2"/>
    <x v="0"/>
    <x v="0"/>
    <n v="8998"/>
    <x v="1"/>
    <s v="No"/>
    <n v="14"/>
    <n v="3"/>
    <n v="4"/>
    <n v="9"/>
    <n v="3"/>
    <n v="9"/>
    <n v="8"/>
  </r>
  <r>
    <n v="29"/>
    <x v="2"/>
    <x v="1"/>
    <n v="0"/>
    <s v="Research &amp; Development"/>
    <n v="4"/>
    <x v="1"/>
    <n v="3"/>
    <x v="0"/>
    <x v="3"/>
    <x v="2"/>
    <n v="4319"/>
    <x v="0"/>
    <s v="No"/>
    <n v="13"/>
    <n v="3"/>
    <n v="1"/>
    <n v="10"/>
    <n v="3"/>
    <n v="10"/>
    <n v="7"/>
  </r>
  <r>
    <n v="51"/>
    <x v="0"/>
    <x v="1"/>
    <n v="0"/>
    <s v="Research &amp; Development"/>
    <n v="2"/>
    <x v="1"/>
    <n v="2"/>
    <x v="0"/>
    <x v="3"/>
    <x v="2"/>
    <n v="6132"/>
    <x v="0"/>
    <s v="No"/>
    <n v="17"/>
    <n v="3"/>
    <n v="3"/>
    <n v="10"/>
    <n v="3"/>
    <n v="1"/>
    <n v="0"/>
  </r>
  <r>
    <n v="58"/>
    <x v="0"/>
    <x v="1"/>
    <n v="0"/>
    <s v="Research &amp; Development"/>
    <n v="2"/>
    <x v="0"/>
    <n v="2"/>
    <x v="1"/>
    <x v="1"/>
    <x v="1"/>
    <n v="3346"/>
    <x v="0"/>
    <s v="Yes"/>
    <n v="20"/>
    <n v="4"/>
    <n v="2"/>
    <n v="9"/>
    <n v="2"/>
    <n v="1"/>
    <n v="0"/>
  </r>
  <r>
    <n v="40"/>
    <x v="1"/>
    <x v="1"/>
    <n v="0"/>
    <s v="Sales"/>
    <n v="3"/>
    <x v="1"/>
    <n v="2"/>
    <x v="2"/>
    <x v="0"/>
    <x v="0"/>
    <n v="10855"/>
    <x v="1"/>
    <s v="No"/>
    <n v="11"/>
    <n v="3"/>
    <n v="1"/>
    <n v="15"/>
    <n v="2"/>
    <n v="12"/>
    <n v="11"/>
  </r>
  <r>
    <n v="34"/>
    <x v="1"/>
    <x v="1"/>
    <n v="0"/>
    <s v="Sales"/>
    <n v="3"/>
    <x v="0"/>
    <n v="3"/>
    <x v="1"/>
    <x v="6"/>
    <x v="2"/>
    <n v="2231"/>
    <x v="0"/>
    <s v="No"/>
    <n v="18"/>
    <n v="3"/>
    <n v="4"/>
    <n v="6"/>
    <n v="3"/>
    <n v="4"/>
    <n v="3"/>
  </r>
  <r>
    <n v="22"/>
    <x v="2"/>
    <x v="1"/>
    <n v="0"/>
    <s v="Research &amp; Development"/>
    <n v="3"/>
    <x v="1"/>
    <n v="3"/>
    <x v="1"/>
    <x v="1"/>
    <x v="0"/>
    <n v="2323"/>
    <x v="0"/>
    <s v="No"/>
    <n v="24"/>
    <n v="4"/>
    <n v="1"/>
    <n v="2"/>
    <n v="3"/>
    <n v="2"/>
    <n v="2"/>
  </r>
  <r>
    <n v="27"/>
    <x v="2"/>
    <x v="1"/>
    <n v="0"/>
    <s v="Research &amp; Development"/>
    <n v="4"/>
    <x v="1"/>
    <n v="3"/>
    <x v="1"/>
    <x v="1"/>
    <x v="1"/>
    <n v="2024"/>
    <x v="0"/>
    <s v="No"/>
    <n v="18"/>
    <n v="3"/>
    <n v="4"/>
    <n v="6"/>
    <n v="1"/>
    <n v="2"/>
    <n v="2"/>
  </r>
  <r>
    <n v="28"/>
    <x v="2"/>
    <x v="1"/>
    <n v="0"/>
    <s v="Research &amp; Development"/>
    <n v="3"/>
    <x v="1"/>
    <n v="3"/>
    <x v="1"/>
    <x v="1"/>
    <x v="0"/>
    <n v="2713"/>
    <x v="0"/>
    <s v="No"/>
    <n v="11"/>
    <n v="3"/>
    <n v="3"/>
    <n v="5"/>
    <n v="1"/>
    <n v="5"/>
    <n v="2"/>
  </r>
  <r>
    <n v="57"/>
    <x v="0"/>
    <x v="1"/>
    <n v="0"/>
    <s v="Research &amp; Development"/>
    <n v="3"/>
    <x v="1"/>
    <n v="4"/>
    <x v="2"/>
    <x v="4"/>
    <x v="0"/>
    <n v="9439"/>
    <x v="1"/>
    <s v="Yes"/>
    <n v="16"/>
    <n v="3"/>
    <n v="2"/>
    <n v="12"/>
    <n v="1"/>
    <n v="5"/>
    <n v="3"/>
  </r>
  <r>
    <n v="27"/>
    <x v="2"/>
    <x v="1"/>
    <n v="0"/>
    <s v="Research &amp; Development"/>
    <n v="3"/>
    <x v="1"/>
    <n v="2"/>
    <x v="1"/>
    <x v="1"/>
    <x v="2"/>
    <n v="2566"/>
    <x v="0"/>
    <s v="Yes"/>
    <n v="15"/>
    <n v="3"/>
    <n v="4"/>
    <n v="1"/>
    <n v="2"/>
    <n v="1"/>
    <n v="1"/>
  </r>
  <r>
    <n v="50"/>
    <x v="0"/>
    <x v="1"/>
    <n v="0"/>
    <s v="Research &amp; Development"/>
    <n v="3"/>
    <x v="0"/>
    <n v="3"/>
    <x v="4"/>
    <x v="5"/>
    <x v="1"/>
    <n v="19926"/>
    <x v="2"/>
    <s v="No"/>
    <n v="15"/>
    <n v="3"/>
    <n v="2"/>
    <n v="21"/>
    <n v="3"/>
    <n v="5"/>
    <n v="4"/>
  </r>
  <r>
    <n v="41"/>
    <x v="0"/>
    <x v="1"/>
    <n v="0"/>
    <s v="Research &amp; Development"/>
    <n v="1"/>
    <x v="1"/>
    <n v="3"/>
    <x v="1"/>
    <x v="1"/>
    <x v="2"/>
    <n v="2451"/>
    <x v="0"/>
    <s v="No"/>
    <n v="12"/>
    <n v="3"/>
    <n v="1"/>
    <n v="13"/>
    <n v="3"/>
    <n v="9"/>
    <n v="8"/>
  </r>
  <r>
    <n v="30"/>
    <x v="2"/>
    <x v="1"/>
    <n v="0"/>
    <s v="Sales"/>
    <n v="2"/>
    <x v="0"/>
    <n v="3"/>
    <x v="2"/>
    <x v="0"/>
    <x v="0"/>
    <n v="9419"/>
    <x v="1"/>
    <s v="No"/>
    <n v="12"/>
    <n v="3"/>
    <n v="3"/>
    <n v="12"/>
    <n v="3"/>
    <n v="10"/>
    <n v="9"/>
  </r>
  <r>
    <n v="38"/>
    <x v="1"/>
    <x v="1"/>
    <n v="0"/>
    <s v="Sales"/>
    <n v="1"/>
    <x v="0"/>
    <n v="2"/>
    <x v="0"/>
    <x v="0"/>
    <x v="0"/>
    <n v="8686"/>
    <x v="1"/>
    <s v="No"/>
    <n v="22"/>
    <n v="4"/>
    <n v="3"/>
    <n v="12"/>
    <n v="4"/>
    <n v="8"/>
    <n v="3"/>
  </r>
  <r>
    <n v="32"/>
    <x v="1"/>
    <x v="1"/>
    <n v="0"/>
    <s v="Research &amp; Development"/>
    <n v="3"/>
    <x v="1"/>
    <n v="3"/>
    <x v="1"/>
    <x v="1"/>
    <x v="2"/>
    <n v="3038"/>
    <x v="0"/>
    <s v="No"/>
    <n v="20"/>
    <n v="4"/>
    <n v="1"/>
    <n v="8"/>
    <n v="3"/>
    <n v="5"/>
    <n v="4"/>
  </r>
  <r>
    <n v="27"/>
    <x v="2"/>
    <x v="1"/>
    <n v="0"/>
    <s v="Research &amp; Development"/>
    <n v="3"/>
    <x v="1"/>
    <n v="3"/>
    <x v="1"/>
    <x v="1"/>
    <x v="1"/>
    <n v="3058"/>
    <x v="0"/>
    <s v="Yes"/>
    <n v="16"/>
    <n v="3"/>
    <n v="4"/>
    <n v="6"/>
    <n v="2"/>
    <n v="5"/>
    <n v="2"/>
  </r>
  <r>
    <n v="19"/>
    <x v="2"/>
    <x v="0"/>
    <n v="1"/>
    <s v="Sales"/>
    <n v="3"/>
    <x v="0"/>
    <n v="1"/>
    <x v="1"/>
    <x v="6"/>
    <x v="3"/>
    <n v="2325"/>
    <x v="0"/>
    <s v="No"/>
    <n v="21"/>
    <n v="4"/>
    <n v="1"/>
    <n v="1"/>
    <n v="4"/>
    <n v="0"/>
    <n v="0"/>
  </r>
  <r>
    <n v="36"/>
    <x v="1"/>
    <x v="1"/>
    <n v="0"/>
    <s v="Research &amp; Development"/>
    <n v="4"/>
    <x v="1"/>
    <n v="3"/>
    <x v="1"/>
    <x v="2"/>
    <x v="1"/>
    <n v="2088"/>
    <x v="0"/>
    <s v="No"/>
    <n v="12"/>
    <n v="3"/>
    <n v="3"/>
    <n v="13"/>
    <n v="2"/>
    <n v="8"/>
    <n v="7"/>
  </r>
  <r>
    <n v="30"/>
    <x v="2"/>
    <x v="1"/>
    <n v="0"/>
    <s v="Research &amp; Development"/>
    <n v="3"/>
    <x v="1"/>
    <n v="3"/>
    <x v="0"/>
    <x v="2"/>
    <x v="3"/>
    <n v="3072"/>
    <x v="0"/>
    <s v="No"/>
    <n v="11"/>
    <n v="3"/>
    <n v="3"/>
    <n v="12"/>
    <n v="3"/>
    <n v="12"/>
    <n v="9"/>
  </r>
  <r>
    <n v="45"/>
    <x v="0"/>
    <x v="1"/>
    <n v="0"/>
    <s v="Sales"/>
    <n v="3"/>
    <x v="0"/>
    <n v="3"/>
    <x v="0"/>
    <x v="0"/>
    <x v="3"/>
    <n v="5006"/>
    <x v="0"/>
    <s v="Yes"/>
    <n v="11"/>
    <n v="3"/>
    <n v="1"/>
    <n v="9"/>
    <n v="4"/>
    <n v="5"/>
    <n v="4"/>
  </r>
  <r>
    <n v="56"/>
    <x v="0"/>
    <x v="1"/>
    <n v="0"/>
    <s v="Research &amp; Development"/>
    <n v="3"/>
    <x v="0"/>
    <n v="3"/>
    <x v="1"/>
    <x v="1"/>
    <x v="3"/>
    <n v="4257"/>
    <x v="0"/>
    <s v="Yes"/>
    <n v="18"/>
    <n v="3"/>
    <n v="3"/>
    <n v="19"/>
    <n v="3"/>
    <n v="2"/>
    <n v="2"/>
  </r>
  <r>
    <n v="33"/>
    <x v="1"/>
    <x v="1"/>
    <n v="0"/>
    <s v="Research &amp; Development"/>
    <n v="3"/>
    <x v="1"/>
    <n v="3"/>
    <x v="1"/>
    <x v="1"/>
    <x v="0"/>
    <n v="2500"/>
    <x v="0"/>
    <s v="No"/>
    <n v="14"/>
    <n v="3"/>
    <n v="1"/>
    <n v="4"/>
    <n v="4"/>
    <n v="3"/>
    <n v="1"/>
  </r>
  <r>
    <n v="19"/>
    <x v="2"/>
    <x v="0"/>
    <n v="1"/>
    <s v="Research &amp; Development"/>
    <n v="2"/>
    <x v="1"/>
    <n v="2"/>
    <x v="1"/>
    <x v="2"/>
    <x v="0"/>
    <n v="1102"/>
    <x v="0"/>
    <s v="No"/>
    <n v="22"/>
    <n v="4"/>
    <n v="3"/>
    <n v="1"/>
    <n v="2"/>
    <n v="1"/>
    <n v="0"/>
  </r>
  <r>
    <n v="46"/>
    <x v="0"/>
    <x v="1"/>
    <n v="0"/>
    <s v="Sales"/>
    <n v="2"/>
    <x v="0"/>
    <n v="3"/>
    <x v="2"/>
    <x v="0"/>
    <x v="3"/>
    <n v="10453"/>
    <x v="1"/>
    <s v="No"/>
    <n v="25"/>
    <n v="4"/>
    <n v="3"/>
    <n v="24"/>
    <n v="3"/>
    <n v="24"/>
    <n v="13"/>
  </r>
  <r>
    <n v="38"/>
    <x v="1"/>
    <x v="1"/>
    <n v="0"/>
    <s v="Research &amp; Development"/>
    <n v="3"/>
    <x v="0"/>
    <n v="3"/>
    <x v="1"/>
    <x v="2"/>
    <x v="0"/>
    <n v="2288"/>
    <x v="0"/>
    <s v="No"/>
    <n v="12"/>
    <n v="3"/>
    <n v="3"/>
    <n v="2"/>
    <n v="3"/>
    <n v="2"/>
    <n v="2"/>
  </r>
  <r>
    <n v="31"/>
    <x v="1"/>
    <x v="1"/>
    <n v="0"/>
    <s v="Research &amp; Development"/>
    <n v="3"/>
    <x v="0"/>
    <n v="3"/>
    <x v="1"/>
    <x v="1"/>
    <x v="0"/>
    <n v="3929"/>
    <x v="0"/>
    <s v="Yes"/>
    <n v="23"/>
    <n v="4"/>
    <n v="3"/>
    <n v="7"/>
    <n v="3"/>
    <n v="4"/>
    <n v="2"/>
  </r>
  <r>
    <n v="34"/>
    <x v="1"/>
    <x v="1"/>
    <n v="0"/>
    <s v="Research &amp; Development"/>
    <n v="4"/>
    <x v="0"/>
    <n v="3"/>
    <x v="1"/>
    <x v="1"/>
    <x v="1"/>
    <n v="2311"/>
    <x v="0"/>
    <s v="No"/>
    <n v="15"/>
    <n v="3"/>
    <n v="4"/>
    <n v="9"/>
    <n v="3"/>
    <n v="3"/>
    <n v="2"/>
  </r>
  <r>
    <n v="41"/>
    <x v="0"/>
    <x v="0"/>
    <n v="1"/>
    <s v="Sales"/>
    <n v="2"/>
    <x v="0"/>
    <n v="3"/>
    <x v="1"/>
    <x v="6"/>
    <x v="1"/>
    <n v="3140"/>
    <x v="0"/>
    <s v="Yes"/>
    <n v="22"/>
    <n v="4"/>
    <n v="4"/>
    <n v="4"/>
    <n v="2"/>
    <n v="4"/>
    <n v="3"/>
  </r>
  <r>
    <n v="50"/>
    <x v="0"/>
    <x v="1"/>
    <n v="0"/>
    <s v="Research &amp; Development"/>
    <n v="3"/>
    <x v="1"/>
    <n v="2"/>
    <x v="1"/>
    <x v="2"/>
    <x v="2"/>
    <n v="3690"/>
    <x v="0"/>
    <s v="No"/>
    <n v="15"/>
    <n v="3"/>
    <n v="4"/>
    <n v="5"/>
    <n v="2"/>
    <n v="3"/>
    <n v="2"/>
  </r>
  <r>
    <n v="53"/>
    <x v="0"/>
    <x v="1"/>
    <n v="0"/>
    <s v="Research &amp; Development"/>
    <n v="4"/>
    <x v="0"/>
    <n v="4"/>
    <x v="0"/>
    <x v="3"/>
    <x v="3"/>
    <n v="4450"/>
    <x v="0"/>
    <s v="No"/>
    <n v="11"/>
    <n v="3"/>
    <n v="3"/>
    <n v="5"/>
    <n v="3"/>
    <n v="4"/>
    <n v="2"/>
  </r>
  <r>
    <n v="33"/>
    <x v="1"/>
    <x v="1"/>
    <n v="0"/>
    <s v="Research &amp; Development"/>
    <n v="4"/>
    <x v="0"/>
    <n v="3"/>
    <x v="1"/>
    <x v="1"/>
    <x v="1"/>
    <n v="2756"/>
    <x v="0"/>
    <s v="No"/>
    <n v="13"/>
    <n v="3"/>
    <n v="4"/>
    <n v="8"/>
    <n v="3"/>
    <n v="8"/>
    <n v="7"/>
  </r>
  <r>
    <n v="40"/>
    <x v="1"/>
    <x v="1"/>
    <n v="0"/>
    <s v="Research &amp; Development"/>
    <n v="4"/>
    <x v="0"/>
    <n v="3"/>
    <x v="4"/>
    <x v="5"/>
    <x v="2"/>
    <n v="19033"/>
    <x v="2"/>
    <s v="No"/>
    <n v="14"/>
    <n v="3"/>
    <n v="2"/>
    <n v="21"/>
    <n v="3"/>
    <n v="20"/>
    <n v="8"/>
  </r>
  <r>
    <n v="55"/>
    <x v="0"/>
    <x v="1"/>
    <n v="0"/>
    <s v="Research &amp; Development"/>
    <n v="3"/>
    <x v="1"/>
    <n v="4"/>
    <x v="4"/>
    <x v="7"/>
    <x v="1"/>
    <n v="18722"/>
    <x v="2"/>
    <s v="No"/>
    <n v="11"/>
    <n v="3"/>
    <n v="4"/>
    <n v="36"/>
    <n v="3"/>
    <n v="24"/>
    <n v="15"/>
  </r>
  <r>
    <n v="34"/>
    <x v="1"/>
    <x v="1"/>
    <n v="0"/>
    <s v="Research &amp; Development"/>
    <n v="4"/>
    <x v="1"/>
    <n v="2"/>
    <x v="0"/>
    <x v="3"/>
    <x v="2"/>
    <n v="9547"/>
    <x v="1"/>
    <s v="No"/>
    <n v="17"/>
    <n v="3"/>
    <n v="3"/>
    <n v="10"/>
    <n v="2"/>
    <n v="10"/>
    <n v="9"/>
  </r>
  <r>
    <n v="51"/>
    <x v="0"/>
    <x v="1"/>
    <n v="0"/>
    <s v="Research &amp; Development"/>
    <n v="4"/>
    <x v="0"/>
    <n v="3"/>
    <x v="3"/>
    <x v="4"/>
    <x v="1"/>
    <n v="13734"/>
    <x v="1"/>
    <s v="No"/>
    <n v="18"/>
    <n v="3"/>
    <n v="3"/>
    <n v="21"/>
    <n v="3"/>
    <n v="7"/>
    <n v="7"/>
  </r>
  <r>
    <n v="52"/>
    <x v="0"/>
    <x v="1"/>
    <n v="0"/>
    <s v="Research &amp; Development"/>
    <n v="3"/>
    <x v="1"/>
    <n v="2"/>
    <x v="4"/>
    <x v="5"/>
    <x v="2"/>
    <n v="19999"/>
    <x v="2"/>
    <s v="No"/>
    <n v="14"/>
    <n v="3"/>
    <n v="1"/>
    <n v="34"/>
    <n v="3"/>
    <n v="33"/>
    <n v="18"/>
  </r>
  <r>
    <n v="27"/>
    <x v="2"/>
    <x v="1"/>
    <n v="0"/>
    <s v="Research &amp; Development"/>
    <n v="4"/>
    <x v="0"/>
    <n v="3"/>
    <x v="1"/>
    <x v="1"/>
    <x v="1"/>
    <n v="2279"/>
    <x v="0"/>
    <s v="No"/>
    <n v="16"/>
    <n v="3"/>
    <n v="4"/>
    <n v="7"/>
    <n v="2"/>
    <n v="7"/>
    <n v="7"/>
  </r>
  <r>
    <n v="35"/>
    <x v="1"/>
    <x v="0"/>
    <n v="1"/>
    <s v="Research &amp; Development"/>
    <n v="2"/>
    <x v="1"/>
    <n v="2"/>
    <x v="0"/>
    <x v="3"/>
    <x v="2"/>
    <n v="5916"/>
    <x v="0"/>
    <s v="Yes"/>
    <n v="13"/>
    <n v="3"/>
    <n v="1"/>
    <n v="8"/>
    <n v="3"/>
    <n v="1"/>
    <n v="0"/>
  </r>
  <r>
    <n v="43"/>
    <x v="0"/>
    <x v="1"/>
    <n v="0"/>
    <s v="Research &amp; Development"/>
    <n v="4"/>
    <x v="1"/>
    <n v="4"/>
    <x v="1"/>
    <x v="1"/>
    <x v="0"/>
    <n v="2089"/>
    <x v="0"/>
    <s v="No"/>
    <n v="14"/>
    <n v="3"/>
    <n v="4"/>
    <n v="7"/>
    <n v="4"/>
    <n v="5"/>
    <n v="4"/>
  </r>
  <r>
    <n v="45"/>
    <x v="0"/>
    <x v="1"/>
    <n v="0"/>
    <s v="Research &amp; Development"/>
    <n v="1"/>
    <x v="1"/>
    <n v="2"/>
    <x v="3"/>
    <x v="5"/>
    <x v="0"/>
    <n v="16792"/>
    <x v="2"/>
    <s v="No"/>
    <n v="23"/>
    <n v="4"/>
    <n v="4"/>
    <n v="22"/>
    <n v="3"/>
    <n v="20"/>
    <n v="8"/>
  </r>
  <r>
    <n v="37"/>
    <x v="1"/>
    <x v="1"/>
    <n v="0"/>
    <s v="Research &amp; Development"/>
    <n v="2"/>
    <x v="1"/>
    <n v="4"/>
    <x v="1"/>
    <x v="1"/>
    <x v="3"/>
    <n v="3564"/>
    <x v="0"/>
    <s v="Yes"/>
    <n v="12"/>
    <n v="3"/>
    <n v="1"/>
    <n v="8"/>
    <n v="2"/>
    <n v="8"/>
    <n v="7"/>
  </r>
  <r>
    <n v="35"/>
    <x v="1"/>
    <x v="1"/>
    <n v="0"/>
    <s v="Research &amp; Development"/>
    <n v="2"/>
    <x v="0"/>
    <n v="3"/>
    <x v="0"/>
    <x v="2"/>
    <x v="1"/>
    <n v="4425"/>
    <x v="0"/>
    <s v="No"/>
    <n v="11"/>
    <n v="3"/>
    <n v="4"/>
    <n v="10"/>
    <n v="3"/>
    <n v="6"/>
    <n v="2"/>
  </r>
  <r>
    <n v="42"/>
    <x v="0"/>
    <x v="1"/>
    <n v="0"/>
    <s v="Research &amp; Development"/>
    <n v="3"/>
    <x v="0"/>
    <n v="3"/>
    <x v="0"/>
    <x v="3"/>
    <x v="2"/>
    <n v="5265"/>
    <x v="0"/>
    <s v="No"/>
    <n v="16"/>
    <n v="3"/>
    <n v="2"/>
    <n v="11"/>
    <n v="3"/>
    <n v="5"/>
    <n v="3"/>
  </r>
  <r>
    <n v="38"/>
    <x v="1"/>
    <x v="1"/>
    <n v="0"/>
    <s v="Research &amp; Development"/>
    <n v="4"/>
    <x v="1"/>
    <n v="3"/>
    <x v="0"/>
    <x v="3"/>
    <x v="2"/>
    <n v="6553"/>
    <x v="0"/>
    <s v="No"/>
    <n v="14"/>
    <n v="3"/>
    <n v="2"/>
    <n v="14"/>
    <n v="3"/>
    <n v="1"/>
    <n v="0"/>
  </r>
  <r>
    <n v="38"/>
    <x v="1"/>
    <x v="1"/>
    <n v="0"/>
    <s v="Research &amp; Development"/>
    <n v="4"/>
    <x v="1"/>
    <n v="3"/>
    <x v="0"/>
    <x v="3"/>
    <x v="0"/>
    <n v="6261"/>
    <x v="0"/>
    <s v="No"/>
    <n v="18"/>
    <n v="3"/>
    <n v="1"/>
    <n v="9"/>
    <n v="1"/>
    <n v="7"/>
    <n v="7"/>
  </r>
  <r>
    <n v="27"/>
    <x v="2"/>
    <x v="1"/>
    <n v="0"/>
    <s v="Research &amp; Development"/>
    <n v="3"/>
    <x v="1"/>
    <n v="2"/>
    <x v="0"/>
    <x v="3"/>
    <x v="3"/>
    <n v="4298"/>
    <x v="0"/>
    <s v="No"/>
    <n v="19"/>
    <n v="3"/>
    <n v="3"/>
    <n v="6"/>
    <n v="3"/>
    <n v="2"/>
    <n v="2"/>
  </r>
  <r>
    <n v="49"/>
    <x v="0"/>
    <x v="1"/>
    <n v="0"/>
    <s v="Research &amp; Development"/>
    <n v="4"/>
    <x v="1"/>
    <n v="3"/>
    <x v="0"/>
    <x v="3"/>
    <x v="0"/>
    <n v="6804"/>
    <x v="0"/>
    <s v="Yes"/>
    <n v="15"/>
    <n v="3"/>
    <n v="1"/>
    <n v="7"/>
    <n v="3"/>
    <n v="7"/>
    <n v="7"/>
  </r>
  <r>
    <n v="34"/>
    <x v="1"/>
    <x v="1"/>
    <n v="0"/>
    <s v="Research &amp; Development"/>
    <n v="4"/>
    <x v="1"/>
    <n v="3"/>
    <x v="1"/>
    <x v="1"/>
    <x v="2"/>
    <n v="3815"/>
    <x v="0"/>
    <s v="Yes"/>
    <n v="17"/>
    <n v="3"/>
    <n v="4"/>
    <n v="5"/>
    <n v="4"/>
    <n v="5"/>
    <n v="3"/>
  </r>
  <r>
    <n v="40"/>
    <x v="1"/>
    <x v="1"/>
    <n v="0"/>
    <s v="Research &amp; Development"/>
    <n v="3"/>
    <x v="1"/>
    <n v="3"/>
    <x v="0"/>
    <x v="2"/>
    <x v="0"/>
    <n v="2741"/>
    <x v="0"/>
    <s v="Yes"/>
    <n v="15"/>
    <n v="3"/>
    <n v="3"/>
    <n v="15"/>
    <n v="4"/>
    <n v="7"/>
    <n v="2"/>
  </r>
  <r>
    <n v="38"/>
    <x v="1"/>
    <x v="0"/>
    <n v="1"/>
    <s v="Research &amp; Development"/>
    <n v="2"/>
    <x v="1"/>
    <n v="3"/>
    <x v="0"/>
    <x v="4"/>
    <x v="3"/>
    <n v="6673"/>
    <x v="0"/>
    <s v="Yes"/>
    <n v="19"/>
    <n v="3"/>
    <n v="2"/>
    <n v="17"/>
    <n v="3"/>
    <n v="1"/>
    <n v="0"/>
  </r>
  <r>
    <n v="29"/>
    <x v="2"/>
    <x v="0"/>
    <n v="1"/>
    <s v="Sales"/>
    <n v="2"/>
    <x v="0"/>
    <n v="3"/>
    <x v="2"/>
    <x v="0"/>
    <x v="0"/>
    <n v="7639"/>
    <x v="1"/>
    <s v="No"/>
    <n v="22"/>
    <n v="4"/>
    <n v="4"/>
    <n v="10"/>
    <n v="2"/>
    <n v="10"/>
    <n v="4"/>
  </r>
  <r>
    <n v="22"/>
    <x v="2"/>
    <x v="1"/>
    <n v="0"/>
    <s v="Research &amp; Development"/>
    <n v="4"/>
    <x v="1"/>
    <n v="4"/>
    <x v="1"/>
    <x v="1"/>
    <x v="1"/>
    <n v="2328"/>
    <x v="0"/>
    <s v="Yes"/>
    <n v="16"/>
    <n v="3"/>
    <n v="1"/>
    <n v="4"/>
    <n v="2"/>
    <n v="4"/>
    <n v="2"/>
  </r>
  <r>
    <n v="36"/>
    <x v="1"/>
    <x v="1"/>
    <n v="0"/>
    <s v="Research &amp; Development"/>
    <n v="2"/>
    <x v="0"/>
    <n v="3"/>
    <x v="1"/>
    <x v="2"/>
    <x v="0"/>
    <n v="2153"/>
    <x v="0"/>
    <s v="No"/>
    <n v="13"/>
    <n v="3"/>
    <n v="1"/>
    <n v="8"/>
    <n v="3"/>
    <n v="8"/>
    <n v="1"/>
  </r>
  <r>
    <n v="40"/>
    <x v="1"/>
    <x v="1"/>
    <n v="0"/>
    <s v="Research &amp; Development"/>
    <n v="4"/>
    <x v="1"/>
    <n v="2"/>
    <x v="0"/>
    <x v="4"/>
    <x v="0"/>
    <n v="4876"/>
    <x v="0"/>
    <s v="No"/>
    <n v="14"/>
    <n v="3"/>
    <n v="4"/>
    <n v="5"/>
    <n v="1"/>
    <n v="3"/>
    <n v="2"/>
  </r>
  <r>
    <n v="46"/>
    <x v="0"/>
    <x v="1"/>
    <n v="0"/>
    <s v="Research &amp; Development"/>
    <n v="4"/>
    <x v="1"/>
    <n v="3"/>
    <x v="2"/>
    <x v="4"/>
    <x v="3"/>
    <n v="9396"/>
    <x v="1"/>
    <s v="No"/>
    <n v="16"/>
    <n v="3"/>
    <n v="3"/>
    <n v="17"/>
    <n v="3"/>
    <n v="4"/>
    <n v="2"/>
  </r>
  <r>
    <n v="32"/>
    <x v="1"/>
    <x v="0"/>
    <n v="1"/>
    <s v="Sales"/>
    <n v="4"/>
    <x v="1"/>
    <n v="1"/>
    <x v="2"/>
    <x v="0"/>
    <x v="0"/>
    <n v="10400"/>
    <x v="1"/>
    <s v="No"/>
    <n v="11"/>
    <n v="3"/>
    <n v="3"/>
    <n v="14"/>
    <n v="2"/>
    <n v="14"/>
    <n v="8"/>
  </r>
  <r>
    <n v="30"/>
    <x v="2"/>
    <x v="1"/>
    <n v="0"/>
    <s v="Research &amp; Development"/>
    <n v="3"/>
    <x v="1"/>
    <n v="2"/>
    <x v="2"/>
    <x v="3"/>
    <x v="2"/>
    <n v="8474"/>
    <x v="1"/>
    <s v="No"/>
    <n v="22"/>
    <n v="4"/>
    <n v="3"/>
    <n v="12"/>
    <n v="3"/>
    <n v="11"/>
    <n v="8"/>
  </r>
  <r>
    <n v="27"/>
    <x v="2"/>
    <x v="1"/>
    <n v="0"/>
    <s v="Sales"/>
    <n v="4"/>
    <x v="0"/>
    <n v="3"/>
    <x v="0"/>
    <x v="0"/>
    <x v="2"/>
    <n v="9981"/>
    <x v="1"/>
    <s v="No"/>
    <n v="14"/>
    <n v="3"/>
    <n v="4"/>
    <n v="7"/>
    <n v="3"/>
    <n v="7"/>
    <n v="7"/>
  </r>
  <r>
    <n v="51"/>
    <x v="0"/>
    <x v="1"/>
    <n v="0"/>
    <s v="Research &amp; Development"/>
    <n v="2"/>
    <x v="1"/>
    <n v="2"/>
    <x v="2"/>
    <x v="7"/>
    <x v="1"/>
    <n v="12490"/>
    <x v="1"/>
    <s v="No"/>
    <n v="16"/>
    <n v="3"/>
    <n v="4"/>
    <n v="16"/>
    <n v="1"/>
    <n v="10"/>
    <n v="9"/>
  </r>
  <r>
    <n v="30"/>
    <x v="2"/>
    <x v="0"/>
    <n v="1"/>
    <s v="Research &amp; Development"/>
    <n v="4"/>
    <x v="0"/>
    <n v="3"/>
    <x v="1"/>
    <x v="1"/>
    <x v="3"/>
    <n v="2657"/>
    <x v="0"/>
    <s v="Yes"/>
    <n v="11"/>
    <n v="3"/>
    <n v="3"/>
    <n v="8"/>
    <n v="3"/>
    <n v="5"/>
    <n v="2"/>
  </r>
  <r>
    <n v="41"/>
    <x v="0"/>
    <x v="1"/>
    <n v="0"/>
    <s v="Sales"/>
    <n v="4"/>
    <x v="0"/>
    <n v="3"/>
    <x v="2"/>
    <x v="5"/>
    <x v="0"/>
    <n v="13591"/>
    <x v="1"/>
    <s v="Yes"/>
    <n v="18"/>
    <n v="3"/>
    <n v="3"/>
    <n v="16"/>
    <n v="3"/>
    <n v="1"/>
    <n v="0"/>
  </r>
  <r>
    <n v="30"/>
    <x v="2"/>
    <x v="0"/>
    <n v="1"/>
    <s v="Sales"/>
    <n v="3"/>
    <x v="0"/>
    <n v="2"/>
    <x v="0"/>
    <x v="0"/>
    <x v="3"/>
    <n v="6696"/>
    <x v="0"/>
    <s v="No"/>
    <n v="15"/>
    <n v="3"/>
    <n v="3"/>
    <n v="9"/>
    <n v="2"/>
    <n v="6"/>
    <n v="3"/>
  </r>
  <r>
    <n v="29"/>
    <x v="2"/>
    <x v="0"/>
    <n v="1"/>
    <s v="Research &amp; Development"/>
    <n v="3"/>
    <x v="1"/>
    <n v="3"/>
    <x v="1"/>
    <x v="1"/>
    <x v="2"/>
    <n v="2058"/>
    <x v="0"/>
    <s v="No"/>
    <n v="14"/>
    <n v="3"/>
    <n v="4"/>
    <n v="7"/>
    <n v="2"/>
    <n v="6"/>
    <n v="2"/>
  </r>
  <r>
    <n v="45"/>
    <x v="0"/>
    <x v="1"/>
    <n v="0"/>
    <s v="Sales"/>
    <n v="4"/>
    <x v="0"/>
    <n v="2"/>
    <x v="2"/>
    <x v="0"/>
    <x v="0"/>
    <n v="8865"/>
    <x v="1"/>
    <s v="No"/>
    <n v="12"/>
    <n v="3"/>
    <n v="4"/>
    <n v="23"/>
    <n v="3"/>
    <n v="19"/>
    <n v="7"/>
  </r>
  <r>
    <n v="54"/>
    <x v="0"/>
    <x v="1"/>
    <n v="0"/>
    <s v="Sales"/>
    <n v="4"/>
    <x v="0"/>
    <n v="3"/>
    <x v="0"/>
    <x v="0"/>
    <x v="3"/>
    <n v="5940"/>
    <x v="0"/>
    <s v="No"/>
    <n v="14"/>
    <n v="3"/>
    <n v="4"/>
    <n v="16"/>
    <n v="3"/>
    <n v="6"/>
    <n v="2"/>
  </r>
  <r>
    <n v="36"/>
    <x v="1"/>
    <x v="1"/>
    <n v="0"/>
    <s v="Research &amp; Development"/>
    <n v="4"/>
    <x v="1"/>
    <n v="3"/>
    <x v="0"/>
    <x v="2"/>
    <x v="1"/>
    <n v="5914"/>
    <x v="0"/>
    <s v="No"/>
    <n v="16"/>
    <n v="3"/>
    <n v="4"/>
    <n v="16"/>
    <n v="4"/>
    <n v="13"/>
    <n v="11"/>
  </r>
  <r>
    <n v="33"/>
    <x v="1"/>
    <x v="1"/>
    <n v="0"/>
    <s v="Research &amp; Development"/>
    <n v="3"/>
    <x v="0"/>
    <n v="2"/>
    <x v="1"/>
    <x v="1"/>
    <x v="1"/>
    <n v="2622"/>
    <x v="0"/>
    <s v="No"/>
    <n v="21"/>
    <n v="4"/>
    <n v="4"/>
    <n v="7"/>
    <n v="3"/>
    <n v="3"/>
    <n v="2"/>
  </r>
  <r>
    <n v="37"/>
    <x v="1"/>
    <x v="1"/>
    <n v="0"/>
    <s v="Research &amp; Development"/>
    <n v="2"/>
    <x v="1"/>
    <n v="3"/>
    <x v="2"/>
    <x v="7"/>
    <x v="0"/>
    <n v="12185"/>
    <x v="1"/>
    <s v="Yes"/>
    <n v="14"/>
    <n v="3"/>
    <n v="3"/>
    <n v="10"/>
    <n v="3"/>
    <n v="10"/>
    <n v="8"/>
  </r>
  <r>
    <n v="38"/>
    <x v="1"/>
    <x v="1"/>
    <n v="0"/>
    <s v="Sales"/>
    <n v="1"/>
    <x v="1"/>
    <n v="3"/>
    <x v="2"/>
    <x v="0"/>
    <x v="2"/>
    <n v="10609"/>
    <x v="1"/>
    <s v="No"/>
    <n v="12"/>
    <n v="3"/>
    <n v="3"/>
    <n v="17"/>
    <n v="2"/>
    <n v="16"/>
    <n v="10"/>
  </r>
  <r>
    <n v="31"/>
    <x v="1"/>
    <x v="1"/>
    <n v="0"/>
    <s v="Research &amp; Development"/>
    <n v="3"/>
    <x v="1"/>
    <n v="1"/>
    <x v="0"/>
    <x v="3"/>
    <x v="2"/>
    <n v="4345"/>
    <x v="0"/>
    <s v="No"/>
    <n v="12"/>
    <n v="3"/>
    <n v="4"/>
    <n v="6"/>
    <n v="3"/>
    <n v="5"/>
    <n v="4"/>
  </r>
  <r>
    <n v="59"/>
    <x v="0"/>
    <x v="1"/>
    <n v="0"/>
    <s v="Research &amp; Development"/>
    <n v="3"/>
    <x v="1"/>
    <n v="2"/>
    <x v="1"/>
    <x v="1"/>
    <x v="0"/>
    <n v="2177"/>
    <x v="0"/>
    <s v="No"/>
    <n v="17"/>
    <n v="3"/>
    <n v="1"/>
    <n v="7"/>
    <n v="3"/>
    <n v="1"/>
    <n v="0"/>
  </r>
  <r>
    <n v="37"/>
    <x v="1"/>
    <x v="1"/>
    <n v="0"/>
    <s v="Sales"/>
    <n v="1"/>
    <x v="1"/>
    <n v="3"/>
    <x v="1"/>
    <x v="6"/>
    <x v="0"/>
    <n v="2793"/>
    <x v="0"/>
    <s v="No"/>
    <n v="17"/>
    <n v="3"/>
    <n v="3"/>
    <n v="13"/>
    <n v="3"/>
    <n v="9"/>
    <n v="8"/>
  </r>
  <r>
    <n v="29"/>
    <x v="2"/>
    <x v="1"/>
    <n v="0"/>
    <s v="Sales"/>
    <n v="2"/>
    <x v="0"/>
    <n v="3"/>
    <x v="2"/>
    <x v="0"/>
    <x v="0"/>
    <n v="7918"/>
    <x v="1"/>
    <s v="No"/>
    <n v="14"/>
    <n v="3"/>
    <n v="4"/>
    <n v="11"/>
    <n v="3"/>
    <n v="11"/>
    <n v="10"/>
  </r>
  <r>
    <n v="35"/>
    <x v="1"/>
    <x v="1"/>
    <n v="0"/>
    <s v="Sales"/>
    <n v="3"/>
    <x v="0"/>
    <n v="3"/>
    <x v="2"/>
    <x v="0"/>
    <x v="2"/>
    <n v="8789"/>
    <x v="1"/>
    <s v="No"/>
    <n v="14"/>
    <n v="3"/>
    <n v="1"/>
    <n v="10"/>
    <n v="4"/>
    <n v="10"/>
    <n v="7"/>
  </r>
  <r>
    <n v="29"/>
    <x v="2"/>
    <x v="0"/>
    <n v="1"/>
    <s v="Research &amp; Development"/>
    <n v="3"/>
    <x v="1"/>
    <n v="2"/>
    <x v="1"/>
    <x v="1"/>
    <x v="0"/>
    <n v="2389"/>
    <x v="0"/>
    <s v="Yes"/>
    <n v="13"/>
    <n v="3"/>
    <n v="3"/>
    <n v="4"/>
    <n v="2"/>
    <n v="4"/>
    <n v="3"/>
  </r>
  <r>
    <n v="52"/>
    <x v="0"/>
    <x v="1"/>
    <n v="0"/>
    <s v="Research &amp; Development"/>
    <n v="3"/>
    <x v="0"/>
    <n v="2"/>
    <x v="1"/>
    <x v="2"/>
    <x v="0"/>
    <n v="3212"/>
    <x v="0"/>
    <s v="No"/>
    <n v="15"/>
    <n v="3"/>
    <n v="2"/>
    <n v="6"/>
    <n v="2"/>
    <n v="2"/>
    <n v="2"/>
  </r>
  <r>
    <n v="42"/>
    <x v="0"/>
    <x v="1"/>
    <n v="0"/>
    <s v="Research &amp; Development"/>
    <n v="3"/>
    <x v="1"/>
    <n v="3"/>
    <x v="4"/>
    <x v="5"/>
    <x v="0"/>
    <n v="19232"/>
    <x v="2"/>
    <s v="No"/>
    <n v="11"/>
    <n v="3"/>
    <n v="4"/>
    <n v="22"/>
    <n v="3"/>
    <n v="22"/>
    <n v="17"/>
  </r>
  <r>
    <n v="59"/>
    <x v="0"/>
    <x v="1"/>
    <n v="0"/>
    <s v="Human Resources"/>
    <n v="2"/>
    <x v="1"/>
    <n v="3"/>
    <x v="1"/>
    <x v="8"/>
    <x v="2"/>
    <n v="2267"/>
    <x v="0"/>
    <s v="No"/>
    <n v="17"/>
    <n v="3"/>
    <n v="4"/>
    <n v="7"/>
    <n v="2"/>
    <n v="2"/>
    <n v="2"/>
  </r>
  <r>
    <n v="50"/>
    <x v="0"/>
    <x v="1"/>
    <n v="0"/>
    <s v="Sales"/>
    <n v="4"/>
    <x v="0"/>
    <n v="3"/>
    <x v="4"/>
    <x v="5"/>
    <x v="0"/>
    <n v="19517"/>
    <x v="2"/>
    <s v="No"/>
    <n v="11"/>
    <n v="3"/>
    <n v="3"/>
    <n v="32"/>
    <n v="2"/>
    <n v="7"/>
    <n v="0"/>
  </r>
  <r>
    <n v="33"/>
    <x v="1"/>
    <x v="0"/>
    <n v="1"/>
    <s v="Research &amp; Development"/>
    <n v="3"/>
    <x v="1"/>
    <n v="3"/>
    <x v="1"/>
    <x v="2"/>
    <x v="0"/>
    <n v="2436"/>
    <x v="0"/>
    <s v="Yes"/>
    <n v="13"/>
    <n v="3"/>
    <n v="3"/>
    <n v="8"/>
    <n v="1"/>
    <n v="5"/>
    <n v="4"/>
  </r>
  <r>
    <n v="43"/>
    <x v="0"/>
    <x v="1"/>
    <n v="0"/>
    <s v="Sales"/>
    <n v="4"/>
    <x v="0"/>
    <n v="3"/>
    <x v="3"/>
    <x v="5"/>
    <x v="0"/>
    <n v="16064"/>
    <x v="2"/>
    <s v="Yes"/>
    <n v="22"/>
    <n v="4"/>
    <n v="3"/>
    <n v="22"/>
    <n v="3"/>
    <n v="17"/>
    <n v="13"/>
  </r>
  <r>
    <n v="33"/>
    <x v="1"/>
    <x v="0"/>
    <n v="1"/>
    <s v="Research &amp; Development"/>
    <n v="1"/>
    <x v="0"/>
    <n v="3"/>
    <x v="1"/>
    <x v="2"/>
    <x v="3"/>
    <n v="2707"/>
    <x v="0"/>
    <s v="No"/>
    <n v="20"/>
    <n v="4"/>
    <n v="1"/>
    <n v="13"/>
    <n v="4"/>
    <n v="9"/>
    <n v="7"/>
  </r>
  <r>
    <n v="52"/>
    <x v="0"/>
    <x v="1"/>
    <n v="0"/>
    <s v="Sales"/>
    <n v="1"/>
    <x v="1"/>
    <n v="2"/>
    <x v="4"/>
    <x v="5"/>
    <x v="2"/>
    <n v="19068"/>
    <x v="2"/>
    <s v="Yes"/>
    <n v="18"/>
    <n v="3"/>
    <n v="4"/>
    <n v="33"/>
    <n v="4"/>
    <n v="33"/>
    <n v="7"/>
  </r>
  <r>
    <n v="32"/>
    <x v="1"/>
    <x v="1"/>
    <n v="0"/>
    <s v="Sales"/>
    <n v="3"/>
    <x v="0"/>
    <n v="3"/>
    <x v="1"/>
    <x v="6"/>
    <x v="1"/>
    <n v="3931"/>
    <x v="0"/>
    <s v="No"/>
    <n v="11"/>
    <n v="3"/>
    <n v="1"/>
    <n v="6"/>
    <n v="3"/>
    <n v="4"/>
    <n v="3"/>
  </r>
  <r>
    <n v="32"/>
    <x v="1"/>
    <x v="0"/>
    <n v="1"/>
    <s v="Research &amp; Development"/>
    <n v="4"/>
    <x v="1"/>
    <n v="2"/>
    <x v="1"/>
    <x v="2"/>
    <x v="2"/>
    <n v="3730"/>
    <x v="0"/>
    <s v="Yes"/>
    <n v="14"/>
    <n v="3"/>
    <n v="4"/>
    <n v="4"/>
    <n v="1"/>
    <n v="3"/>
    <n v="2"/>
  </r>
  <r>
    <n v="39"/>
    <x v="1"/>
    <x v="1"/>
    <n v="0"/>
    <s v="Research &amp; Development"/>
    <n v="3"/>
    <x v="0"/>
    <n v="3"/>
    <x v="1"/>
    <x v="2"/>
    <x v="2"/>
    <n v="2232"/>
    <x v="0"/>
    <s v="No"/>
    <n v="14"/>
    <n v="3"/>
    <n v="3"/>
    <n v="7"/>
    <n v="3"/>
    <n v="3"/>
    <n v="2"/>
  </r>
  <r>
    <n v="32"/>
    <x v="1"/>
    <x v="1"/>
    <n v="0"/>
    <s v="Sales"/>
    <n v="3"/>
    <x v="1"/>
    <n v="3"/>
    <x v="0"/>
    <x v="0"/>
    <x v="0"/>
    <n v="4465"/>
    <x v="0"/>
    <s v="No"/>
    <n v="18"/>
    <n v="3"/>
    <n v="1"/>
    <n v="4"/>
    <n v="3"/>
    <n v="3"/>
    <n v="2"/>
  </r>
  <r>
    <n v="41"/>
    <x v="0"/>
    <x v="1"/>
    <n v="0"/>
    <s v="Research &amp; Development"/>
    <n v="3"/>
    <x v="1"/>
    <n v="3"/>
    <x v="0"/>
    <x v="1"/>
    <x v="3"/>
    <n v="3072"/>
    <x v="0"/>
    <s v="No"/>
    <n v="16"/>
    <n v="3"/>
    <n v="1"/>
    <n v="17"/>
    <n v="2"/>
    <n v="1"/>
    <n v="0"/>
  </r>
  <r>
    <n v="40"/>
    <x v="1"/>
    <x v="1"/>
    <n v="0"/>
    <s v="Research &amp; Development"/>
    <n v="1"/>
    <x v="1"/>
    <n v="3"/>
    <x v="0"/>
    <x v="1"/>
    <x v="0"/>
    <n v="3319"/>
    <x v="0"/>
    <s v="No"/>
    <n v="17"/>
    <n v="3"/>
    <n v="1"/>
    <n v="9"/>
    <n v="3"/>
    <n v="9"/>
    <n v="8"/>
  </r>
  <r>
    <n v="45"/>
    <x v="0"/>
    <x v="1"/>
    <n v="0"/>
    <s v="Research &amp; Development"/>
    <n v="3"/>
    <x v="1"/>
    <n v="4"/>
    <x v="4"/>
    <x v="5"/>
    <x v="0"/>
    <n v="19202"/>
    <x v="2"/>
    <s v="No"/>
    <n v="11"/>
    <n v="3"/>
    <n v="3"/>
    <n v="25"/>
    <n v="3"/>
    <n v="24"/>
    <n v="0"/>
  </r>
  <r>
    <n v="31"/>
    <x v="1"/>
    <x v="1"/>
    <n v="0"/>
    <s v="Research &amp; Development"/>
    <n v="2"/>
    <x v="1"/>
    <n v="3"/>
    <x v="2"/>
    <x v="7"/>
    <x v="2"/>
    <n v="13675"/>
    <x v="1"/>
    <s v="No"/>
    <n v="12"/>
    <n v="3"/>
    <n v="1"/>
    <n v="9"/>
    <n v="3"/>
    <n v="2"/>
    <n v="2"/>
  </r>
  <r>
    <n v="33"/>
    <x v="1"/>
    <x v="1"/>
    <n v="0"/>
    <s v="Research &amp; Development"/>
    <n v="3"/>
    <x v="0"/>
    <n v="2"/>
    <x v="1"/>
    <x v="1"/>
    <x v="0"/>
    <n v="2911"/>
    <x v="0"/>
    <s v="No"/>
    <n v="13"/>
    <n v="3"/>
    <n v="3"/>
    <n v="2"/>
    <n v="2"/>
    <n v="2"/>
    <n v="2"/>
  </r>
  <r>
    <n v="34"/>
    <x v="1"/>
    <x v="1"/>
    <n v="0"/>
    <s v="Research &amp; Development"/>
    <n v="4"/>
    <x v="1"/>
    <n v="2"/>
    <x v="0"/>
    <x v="3"/>
    <x v="3"/>
    <n v="5957"/>
    <x v="0"/>
    <s v="No"/>
    <n v="13"/>
    <n v="3"/>
    <n v="2"/>
    <n v="13"/>
    <n v="3"/>
    <n v="11"/>
    <n v="9"/>
  </r>
  <r>
    <n v="37"/>
    <x v="1"/>
    <x v="1"/>
    <n v="0"/>
    <s v="Research &amp; Development"/>
    <n v="3"/>
    <x v="0"/>
    <n v="2"/>
    <x v="1"/>
    <x v="1"/>
    <x v="3"/>
    <n v="3920"/>
    <x v="0"/>
    <s v="No"/>
    <n v="14"/>
    <n v="3"/>
    <n v="1"/>
    <n v="17"/>
    <n v="2"/>
    <n v="3"/>
    <n v="1"/>
  </r>
  <r>
    <n v="45"/>
    <x v="0"/>
    <x v="1"/>
    <n v="0"/>
    <s v="Research &amp; Development"/>
    <n v="1"/>
    <x v="1"/>
    <n v="4"/>
    <x v="0"/>
    <x v="3"/>
    <x v="2"/>
    <n v="6434"/>
    <x v="0"/>
    <s v="No"/>
    <n v="17"/>
    <n v="3"/>
    <n v="4"/>
    <n v="9"/>
    <n v="3"/>
    <n v="3"/>
    <n v="2"/>
  </r>
  <r>
    <n v="37"/>
    <x v="1"/>
    <x v="0"/>
    <n v="1"/>
    <s v="Research &amp; Development"/>
    <n v="1"/>
    <x v="1"/>
    <n v="3"/>
    <x v="2"/>
    <x v="3"/>
    <x v="2"/>
    <n v="10048"/>
    <x v="1"/>
    <s v="No"/>
    <n v="11"/>
    <n v="3"/>
    <n v="2"/>
    <n v="17"/>
    <n v="3"/>
    <n v="1"/>
    <n v="0"/>
  </r>
  <r>
    <n v="39"/>
    <x v="1"/>
    <x v="1"/>
    <n v="0"/>
    <s v="Research &amp; Development"/>
    <n v="3"/>
    <x v="0"/>
    <n v="3"/>
    <x v="2"/>
    <x v="4"/>
    <x v="2"/>
    <n v="10938"/>
    <x v="1"/>
    <s v="No"/>
    <n v="25"/>
    <n v="4"/>
    <n v="4"/>
    <n v="20"/>
    <n v="3"/>
    <n v="19"/>
    <n v="6"/>
  </r>
  <r>
    <n v="29"/>
    <x v="2"/>
    <x v="1"/>
    <n v="0"/>
    <s v="Research &amp; Development"/>
    <n v="3"/>
    <x v="1"/>
    <n v="3"/>
    <x v="1"/>
    <x v="1"/>
    <x v="0"/>
    <n v="2340"/>
    <x v="0"/>
    <s v="No"/>
    <n v="19"/>
    <n v="3"/>
    <n v="1"/>
    <n v="6"/>
    <n v="3"/>
    <n v="6"/>
    <n v="5"/>
  </r>
  <r>
    <n v="42"/>
    <x v="0"/>
    <x v="1"/>
    <n v="0"/>
    <s v="Research &amp; Development"/>
    <n v="4"/>
    <x v="0"/>
    <n v="4"/>
    <x v="0"/>
    <x v="1"/>
    <x v="3"/>
    <n v="6545"/>
    <x v="0"/>
    <s v="Yes"/>
    <n v="13"/>
    <n v="3"/>
    <n v="3"/>
    <n v="10"/>
    <n v="3"/>
    <n v="3"/>
    <n v="2"/>
  </r>
  <r>
    <n v="29"/>
    <x v="2"/>
    <x v="1"/>
    <n v="0"/>
    <s v="Sales"/>
    <n v="4"/>
    <x v="1"/>
    <n v="3"/>
    <x v="0"/>
    <x v="0"/>
    <x v="0"/>
    <n v="6931"/>
    <x v="0"/>
    <s v="No"/>
    <n v="14"/>
    <n v="3"/>
    <n v="4"/>
    <n v="10"/>
    <n v="3"/>
    <n v="3"/>
    <n v="2"/>
  </r>
  <r>
    <n v="25"/>
    <x v="2"/>
    <x v="1"/>
    <n v="0"/>
    <s v="Research &amp; Development"/>
    <n v="1"/>
    <x v="0"/>
    <n v="3"/>
    <x v="0"/>
    <x v="3"/>
    <x v="2"/>
    <n v="4898"/>
    <x v="0"/>
    <s v="No"/>
    <n v="12"/>
    <n v="3"/>
    <n v="4"/>
    <n v="5"/>
    <n v="3"/>
    <n v="4"/>
    <n v="2"/>
  </r>
  <r>
    <n v="42"/>
    <x v="0"/>
    <x v="1"/>
    <n v="0"/>
    <s v="Research &amp; Development"/>
    <n v="4"/>
    <x v="0"/>
    <n v="2"/>
    <x v="1"/>
    <x v="2"/>
    <x v="3"/>
    <n v="2593"/>
    <x v="0"/>
    <s v="Yes"/>
    <n v="11"/>
    <n v="3"/>
    <n v="3"/>
    <n v="10"/>
    <n v="3"/>
    <n v="9"/>
    <n v="6"/>
  </r>
  <r>
    <n v="40"/>
    <x v="1"/>
    <x v="1"/>
    <n v="0"/>
    <s v="Research &amp; Development"/>
    <n v="1"/>
    <x v="1"/>
    <n v="3"/>
    <x v="4"/>
    <x v="7"/>
    <x v="2"/>
    <n v="19436"/>
    <x v="2"/>
    <s v="No"/>
    <n v="19"/>
    <n v="3"/>
    <n v="4"/>
    <n v="22"/>
    <n v="3"/>
    <n v="21"/>
    <n v="7"/>
  </r>
  <r>
    <n v="51"/>
    <x v="0"/>
    <x v="1"/>
    <n v="0"/>
    <s v="Research &amp; Development"/>
    <n v="3"/>
    <x v="1"/>
    <n v="3"/>
    <x v="1"/>
    <x v="1"/>
    <x v="0"/>
    <n v="2723"/>
    <x v="0"/>
    <s v="No"/>
    <n v="11"/>
    <n v="3"/>
    <n v="2"/>
    <n v="1"/>
    <n v="2"/>
    <n v="1"/>
    <n v="0"/>
  </r>
  <r>
    <n v="31"/>
    <x v="1"/>
    <x v="0"/>
    <n v="1"/>
    <s v="Research &amp; Development"/>
    <n v="3"/>
    <x v="1"/>
    <n v="2"/>
    <x v="1"/>
    <x v="2"/>
    <x v="1"/>
    <n v="3479"/>
    <x v="0"/>
    <s v="No"/>
    <n v="11"/>
    <n v="3"/>
    <n v="2"/>
    <n v="6"/>
    <n v="4"/>
    <n v="5"/>
    <n v="4"/>
  </r>
  <r>
    <n v="32"/>
    <x v="1"/>
    <x v="1"/>
    <n v="0"/>
    <s v="Research &amp; Development"/>
    <n v="2"/>
    <x v="1"/>
    <n v="4"/>
    <x v="1"/>
    <x v="2"/>
    <x v="1"/>
    <n v="2794"/>
    <x v="0"/>
    <s v="No"/>
    <n v="20"/>
    <n v="4"/>
    <n v="3"/>
    <n v="5"/>
    <n v="1"/>
    <n v="5"/>
    <n v="1"/>
  </r>
  <r>
    <n v="38"/>
    <x v="1"/>
    <x v="1"/>
    <n v="0"/>
    <s v="Sales"/>
    <n v="4"/>
    <x v="1"/>
    <n v="2"/>
    <x v="0"/>
    <x v="0"/>
    <x v="0"/>
    <n v="5249"/>
    <x v="0"/>
    <s v="No"/>
    <n v="18"/>
    <n v="3"/>
    <n v="4"/>
    <n v="13"/>
    <n v="3"/>
    <n v="8"/>
    <n v="7"/>
  </r>
  <r>
    <n v="32"/>
    <x v="1"/>
    <x v="1"/>
    <n v="0"/>
    <s v="Research &amp; Development"/>
    <n v="4"/>
    <x v="1"/>
    <n v="2"/>
    <x v="0"/>
    <x v="2"/>
    <x v="3"/>
    <n v="2176"/>
    <x v="0"/>
    <s v="No"/>
    <n v="13"/>
    <n v="3"/>
    <n v="4"/>
    <n v="9"/>
    <n v="3"/>
    <n v="6"/>
    <n v="2"/>
  </r>
  <r>
    <n v="46"/>
    <x v="0"/>
    <x v="1"/>
    <n v="0"/>
    <s v="Sales"/>
    <n v="3"/>
    <x v="0"/>
    <n v="1"/>
    <x v="3"/>
    <x v="5"/>
    <x v="1"/>
    <n v="16872"/>
    <x v="2"/>
    <s v="Yes"/>
    <n v="12"/>
    <n v="3"/>
    <n v="2"/>
    <n v="28"/>
    <n v="2"/>
    <n v="7"/>
    <n v="7"/>
  </r>
  <r>
    <n v="28"/>
    <x v="2"/>
    <x v="0"/>
    <n v="1"/>
    <s v="Research &amp; Development"/>
    <n v="1"/>
    <x v="1"/>
    <n v="3"/>
    <x v="1"/>
    <x v="2"/>
    <x v="2"/>
    <n v="3485"/>
    <x v="0"/>
    <s v="No"/>
    <n v="11"/>
    <n v="3"/>
    <n v="3"/>
    <n v="5"/>
    <n v="1"/>
    <n v="0"/>
    <n v="0"/>
  </r>
  <r>
    <n v="29"/>
    <x v="2"/>
    <x v="1"/>
    <n v="0"/>
    <s v="Sales"/>
    <n v="1"/>
    <x v="1"/>
    <n v="2"/>
    <x v="0"/>
    <x v="0"/>
    <x v="1"/>
    <n v="6644"/>
    <x v="0"/>
    <s v="No"/>
    <n v="19"/>
    <n v="3"/>
    <n v="2"/>
    <n v="10"/>
    <n v="3"/>
    <n v="0"/>
    <n v="0"/>
  </r>
  <r>
    <n v="31"/>
    <x v="1"/>
    <x v="1"/>
    <n v="0"/>
    <s v="Research &amp; Development"/>
    <n v="2"/>
    <x v="1"/>
    <n v="2"/>
    <x v="0"/>
    <x v="4"/>
    <x v="0"/>
    <n v="5582"/>
    <x v="0"/>
    <s v="No"/>
    <n v="21"/>
    <n v="4"/>
    <n v="2"/>
    <n v="10"/>
    <n v="3"/>
    <n v="9"/>
    <n v="0"/>
  </r>
  <r>
    <n v="25"/>
    <x v="2"/>
    <x v="1"/>
    <n v="0"/>
    <s v="Research &amp; Development"/>
    <n v="2"/>
    <x v="1"/>
    <n v="4"/>
    <x v="0"/>
    <x v="4"/>
    <x v="3"/>
    <n v="4000"/>
    <x v="0"/>
    <s v="No"/>
    <n v="12"/>
    <n v="3"/>
    <n v="4"/>
    <n v="6"/>
    <n v="3"/>
    <n v="6"/>
    <n v="3"/>
  </r>
  <r>
    <n v="45"/>
    <x v="0"/>
    <x v="1"/>
    <n v="0"/>
    <s v="Research &amp; Development"/>
    <n v="3"/>
    <x v="1"/>
    <n v="3"/>
    <x v="3"/>
    <x v="4"/>
    <x v="0"/>
    <n v="13496"/>
    <x v="1"/>
    <s v="Yes"/>
    <n v="14"/>
    <n v="3"/>
    <n v="2"/>
    <n v="21"/>
    <n v="3"/>
    <n v="20"/>
    <n v="7"/>
  </r>
  <r>
    <n v="36"/>
    <x v="1"/>
    <x v="1"/>
    <n v="0"/>
    <s v="Research &amp; Development"/>
    <n v="4"/>
    <x v="1"/>
    <n v="3"/>
    <x v="1"/>
    <x v="2"/>
    <x v="0"/>
    <n v="3210"/>
    <x v="0"/>
    <s v="No"/>
    <n v="11"/>
    <n v="3"/>
    <n v="3"/>
    <n v="16"/>
    <n v="3"/>
    <n v="15"/>
    <n v="13"/>
  </r>
  <r>
    <n v="55"/>
    <x v="0"/>
    <x v="1"/>
    <n v="0"/>
    <s v="Research &amp; Development"/>
    <n v="4"/>
    <x v="1"/>
    <n v="3"/>
    <x v="4"/>
    <x v="5"/>
    <x v="3"/>
    <n v="19045"/>
    <x v="2"/>
    <s v="Yes"/>
    <n v="14"/>
    <n v="3"/>
    <n v="3"/>
    <n v="37"/>
    <n v="3"/>
    <n v="36"/>
    <n v="10"/>
  </r>
  <r>
    <n v="47"/>
    <x v="0"/>
    <x v="0"/>
    <n v="1"/>
    <s v="Research &amp; Development"/>
    <n v="1"/>
    <x v="1"/>
    <n v="3"/>
    <x v="2"/>
    <x v="5"/>
    <x v="1"/>
    <n v="11849"/>
    <x v="1"/>
    <s v="Yes"/>
    <n v="12"/>
    <n v="3"/>
    <n v="4"/>
    <n v="10"/>
    <n v="2"/>
    <n v="10"/>
    <n v="7"/>
  </r>
  <r>
    <n v="28"/>
    <x v="2"/>
    <x v="1"/>
    <n v="0"/>
    <s v="Research &amp; Development"/>
    <n v="4"/>
    <x v="1"/>
    <n v="3"/>
    <x v="1"/>
    <x v="1"/>
    <x v="0"/>
    <n v="2070"/>
    <x v="0"/>
    <s v="No"/>
    <n v="23"/>
    <n v="4"/>
    <n v="4"/>
    <n v="5"/>
    <n v="2"/>
    <n v="5"/>
    <n v="2"/>
  </r>
  <r>
    <n v="37"/>
    <x v="1"/>
    <x v="1"/>
    <n v="0"/>
    <s v="Sales"/>
    <n v="3"/>
    <x v="1"/>
    <n v="3"/>
    <x v="0"/>
    <x v="0"/>
    <x v="0"/>
    <n v="6502"/>
    <x v="0"/>
    <s v="No"/>
    <n v="14"/>
    <n v="3"/>
    <n v="2"/>
    <n v="7"/>
    <n v="4"/>
    <n v="5"/>
    <n v="4"/>
  </r>
  <r>
    <n v="21"/>
    <x v="2"/>
    <x v="1"/>
    <n v="0"/>
    <s v="Research &amp; Development"/>
    <n v="4"/>
    <x v="1"/>
    <n v="2"/>
    <x v="1"/>
    <x v="1"/>
    <x v="2"/>
    <n v="3230"/>
    <x v="0"/>
    <s v="No"/>
    <n v="17"/>
    <n v="3"/>
    <n v="1"/>
    <n v="3"/>
    <n v="4"/>
    <n v="3"/>
    <n v="2"/>
  </r>
  <r>
    <n v="37"/>
    <x v="1"/>
    <x v="1"/>
    <n v="0"/>
    <s v="Research &amp; Development"/>
    <n v="1"/>
    <x v="0"/>
    <n v="3"/>
    <x v="2"/>
    <x v="7"/>
    <x v="0"/>
    <n v="13603"/>
    <x v="1"/>
    <s v="Yes"/>
    <n v="18"/>
    <n v="3"/>
    <n v="1"/>
    <n v="15"/>
    <n v="3"/>
    <n v="5"/>
    <n v="2"/>
  </r>
  <r>
    <n v="35"/>
    <x v="1"/>
    <x v="1"/>
    <n v="0"/>
    <s v="Research &amp; Development"/>
    <n v="2"/>
    <x v="0"/>
    <n v="4"/>
    <x v="2"/>
    <x v="5"/>
    <x v="1"/>
    <n v="11996"/>
    <x v="1"/>
    <s v="No"/>
    <n v="18"/>
    <n v="3"/>
    <n v="2"/>
    <n v="10"/>
    <n v="2"/>
    <n v="7"/>
    <n v="7"/>
  </r>
  <r>
    <n v="38"/>
    <x v="1"/>
    <x v="1"/>
    <n v="0"/>
    <s v="Sales"/>
    <n v="1"/>
    <x v="0"/>
    <n v="4"/>
    <x v="0"/>
    <x v="0"/>
    <x v="3"/>
    <n v="5605"/>
    <x v="0"/>
    <s v="Yes"/>
    <n v="24"/>
    <n v="4"/>
    <n v="3"/>
    <n v="8"/>
    <n v="3"/>
    <n v="8"/>
    <n v="0"/>
  </r>
  <r>
    <n v="26"/>
    <x v="2"/>
    <x v="1"/>
    <n v="0"/>
    <s v="Research &amp; Development"/>
    <n v="3"/>
    <x v="0"/>
    <n v="3"/>
    <x v="0"/>
    <x v="3"/>
    <x v="1"/>
    <n v="6397"/>
    <x v="0"/>
    <s v="No"/>
    <n v="20"/>
    <n v="4"/>
    <n v="1"/>
    <n v="6"/>
    <n v="1"/>
    <n v="6"/>
    <n v="5"/>
  </r>
  <r>
    <n v="50"/>
    <x v="0"/>
    <x v="1"/>
    <n v="0"/>
    <s v="Research &amp; Development"/>
    <n v="1"/>
    <x v="1"/>
    <n v="3"/>
    <x v="4"/>
    <x v="7"/>
    <x v="1"/>
    <n v="19144"/>
    <x v="2"/>
    <s v="No"/>
    <n v="14"/>
    <n v="3"/>
    <n v="1"/>
    <n v="28"/>
    <n v="2"/>
    <n v="10"/>
    <n v="4"/>
  </r>
  <r>
    <n v="53"/>
    <x v="0"/>
    <x v="1"/>
    <n v="0"/>
    <s v="Research &amp; Development"/>
    <n v="3"/>
    <x v="1"/>
    <n v="3"/>
    <x v="3"/>
    <x v="7"/>
    <x v="2"/>
    <n v="17584"/>
    <x v="2"/>
    <s v="Yes"/>
    <n v="16"/>
    <n v="3"/>
    <n v="4"/>
    <n v="21"/>
    <n v="2"/>
    <n v="5"/>
    <n v="3"/>
  </r>
  <r>
    <n v="42"/>
    <x v="0"/>
    <x v="1"/>
    <n v="0"/>
    <s v="Sales"/>
    <n v="2"/>
    <x v="1"/>
    <n v="3"/>
    <x v="0"/>
    <x v="0"/>
    <x v="2"/>
    <n v="4907"/>
    <x v="0"/>
    <s v="No"/>
    <n v="25"/>
    <n v="4"/>
    <n v="3"/>
    <n v="20"/>
    <n v="3"/>
    <n v="20"/>
    <n v="16"/>
  </r>
  <r>
    <n v="29"/>
    <x v="2"/>
    <x v="1"/>
    <n v="0"/>
    <s v="Sales"/>
    <n v="2"/>
    <x v="1"/>
    <n v="3"/>
    <x v="0"/>
    <x v="0"/>
    <x v="0"/>
    <n v="4554"/>
    <x v="0"/>
    <s v="No"/>
    <n v="18"/>
    <n v="3"/>
    <n v="1"/>
    <n v="10"/>
    <n v="2"/>
    <n v="10"/>
    <n v="7"/>
  </r>
  <r>
    <n v="55"/>
    <x v="0"/>
    <x v="1"/>
    <n v="0"/>
    <s v="Research &amp; Development"/>
    <n v="2"/>
    <x v="1"/>
    <n v="3"/>
    <x v="0"/>
    <x v="2"/>
    <x v="0"/>
    <n v="5415"/>
    <x v="0"/>
    <s v="Yes"/>
    <n v="19"/>
    <n v="3"/>
    <n v="4"/>
    <n v="12"/>
    <n v="3"/>
    <n v="10"/>
    <n v="7"/>
  </r>
  <r>
    <n v="26"/>
    <x v="2"/>
    <x v="1"/>
    <n v="0"/>
    <s v="Research &amp; Development"/>
    <n v="1"/>
    <x v="1"/>
    <n v="3"/>
    <x v="0"/>
    <x v="4"/>
    <x v="3"/>
    <n v="4741"/>
    <x v="0"/>
    <s v="Yes"/>
    <n v="13"/>
    <n v="3"/>
    <n v="3"/>
    <n v="5"/>
    <n v="3"/>
    <n v="5"/>
    <n v="3"/>
  </r>
  <r>
    <n v="37"/>
    <x v="1"/>
    <x v="1"/>
    <n v="0"/>
    <s v="Research &amp; Development"/>
    <n v="4"/>
    <x v="0"/>
    <n v="3"/>
    <x v="1"/>
    <x v="1"/>
    <x v="0"/>
    <n v="2115"/>
    <x v="0"/>
    <s v="No"/>
    <n v="12"/>
    <n v="3"/>
    <n v="2"/>
    <n v="17"/>
    <n v="3"/>
    <n v="17"/>
    <n v="12"/>
  </r>
  <r>
    <n v="44"/>
    <x v="0"/>
    <x v="0"/>
    <n v="1"/>
    <s v="Research &amp; Development"/>
    <n v="4"/>
    <x v="1"/>
    <n v="3"/>
    <x v="1"/>
    <x v="2"/>
    <x v="2"/>
    <n v="3161"/>
    <x v="0"/>
    <s v="Yes"/>
    <n v="22"/>
    <n v="4"/>
    <n v="4"/>
    <n v="19"/>
    <n v="1"/>
    <n v="1"/>
    <n v="0"/>
  </r>
  <r>
    <n v="38"/>
    <x v="1"/>
    <x v="1"/>
    <n v="0"/>
    <s v="Research &amp; Development"/>
    <n v="4"/>
    <x v="1"/>
    <n v="3"/>
    <x v="0"/>
    <x v="4"/>
    <x v="0"/>
    <n v="5745"/>
    <x v="0"/>
    <s v="No"/>
    <n v="14"/>
    <n v="3"/>
    <n v="2"/>
    <n v="10"/>
    <n v="3"/>
    <n v="2"/>
    <n v="2"/>
  </r>
  <r>
    <n v="26"/>
    <x v="2"/>
    <x v="0"/>
    <n v="1"/>
    <s v="Research &amp; Development"/>
    <n v="1"/>
    <x v="1"/>
    <n v="3"/>
    <x v="1"/>
    <x v="2"/>
    <x v="1"/>
    <n v="2373"/>
    <x v="0"/>
    <s v="Yes"/>
    <n v="13"/>
    <n v="3"/>
    <n v="4"/>
    <n v="5"/>
    <n v="3"/>
    <n v="3"/>
    <n v="2"/>
  </r>
  <r>
    <n v="28"/>
    <x v="2"/>
    <x v="1"/>
    <n v="0"/>
    <s v="Research &amp; Development"/>
    <n v="4"/>
    <x v="0"/>
    <n v="3"/>
    <x v="1"/>
    <x v="1"/>
    <x v="0"/>
    <n v="3310"/>
    <x v="0"/>
    <s v="No"/>
    <n v="21"/>
    <n v="4"/>
    <n v="4"/>
    <n v="5"/>
    <n v="3"/>
    <n v="5"/>
    <n v="3"/>
  </r>
  <r>
    <n v="49"/>
    <x v="0"/>
    <x v="1"/>
    <n v="0"/>
    <s v="Research &amp; Development"/>
    <n v="3"/>
    <x v="0"/>
    <n v="3"/>
    <x v="4"/>
    <x v="7"/>
    <x v="3"/>
    <n v="18665"/>
    <x v="2"/>
    <s v="Yes"/>
    <n v="11"/>
    <n v="3"/>
    <n v="4"/>
    <n v="22"/>
    <n v="3"/>
    <n v="3"/>
    <n v="2"/>
  </r>
  <r>
    <n v="36"/>
    <x v="1"/>
    <x v="1"/>
    <n v="0"/>
    <s v="Research &amp; Development"/>
    <n v="3"/>
    <x v="1"/>
    <n v="3"/>
    <x v="0"/>
    <x v="1"/>
    <x v="1"/>
    <n v="4485"/>
    <x v="0"/>
    <s v="No"/>
    <n v="12"/>
    <n v="3"/>
    <n v="4"/>
    <n v="10"/>
    <n v="3"/>
    <n v="8"/>
    <n v="0"/>
  </r>
  <r>
    <n v="31"/>
    <x v="1"/>
    <x v="1"/>
    <n v="0"/>
    <s v="Sales"/>
    <n v="4"/>
    <x v="0"/>
    <n v="3"/>
    <x v="1"/>
    <x v="6"/>
    <x v="1"/>
    <n v="2789"/>
    <x v="0"/>
    <s v="No"/>
    <n v="11"/>
    <n v="3"/>
    <n v="3"/>
    <n v="2"/>
    <n v="2"/>
    <n v="2"/>
    <n v="2"/>
  </r>
  <r>
    <n v="26"/>
    <x v="2"/>
    <x v="0"/>
    <n v="1"/>
    <s v="Sales"/>
    <n v="4"/>
    <x v="1"/>
    <n v="2"/>
    <x v="0"/>
    <x v="0"/>
    <x v="0"/>
    <n v="5828"/>
    <x v="0"/>
    <s v="Yes"/>
    <n v="12"/>
    <n v="3"/>
    <n v="2"/>
    <n v="8"/>
    <n v="3"/>
    <n v="8"/>
    <n v="7"/>
  </r>
  <r>
    <n v="37"/>
    <x v="1"/>
    <x v="1"/>
    <n v="0"/>
    <s v="Research &amp; Development"/>
    <n v="2"/>
    <x v="1"/>
    <n v="3"/>
    <x v="1"/>
    <x v="1"/>
    <x v="0"/>
    <n v="2326"/>
    <x v="0"/>
    <s v="Yes"/>
    <n v="12"/>
    <n v="3"/>
    <n v="3"/>
    <n v="4"/>
    <n v="2"/>
    <n v="4"/>
    <n v="2"/>
  </r>
  <r>
    <n v="42"/>
    <x v="0"/>
    <x v="1"/>
    <n v="0"/>
    <s v="Sales"/>
    <n v="3"/>
    <x v="0"/>
    <n v="3"/>
    <x v="3"/>
    <x v="0"/>
    <x v="1"/>
    <n v="13525"/>
    <x v="1"/>
    <s v="No"/>
    <n v="14"/>
    <n v="3"/>
    <n v="4"/>
    <n v="23"/>
    <n v="4"/>
    <n v="20"/>
    <n v="4"/>
  </r>
  <r>
    <n v="18"/>
    <x v="2"/>
    <x v="0"/>
    <n v="1"/>
    <s v="Research &amp; Development"/>
    <n v="3"/>
    <x v="1"/>
    <n v="3"/>
    <x v="1"/>
    <x v="2"/>
    <x v="2"/>
    <n v="1420"/>
    <x v="0"/>
    <s v="No"/>
    <n v="13"/>
    <n v="3"/>
    <n v="3"/>
    <n v="0"/>
    <n v="3"/>
    <n v="0"/>
    <n v="0"/>
  </r>
  <r>
    <n v="35"/>
    <x v="1"/>
    <x v="1"/>
    <n v="0"/>
    <s v="Sales"/>
    <n v="3"/>
    <x v="1"/>
    <n v="3"/>
    <x v="2"/>
    <x v="0"/>
    <x v="1"/>
    <n v="8020"/>
    <x v="1"/>
    <s v="No"/>
    <n v="15"/>
    <n v="3"/>
    <n v="3"/>
    <n v="12"/>
    <n v="2"/>
    <n v="11"/>
    <n v="9"/>
  </r>
  <r>
    <n v="36"/>
    <x v="1"/>
    <x v="1"/>
    <n v="0"/>
    <s v="Research &amp; Development"/>
    <n v="3"/>
    <x v="1"/>
    <n v="4"/>
    <x v="1"/>
    <x v="2"/>
    <x v="0"/>
    <n v="3688"/>
    <x v="0"/>
    <s v="No"/>
    <n v="18"/>
    <n v="3"/>
    <n v="4"/>
    <n v="4"/>
    <n v="3"/>
    <n v="1"/>
    <n v="0"/>
  </r>
  <r>
    <n v="51"/>
    <x v="0"/>
    <x v="1"/>
    <n v="0"/>
    <s v="Research &amp; Development"/>
    <n v="4"/>
    <x v="1"/>
    <n v="1"/>
    <x v="0"/>
    <x v="3"/>
    <x v="1"/>
    <n v="5482"/>
    <x v="0"/>
    <s v="No"/>
    <n v="18"/>
    <n v="3"/>
    <n v="4"/>
    <n v="13"/>
    <n v="3"/>
    <n v="4"/>
    <n v="1"/>
  </r>
  <r>
    <n v="41"/>
    <x v="0"/>
    <x v="1"/>
    <n v="0"/>
    <s v="Sales"/>
    <n v="4"/>
    <x v="1"/>
    <n v="3"/>
    <x v="3"/>
    <x v="5"/>
    <x v="1"/>
    <n v="16015"/>
    <x v="2"/>
    <s v="No"/>
    <n v="19"/>
    <n v="3"/>
    <n v="2"/>
    <n v="22"/>
    <n v="3"/>
    <n v="22"/>
    <n v="10"/>
  </r>
  <r>
    <n v="18"/>
    <x v="2"/>
    <x v="1"/>
    <n v="0"/>
    <s v="Sales"/>
    <n v="4"/>
    <x v="0"/>
    <n v="2"/>
    <x v="1"/>
    <x v="6"/>
    <x v="2"/>
    <n v="1200"/>
    <x v="0"/>
    <s v="No"/>
    <n v="12"/>
    <n v="3"/>
    <n v="1"/>
    <n v="0"/>
    <n v="3"/>
    <n v="0"/>
    <n v="0"/>
  </r>
  <r>
    <n v="28"/>
    <x v="2"/>
    <x v="1"/>
    <n v="0"/>
    <s v="Research &amp; Development"/>
    <n v="2"/>
    <x v="1"/>
    <n v="4"/>
    <x v="0"/>
    <x v="4"/>
    <x v="3"/>
    <n v="5661"/>
    <x v="0"/>
    <s v="No"/>
    <n v="19"/>
    <n v="3"/>
    <n v="3"/>
    <n v="9"/>
    <n v="3"/>
    <n v="8"/>
    <n v="3"/>
  </r>
  <r>
    <n v="31"/>
    <x v="1"/>
    <x v="1"/>
    <n v="0"/>
    <s v="Sales"/>
    <n v="2"/>
    <x v="1"/>
    <n v="4"/>
    <x v="0"/>
    <x v="0"/>
    <x v="0"/>
    <n v="6929"/>
    <x v="0"/>
    <s v="No"/>
    <n v="11"/>
    <n v="3"/>
    <n v="2"/>
    <n v="10"/>
    <n v="2"/>
    <n v="8"/>
    <n v="7"/>
  </r>
  <r>
    <n v="39"/>
    <x v="1"/>
    <x v="1"/>
    <n v="0"/>
    <s v="Research &amp; Development"/>
    <n v="3"/>
    <x v="1"/>
    <n v="4"/>
    <x v="2"/>
    <x v="4"/>
    <x v="0"/>
    <n v="9613"/>
    <x v="1"/>
    <s v="No"/>
    <n v="17"/>
    <n v="3"/>
    <n v="1"/>
    <n v="19"/>
    <n v="2"/>
    <n v="18"/>
    <n v="10"/>
  </r>
  <r>
    <n v="36"/>
    <x v="1"/>
    <x v="1"/>
    <n v="0"/>
    <s v="Research &amp; Development"/>
    <n v="2"/>
    <x v="0"/>
    <n v="3"/>
    <x v="0"/>
    <x v="2"/>
    <x v="1"/>
    <n v="5674"/>
    <x v="0"/>
    <s v="No"/>
    <n v="15"/>
    <n v="3"/>
    <n v="3"/>
    <n v="11"/>
    <n v="3"/>
    <n v="9"/>
    <n v="8"/>
  </r>
  <r>
    <n v="32"/>
    <x v="1"/>
    <x v="1"/>
    <n v="0"/>
    <s v="Sales"/>
    <n v="4"/>
    <x v="1"/>
    <n v="2"/>
    <x v="0"/>
    <x v="0"/>
    <x v="2"/>
    <n v="5484"/>
    <x v="0"/>
    <s v="No"/>
    <n v="14"/>
    <n v="3"/>
    <n v="3"/>
    <n v="13"/>
    <n v="2"/>
    <n v="13"/>
    <n v="8"/>
  </r>
  <r>
    <n v="38"/>
    <x v="1"/>
    <x v="1"/>
    <n v="0"/>
    <s v="Research &amp; Development"/>
    <n v="1"/>
    <x v="0"/>
    <n v="2"/>
    <x v="2"/>
    <x v="7"/>
    <x v="1"/>
    <n v="12061"/>
    <x v="1"/>
    <s v="No"/>
    <n v="17"/>
    <n v="3"/>
    <n v="3"/>
    <n v="19"/>
    <n v="3"/>
    <n v="10"/>
    <n v="8"/>
  </r>
  <r>
    <n v="58"/>
    <x v="0"/>
    <x v="1"/>
    <n v="0"/>
    <s v="Research &amp; Development"/>
    <n v="4"/>
    <x v="1"/>
    <n v="1"/>
    <x v="0"/>
    <x v="4"/>
    <x v="2"/>
    <n v="5660"/>
    <x v="0"/>
    <s v="Yes"/>
    <n v="13"/>
    <n v="3"/>
    <n v="4"/>
    <n v="12"/>
    <n v="3"/>
    <n v="5"/>
    <n v="3"/>
  </r>
  <r>
    <n v="31"/>
    <x v="1"/>
    <x v="1"/>
    <n v="0"/>
    <s v="Research &amp; Development"/>
    <n v="3"/>
    <x v="1"/>
    <n v="3"/>
    <x v="1"/>
    <x v="1"/>
    <x v="0"/>
    <n v="4821"/>
    <x v="0"/>
    <s v="Yes"/>
    <n v="12"/>
    <n v="3"/>
    <n v="3"/>
    <n v="6"/>
    <n v="3"/>
    <n v="5"/>
    <n v="2"/>
  </r>
  <r>
    <n v="31"/>
    <x v="1"/>
    <x v="1"/>
    <n v="0"/>
    <s v="Human Resources"/>
    <n v="1"/>
    <x v="1"/>
    <n v="2"/>
    <x v="0"/>
    <x v="8"/>
    <x v="3"/>
    <n v="6410"/>
    <x v="0"/>
    <s v="No"/>
    <n v="12"/>
    <n v="3"/>
    <n v="4"/>
    <n v="9"/>
    <n v="3"/>
    <n v="2"/>
    <n v="2"/>
  </r>
  <r>
    <n v="45"/>
    <x v="0"/>
    <x v="1"/>
    <n v="0"/>
    <s v="Research &amp; Development"/>
    <n v="1"/>
    <x v="1"/>
    <n v="3"/>
    <x v="2"/>
    <x v="2"/>
    <x v="3"/>
    <n v="5210"/>
    <x v="0"/>
    <s v="No"/>
    <n v="18"/>
    <n v="3"/>
    <n v="1"/>
    <n v="24"/>
    <n v="3"/>
    <n v="24"/>
    <n v="9"/>
  </r>
  <r>
    <n v="31"/>
    <x v="1"/>
    <x v="1"/>
    <n v="0"/>
    <s v="Research &amp; Development"/>
    <n v="3"/>
    <x v="1"/>
    <n v="3"/>
    <x v="1"/>
    <x v="1"/>
    <x v="0"/>
    <n v="2695"/>
    <x v="0"/>
    <s v="Yes"/>
    <n v="18"/>
    <n v="3"/>
    <n v="2"/>
    <n v="3"/>
    <n v="1"/>
    <n v="2"/>
    <n v="2"/>
  </r>
  <r>
    <n v="33"/>
    <x v="1"/>
    <x v="1"/>
    <n v="0"/>
    <s v="Research &amp; Development"/>
    <n v="4"/>
    <x v="0"/>
    <n v="3"/>
    <x v="2"/>
    <x v="5"/>
    <x v="1"/>
    <n v="11878"/>
    <x v="1"/>
    <s v="No"/>
    <n v="11"/>
    <n v="3"/>
    <n v="2"/>
    <n v="12"/>
    <n v="3"/>
    <n v="10"/>
    <n v="6"/>
  </r>
  <r>
    <n v="39"/>
    <x v="1"/>
    <x v="1"/>
    <n v="0"/>
    <s v="Research &amp; Development"/>
    <n v="3"/>
    <x v="1"/>
    <n v="3"/>
    <x v="3"/>
    <x v="5"/>
    <x v="3"/>
    <n v="17068"/>
    <x v="2"/>
    <s v="Yes"/>
    <n v="14"/>
    <n v="3"/>
    <n v="4"/>
    <n v="21"/>
    <n v="3"/>
    <n v="21"/>
    <n v="9"/>
  </r>
  <r>
    <n v="43"/>
    <x v="0"/>
    <x v="1"/>
    <n v="0"/>
    <s v="Research &amp; Development"/>
    <n v="3"/>
    <x v="0"/>
    <n v="3"/>
    <x v="1"/>
    <x v="2"/>
    <x v="0"/>
    <n v="2455"/>
    <x v="0"/>
    <s v="No"/>
    <n v="19"/>
    <n v="3"/>
    <n v="1"/>
    <n v="9"/>
    <n v="3"/>
    <n v="8"/>
    <n v="7"/>
  </r>
  <r>
    <n v="49"/>
    <x v="0"/>
    <x v="1"/>
    <n v="0"/>
    <s v="Research &amp; Development"/>
    <n v="3"/>
    <x v="0"/>
    <n v="2"/>
    <x v="3"/>
    <x v="4"/>
    <x v="2"/>
    <n v="13964"/>
    <x v="1"/>
    <s v="Yes"/>
    <n v="12"/>
    <n v="3"/>
    <n v="4"/>
    <n v="25"/>
    <n v="3"/>
    <n v="7"/>
    <n v="1"/>
  </r>
  <r>
    <n v="52"/>
    <x v="0"/>
    <x v="0"/>
    <n v="1"/>
    <s v="Research &amp; Development"/>
    <n v="3"/>
    <x v="1"/>
    <n v="2"/>
    <x v="0"/>
    <x v="1"/>
    <x v="1"/>
    <n v="4941"/>
    <x v="0"/>
    <s v="No"/>
    <n v="15"/>
    <n v="3"/>
    <n v="1"/>
    <n v="11"/>
    <n v="2"/>
    <n v="8"/>
    <n v="2"/>
  </r>
  <r>
    <n v="27"/>
    <x v="2"/>
    <x v="1"/>
    <n v="0"/>
    <s v="Research &amp; Development"/>
    <n v="3"/>
    <x v="0"/>
    <n v="3"/>
    <x v="1"/>
    <x v="1"/>
    <x v="1"/>
    <n v="2478"/>
    <x v="0"/>
    <s v="Yes"/>
    <n v="12"/>
    <n v="3"/>
    <n v="2"/>
    <n v="4"/>
    <n v="2"/>
    <n v="4"/>
    <n v="3"/>
  </r>
  <r>
    <n v="32"/>
    <x v="1"/>
    <x v="1"/>
    <n v="0"/>
    <s v="Sales"/>
    <n v="3"/>
    <x v="0"/>
    <n v="2"/>
    <x v="0"/>
    <x v="0"/>
    <x v="1"/>
    <n v="5228"/>
    <x v="0"/>
    <s v="Yes"/>
    <n v="11"/>
    <n v="3"/>
    <n v="4"/>
    <n v="13"/>
    <n v="3"/>
    <n v="13"/>
    <n v="12"/>
  </r>
  <r>
    <n v="27"/>
    <x v="2"/>
    <x v="1"/>
    <n v="0"/>
    <s v="Sales"/>
    <n v="4"/>
    <x v="1"/>
    <n v="3"/>
    <x v="0"/>
    <x v="0"/>
    <x v="2"/>
    <n v="4478"/>
    <x v="0"/>
    <s v="Yes"/>
    <n v="11"/>
    <n v="3"/>
    <n v="1"/>
    <n v="5"/>
    <n v="3"/>
    <n v="5"/>
    <n v="4"/>
  </r>
  <r>
    <n v="31"/>
    <x v="1"/>
    <x v="1"/>
    <n v="0"/>
    <s v="Sales"/>
    <n v="4"/>
    <x v="1"/>
    <n v="3"/>
    <x v="0"/>
    <x v="0"/>
    <x v="0"/>
    <n v="7547"/>
    <x v="1"/>
    <s v="No"/>
    <n v="12"/>
    <n v="3"/>
    <n v="4"/>
    <n v="13"/>
    <n v="3"/>
    <n v="7"/>
    <n v="7"/>
  </r>
  <r>
    <n v="32"/>
    <x v="1"/>
    <x v="1"/>
    <n v="0"/>
    <s v="Research &amp; Development"/>
    <n v="1"/>
    <x v="0"/>
    <n v="4"/>
    <x v="0"/>
    <x v="1"/>
    <x v="0"/>
    <n v="5055"/>
    <x v="0"/>
    <s v="No"/>
    <n v="16"/>
    <n v="3"/>
    <n v="3"/>
    <n v="10"/>
    <n v="2"/>
    <n v="7"/>
    <n v="7"/>
  </r>
  <r>
    <n v="28"/>
    <x v="2"/>
    <x v="0"/>
    <n v="1"/>
    <s v="Research &amp; Development"/>
    <n v="1"/>
    <x v="1"/>
    <n v="1"/>
    <x v="1"/>
    <x v="1"/>
    <x v="0"/>
    <n v="3464"/>
    <x v="0"/>
    <s v="Yes"/>
    <n v="13"/>
    <n v="3"/>
    <n v="4"/>
    <n v="5"/>
    <n v="2"/>
    <n v="3"/>
    <n v="2"/>
  </r>
  <r>
    <n v="30"/>
    <x v="2"/>
    <x v="1"/>
    <n v="0"/>
    <s v="Research &amp; Development"/>
    <n v="4"/>
    <x v="0"/>
    <n v="3"/>
    <x v="0"/>
    <x v="1"/>
    <x v="0"/>
    <n v="5775"/>
    <x v="0"/>
    <s v="No"/>
    <n v="13"/>
    <n v="3"/>
    <n v="4"/>
    <n v="11"/>
    <n v="3"/>
    <n v="10"/>
    <n v="8"/>
  </r>
  <r>
    <n v="31"/>
    <x v="1"/>
    <x v="1"/>
    <n v="0"/>
    <s v="Research &amp; Development"/>
    <n v="3"/>
    <x v="0"/>
    <n v="2"/>
    <x v="2"/>
    <x v="3"/>
    <x v="2"/>
    <n v="8943"/>
    <x v="1"/>
    <s v="No"/>
    <n v="24"/>
    <n v="4"/>
    <n v="1"/>
    <n v="10"/>
    <n v="3"/>
    <n v="10"/>
    <n v="9"/>
  </r>
  <r>
    <n v="39"/>
    <x v="1"/>
    <x v="1"/>
    <n v="0"/>
    <s v="Research &amp; Development"/>
    <n v="3"/>
    <x v="1"/>
    <n v="2"/>
    <x v="4"/>
    <x v="5"/>
    <x v="0"/>
    <n v="19272"/>
    <x v="2"/>
    <s v="No"/>
    <n v="15"/>
    <n v="3"/>
    <n v="1"/>
    <n v="21"/>
    <n v="3"/>
    <n v="21"/>
    <n v="9"/>
  </r>
  <r>
    <n v="39"/>
    <x v="1"/>
    <x v="0"/>
    <n v="1"/>
    <s v="Sales"/>
    <n v="4"/>
    <x v="0"/>
    <n v="3"/>
    <x v="0"/>
    <x v="0"/>
    <x v="2"/>
    <n v="5238"/>
    <x v="0"/>
    <s v="Yes"/>
    <n v="18"/>
    <n v="3"/>
    <n v="1"/>
    <n v="12"/>
    <n v="2"/>
    <n v="1"/>
    <n v="0"/>
  </r>
  <r>
    <n v="33"/>
    <x v="1"/>
    <x v="1"/>
    <n v="0"/>
    <s v="Sales"/>
    <n v="2"/>
    <x v="1"/>
    <n v="2"/>
    <x v="0"/>
    <x v="0"/>
    <x v="0"/>
    <n v="4682"/>
    <x v="0"/>
    <s v="No"/>
    <n v="14"/>
    <n v="3"/>
    <n v="3"/>
    <n v="9"/>
    <n v="2"/>
    <n v="7"/>
    <n v="7"/>
  </r>
  <r>
    <n v="47"/>
    <x v="0"/>
    <x v="1"/>
    <n v="0"/>
    <s v="Research &amp; Development"/>
    <n v="4"/>
    <x v="1"/>
    <n v="3"/>
    <x v="4"/>
    <x v="7"/>
    <x v="2"/>
    <n v="18300"/>
    <x v="2"/>
    <s v="No"/>
    <n v="11"/>
    <n v="3"/>
    <n v="2"/>
    <n v="21"/>
    <n v="3"/>
    <n v="3"/>
    <n v="2"/>
  </r>
  <r>
    <n v="43"/>
    <x v="0"/>
    <x v="1"/>
    <n v="0"/>
    <s v="Research &amp; Development"/>
    <n v="3"/>
    <x v="0"/>
    <n v="2"/>
    <x v="0"/>
    <x v="2"/>
    <x v="2"/>
    <n v="5257"/>
    <x v="0"/>
    <s v="No"/>
    <n v="11"/>
    <n v="3"/>
    <n v="2"/>
    <n v="9"/>
    <n v="4"/>
    <n v="9"/>
    <n v="7"/>
  </r>
  <r>
    <n v="27"/>
    <x v="2"/>
    <x v="1"/>
    <n v="0"/>
    <s v="Sales"/>
    <n v="3"/>
    <x v="1"/>
    <n v="3"/>
    <x v="0"/>
    <x v="0"/>
    <x v="1"/>
    <n v="6349"/>
    <x v="0"/>
    <s v="Yes"/>
    <n v="13"/>
    <n v="3"/>
    <n v="4"/>
    <n v="6"/>
    <n v="3"/>
    <n v="5"/>
    <n v="4"/>
  </r>
  <r>
    <n v="54"/>
    <x v="0"/>
    <x v="1"/>
    <n v="0"/>
    <s v="Research &amp; Development"/>
    <n v="4"/>
    <x v="0"/>
    <n v="3"/>
    <x v="0"/>
    <x v="1"/>
    <x v="2"/>
    <n v="4869"/>
    <x v="0"/>
    <s v="No"/>
    <n v="12"/>
    <n v="3"/>
    <n v="4"/>
    <n v="20"/>
    <n v="2"/>
    <n v="4"/>
    <n v="3"/>
  </r>
  <r>
    <n v="43"/>
    <x v="0"/>
    <x v="1"/>
    <n v="0"/>
    <s v="Research &amp; Development"/>
    <n v="3"/>
    <x v="0"/>
    <n v="3"/>
    <x v="2"/>
    <x v="4"/>
    <x v="3"/>
    <n v="9985"/>
    <x v="1"/>
    <s v="No"/>
    <n v="16"/>
    <n v="3"/>
    <n v="1"/>
    <n v="10"/>
    <n v="2"/>
    <n v="1"/>
    <n v="0"/>
  </r>
  <r>
    <n v="45"/>
    <x v="0"/>
    <x v="1"/>
    <n v="0"/>
    <s v="Research &amp; Development"/>
    <n v="4"/>
    <x v="1"/>
    <n v="3"/>
    <x v="0"/>
    <x v="1"/>
    <x v="0"/>
    <n v="3697"/>
    <x v="0"/>
    <s v="No"/>
    <n v="14"/>
    <n v="3"/>
    <n v="1"/>
    <n v="12"/>
    <n v="3"/>
    <n v="10"/>
    <n v="9"/>
  </r>
  <r>
    <n v="40"/>
    <x v="1"/>
    <x v="1"/>
    <n v="0"/>
    <s v="Sales"/>
    <n v="2"/>
    <x v="1"/>
    <n v="1"/>
    <x v="0"/>
    <x v="0"/>
    <x v="0"/>
    <n v="7457"/>
    <x v="1"/>
    <s v="Yes"/>
    <n v="22"/>
    <n v="4"/>
    <n v="3"/>
    <n v="6"/>
    <n v="2"/>
    <n v="4"/>
    <n v="3"/>
  </r>
  <r>
    <n v="29"/>
    <x v="2"/>
    <x v="0"/>
    <n v="1"/>
    <s v="Research &amp; Development"/>
    <n v="2"/>
    <x v="1"/>
    <n v="1"/>
    <x v="1"/>
    <x v="2"/>
    <x v="3"/>
    <n v="2119"/>
    <x v="0"/>
    <s v="Yes"/>
    <n v="11"/>
    <n v="3"/>
    <n v="4"/>
    <n v="7"/>
    <n v="2"/>
    <n v="7"/>
    <n v="7"/>
  </r>
  <r>
    <n v="29"/>
    <x v="2"/>
    <x v="1"/>
    <n v="0"/>
    <s v="Research &amp; Development"/>
    <n v="2"/>
    <x v="1"/>
    <n v="2"/>
    <x v="1"/>
    <x v="2"/>
    <x v="0"/>
    <n v="3983"/>
    <x v="0"/>
    <s v="No"/>
    <n v="17"/>
    <n v="3"/>
    <n v="3"/>
    <n v="4"/>
    <n v="3"/>
    <n v="3"/>
    <n v="2"/>
  </r>
  <r>
    <n v="30"/>
    <x v="2"/>
    <x v="1"/>
    <n v="0"/>
    <s v="Sales"/>
    <n v="4"/>
    <x v="0"/>
    <n v="2"/>
    <x v="0"/>
    <x v="0"/>
    <x v="2"/>
    <n v="6118"/>
    <x v="0"/>
    <s v="No"/>
    <n v="13"/>
    <n v="3"/>
    <n v="3"/>
    <n v="10"/>
    <n v="3"/>
    <n v="10"/>
    <n v="9"/>
  </r>
  <r>
    <n v="27"/>
    <x v="2"/>
    <x v="1"/>
    <n v="0"/>
    <s v="Sales"/>
    <n v="2"/>
    <x v="0"/>
    <n v="3"/>
    <x v="0"/>
    <x v="0"/>
    <x v="1"/>
    <n v="6214"/>
    <x v="0"/>
    <s v="No"/>
    <n v="18"/>
    <n v="3"/>
    <n v="1"/>
    <n v="8"/>
    <n v="3"/>
    <n v="8"/>
    <n v="7"/>
  </r>
  <r>
    <n v="37"/>
    <x v="1"/>
    <x v="1"/>
    <n v="0"/>
    <s v="Research &amp; Development"/>
    <n v="4"/>
    <x v="1"/>
    <n v="3"/>
    <x v="0"/>
    <x v="3"/>
    <x v="0"/>
    <n v="6347"/>
    <x v="0"/>
    <s v="No"/>
    <n v="16"/>
    <n v="3"/>
    <n v="3"/>
    <n v="8"/>
    <n v="2"/>
    <n v="6"/>
    <n v="2"/>
  </r>
  <r>
    <n v="38"/>
    <x v="1"/>
    <x v="1"/>
    <n v="0"/>
    <s v="Research &amp; Development"/>
    <n v="3"/>
    <x v="1"/>
    <n v="2"/>
    <x v="2"/>
    <x v="7"/>
    <x v="0"/>
    <n v="11510"/>
    <x v="1"/>
    <s v="Yes"/>
    <n v="14"/>
    <n v="3"/>
    <n v="2"/>
    <n v="12"/>
    <n v="3"/>
    <n v="11"/>
    <n v="10"/>
  </r>
  <r>
    <n v="31"/>
    <x v="1"/>
    <x v="1"/>
    <n v="0"/>
    <s v="Research &amp; Development"/>
    <n v="3"/>
    <x v="0"/>
    <n v="3"/>
    <x v="2"/>
    <x v="3"/>
    <x v="0"/>
    <n v="7143"/>
    <x v="1"/>
    <s v="Yes"/>
    <n v="14"/>
    <n v="3"/>
    <n v="3"/>
    <n v="11"/>
    <n v="2"/>
    <n v="11"/>
    <n v="9"/>
  </r>
  <r>
    <n v="29"/>
    <x v="2"/>
    <x v="1"/>
    <n v="0"/>
    <s v="Sales"/>
    <n v="4"/>
    <x v="0"/>
    <n v="2"/>
    <x v="0"/>
    <x v="0"/>
    <x v="1"/>
    <n v="8268"/>
    <x v="1"/>
    <s v="Yes"/>
    <n v="14"/>
    <n v="3"/>
    <n v="1"/>
    <n v="7"/>
    <n v="3"/>
    <n v="7"/>
    <n v="7"/>
  </r>
  <r>
    <n v="35"/>
    <x v="1"/>
    <x v="1"/>
    <n v="0"/>
    <s v="Research &amp; Development"/>
    <n v="3"/>
    <x v="1"/>
    <n v="3"/>
    <x v="2"/>
    <x v="3"/>
    <x v="1"/>
    <n v="8095"/>
    <x v="1"/>
    <s v="No"/>
    <n v="13"/>
    <n v="3"/>
    <n v="4"/>
    <n v="17"/>
    <n v="3"/>
    <n v="16"/>
    <n v="6"/>
  </r>
  <r>
    <n v="23"/>
    <x v="2"/>
    <x v="1"/>
    <n v="0"/>
    <s v="Research &amp; Development"/>
    <n v="3"/>
    <x v="1"/>
    <n v="3"/>
    <x v="1"/>
    <x v="1"/>
    <x v="0"/>
    <n v="2904"/>
    <x v="0"/>
    <s v="No"/>
    <n v="12"/>
    <n v="3"/>
    <n v="3"/>
    <n v="4"/>
    <n v="2"/>
    <n v="4"/>
    <n v="2"/>
  </r>
  <r>
    <n v="41"/>
    <x v="0"/>
    <x v="1"/>
    <n v="0"/>
    <s v="Research &amp; Development"/>
    <n v="4"/>
    <x v="1"/>
    <n v="2"/>
    <x v="0"/>
    <x v="3"/>
    <x v="1"/>
    <n v="6032"/>
    <x v="0"/>
    <s v="Yes"/>
    <n v="15"/>
    <n v="3"/>
    <n v="4"/>
    <n v="8"/>
    <n v="3"/>
    <n v="5"/>
    <n v="4"/>
  </r>
  <r>
    <n v="47"/>
    <x v="0"/>
    <x v="1"/>
    <n v="0"/>
    <s v="Sales"/>
    <n v="2"/>
    <x v="1"/>
    <n v="3"/>
    <x v="0"/>
    <x v="6"/>
    <x v="2"/>
    <n v="2976"/>
    <x v="0"/>
    <s v="No"/>
    <n v="19"/>
    <n v="3"/>
    <n v="1"/>
    <n v="5"/>
    <n v="3"/>
    <n v="0"/>
    <n v="0"/>
  </r>
  <r>
    <n v="42"/>
    <x v="0"/>
    <x v="1"/>
    <n v="0"/>
    <s v="Research &amp; Development"/>
    <n v="1"/>
    <x v="0"/>
    <n v="3"/>
    <x v="3"/>
    <x v="7"/>
    <x v="0"/>
    <n v="15992"/>
    <x v="2"/>
    <s v="No"/>
    <n v="14"/>
    <n v="3"/>
    <n v="2"/>
    <n v="16"/>
    <n v="3"/>
    <n v="1"/>
    <n v="0"/>
  </r>
  <r>
    <n v="29"/>
    <x v="2"/>
    <x v="1"/>
    <n v="0"/>
    <s v="Sales"/>
    <n v="4"/>
    <x v="1"/>
    <n v="3"/>
    <x v="0"/>
    <x v="0"/>
    <x v="2"/>
    <n v="4649"/>
    <x v="0"/>
    <s v="No"/>
    <n v="14"/>
    <n v="3"/>
    <n v="1"/>
    <n v="4"/>
    <n v="2"/>
    <n v="4"/>
    <n v="3"/>
  </r>
  <r>
    <n v="42"/>
    <x v="0"/>
    <x v="1"/>
    <n v="0"/>
    <s v="Human Resources"/>
    <n v="3"/>
    <x v="1"/>
    <n v="3"/>
    <x v="1"/>
    <x v="8"/>
    <x v="2"/>
    <n v="2696"/>
    <x v="0"/>
    <s v="Yes"/>
    <n v="11"/>
    <n v="3"/>
    <n v="3"/>
    <n v="4"/>
    <n v="3"/>
    <n v="3"/>
    <n v="2"/>
  </r>
  <r>
    <n v="32"/>
    <x v="1"/>
    <x v="1"/>
    <n v="0"/>
    <s v="Research &amp; Development"/>
    <n v="3"/>
    <x v="0"/>
    <n v="3"/>
    <x v="1"/>
    <x v="2"/>
    <x v="1"/>
    <n v="2370"/>
    <x v="0"/>
    <s v="No"/>
    <n v="13"/>
    <n v="3"/>
    <n v="3"/>
    <n v="8"/>
    <n v="3"/>
    <n v="8"/>
    <n v="0"/>
  </r>
  <r>
    <n v="48"/>
    <x v="0"/>
    <x v="1"/>
    <n v="0"/>
    <s v="Sales"/>
    <n v="1"/>
    <x v="0"/>
    <n v="3"/>
    <x v="2"/>
    <x v="5"/>
    <x v="2"/>
    <n v="12504"/>
    <x v="1"/>
    <s v="No"/>
    <n v="21"/>
    <n v="4"/>
    <n v="2"/>
    <n v="15"/>
    <n v="1"/>
    <n v="0"/>
    <n v="0"/>
  </r>
  <r>
    <n v="37"/>
    <x v="1"/>
    <x v="1"/>
    <n v="0"/>
    <s v="Research &amp; Development"/>
    <n v="3"/>
    <x v="1"/>
    <n v="4"/>
    <x v="0"/>
    <x v="1"/>
    <x v="3"/>
    <n v="5974"/>
    <x v="0"/>
    <s v="Yes"/>
    <n v="13"/>
    <n v="3"/>
    <n v="1"/>
    <n v="13"/>
    <n v="3"/>
    <n v="7"/>
    <n v="7"/>
  </r>
  <r>
    <n v="30"/>
    <x v="2"/>
    <x v="1"/>
    <n v="0"/>
    <s v="Sales"/>
    <n v="4"/>
    <x v="0"/>
    <n v="3"/>
    <x v="0"/>
    <x v="0"/>
    <x v="2"/>
    <n v="4736"/>
    <x v="0"/>
    <s v="Yes"/>
    <n v="12"/>
    <n v="3"/>
    <n v="2"/>
    <n v="4"/>
    <n v="4"/>
    <n v="2"/>
    <n v="2"/>
  </r>
  <r>
    <n v="26"/>
    <x v="2"/>
    <x v="1"/>
    <n v="0"/>
    <s v="Sales"/>
    <n v="3"/>
    <x v="1"/>
    <n v="3"/>
    <x v="0"/>
    <x v="0"/>
    <x v="2"/>
    <n v="5296"/>
    <x v="0"/>
    <s v="No"/>
    <n v="17"/>
    <n v="3"/>
    <n v="2"/>
    <n v="8"/>
    <n v="3"/>
    <n v="8"/>
    <n v="7"/>
  </r>
  <r>
    <n v="42"/>
    <x v="0"/>
    <x v="1"/>
    <n v="0"/>
    <s v="Research &amp; Development"/>
    <n v="1"/>
    <x v="1"/>
    <n v="2"/>
    <x v="0"/>
    <x v="4"/>
    <x v="0"/>
    <n v="6781"/>
    <x v="0"/>
    <s v="No"/>
    <n v="23"/>
    <n v="4"/>
    <n v="2"/>
    <n v="14"/>
    <n v="3"/>
    <n v="1"/>
    <n v="0"/>
  </r>
  <r>
    <n v="21"/>
    <x v="2"/>
    <x v="0"/>
    <n v="1"/>
    <s v="Sales"/>
    <n v="1"/>
    <x v="0"/>
    <n v="2"/>
    <x v="1"/>
    <x v="6"/>
    <x v="1"/>
    <n v="2174"/>
    <x v="0"/>
    <s v="Yes"/>
    <n v="11"/>
    <n v="3"/>
    <n v="3"/>
    <n v="3"/>
    <n v="3"/>
    <n v="3"/>
    <n v="2"/>
  </r>
  <r>
    <n v="36"/>
    <x v="1"/>
    <x v="1"/>
    <n v="0"/>
    <s v="Sales"/>
    <n v="4"/>
    <x v="0"/>
    <n v="3"/>
    <x v="0"/>
    <x v="0"/>
    <x v="0"/>
    <n v="6653"/>
    <x v="0"/>
    <s v="No"/>
    <n v="15"/>
    <n v="3"/>
    <n v="2"/>
    <n v="7"/>
    <n v="3"/>
    <n v="1"/>
    <n v="0"/>
  </r>
  <r>
    <n v="36"/>
    <x v="1"/>
    <x v="1"/>
    <n v="0"/>
    <s v="Sales"/>
    <n v="1"/>
    <x v="1"/>
    <n v="2"/>
    <x v="2"/>
    <x v="0"/>
    <x v="0"/>
    <n v="9699"/>
    <x v="1"/>
    <s v="No"/>
    <n v="11"/>
    <n v="3"/>
    <n v="1"/>
    <n v="16"/>
    <n v="3"/>
    <n v="13"/>
    <n v="9"/>
  </r>
  <r>
    <n v="57"/>
    <x v="0"/>
    <x v="1"/>
    <n v="0"/>
    <s v="Research &amp; Development"/>
    <n v="4"/>
    <x v="1"/>
    <n v="3"/>
    <x v="0"/>
    <x v="4"/>
    <x v="2"/>
    <n v="6755"/>
    <x v="0"/>
    <s v="No"/>
    <n v="11"/>
    <n v="3"/>
    <n v="3"/>
    <n v="15"/>
    <n v="3"/>
    <n v="3"/>
    <n v="2"/>
  </r>
  <r>
    <n v="40"/>
    <x v="1"/>
    <x v="1"/>
    <n v="0"/>
    <s v="Research &amp; Development"/>
    <n v="4"/>
    <x v="0"/>
    <n v="4"/>
    <x v="1"/>
    <x v="2"/>
    <x v="2"/>
    <n v="2213"/>
    <x v="0"/>
    <s v="Yes"/>
    <n v="13"/>
    <n v="3"/>
    <n v="3"/>
    <n v="10"/>
    <n v="3"/>
    <n v="7"/>
    <n v="7"/>
  </r>
  <r>
    <n v="21"/>
    <x v="2"/>
    <x v="1"/>
    <n v="0"/>
    <s v="Sales"/>
    <n v="1"/>
    <x v="1"/>
    <n v="3"/>
    <x v="1"/>
    <x v="6"/>
    <x v="0"/>
    <n v="2610"/>
    <x v="0"/>
    <s v="No"/>
    <n v="24"/>
    <n v="4"/>
    <n v="3"/>
    <n v="3"/>
    <n v="2"/>
    <n v="3"/>
    <n v="2"/>
  </r>
  <r>
    <n v="33"/>
    <x v="1"/>
    <x v="0"/>
    <n v="1"/>
    <s v="Sales"/>
    <n v="4"/>
    <x v="0"/>
    <n v="3"/>
    <x v="1"/>
    <x v="6"/>
    <x v="2"/>
    <n v="2851"/>
    <x v="0"/>
    <s v="Yes"/>
    <n v="13"/>
    <n v="3"/>
    <n v="2"/>
    <n v="1"/>
    <n v="3"/>
    <n v="1"/>
    <n v="0"/>
  </r>
  <r>
    <n v="37"/>
    <x v="1"/>
    <x v="1"/>
    <n v="0"/>
    <s v="Research &amp; Development"/>
    <n v="3"/>
    <x v="0"/>
    <n v="3"/>
    <x v="1"/>
    <x v="2"/>
    <x v="3"/>
    <n v="3452"/>
    <x v="0"/>
    <s v="No"/>
    <n v="20"/>
    <n v="4"/>
    <n v="2"/>
    <n v="17"/>
    <n v="3"/>
    <n v="5"/>
    <n v="4"/>
  </r>
  <r>
    <n v="46"/>
    <x v="0"/>
    <x v="1"/>
    <n v="0"/>
    <s v="Research &amp; Development"/>
    <n v="3"/>
    <x v="0"/>
    <n v="3"/>
    <x v="0"/>
    <x v="3"/>
    <x v="2"/>
    <n v="5258"/>
    <x v="0"/>
    <s v="No"/>
    <n v="14"/>
    <n v="3"/>
    <n v="3"/>
    <n v="7"/>
    <n v="4"/>
    <n v="1"/>
    <n v="0"/>
  </r>
  <r>
    <n v="41"/>
    <x v="0"/>
    <x v="0"/>
    <n v="1"/>
    <s v="Sales"/>
    <n v="1"/>
    <x v="1"/>
    <n v="3"/>
    <x v="0"/>
    <x v="0"/>
    <x v="1"/>
    <n v="9355"/>
    <x v="1"/>
    <s v="No"/>
    <n v="18"/>
    <n v="3"/>
    <n v="3"/>
    <n v="8"/>
    <n v="3"/>
    <n v="8"/>
    <n v="7"/>
  </r>
  <r>
    <n v="50"/>
    <x v="0"/>
    <x v="1"/>
    <n v="0"/>
    <s v="Research &amp; Development"/>
    <n v="4"/>
    <x v="1"/>
    <n v="2"/>
    <x v="2"/>
    <x v="4"/>
    <x v="0"/>
    <n v="10496"/>
    <x v="1"/>
    <s v="No"/>
    <n v="15"/>
    <n v="3"/>
    <n v="4"/>
    <n v="20"/>
    <n v="3"/>
    <n v="4"/>
    <n v="3"/>
  </r>
  <r>
    <n v="40"/>
    <x v="1"/>
    <x v="0"/>
    <n v="1"/>
    <s v="Sales"/>
    <n v="3"/>
    <x v="1"/>
    <n v="2"/>
    <x v="0"/>
    <x v="0"/>
    <x v="2"/>
    <n v="6380"/>
    <x v="0"/>
    <s v="Yes"/>
    <n v="12"/>
    <n v="3"/>
    <n v="1"/>
    <n v="8"/>
    <n v="3"/>
    <n v="6"/>
    <n v="4"/>
  </r>
  <r>
    <n v="31"/>
    <x v="1"/>
    <x v="1"/>
    <n v="0"/>
    <s v="Research &amp; Development"/>
    <n v="3"/>
    <x v="1"/>
    <n v="2"/>
    <x v="1"/>
    <x v="1"/>
    <x v="1"/>
    <n v="2657"/>
    <x v="0"/>
    <s v="Yes"/>
    <n v="16"/>
    <n v="3"/>
    <n v="4"/>
    <n v="3"/>
    <n v="3"/>
    <n v="2"/>
    <n v="2"/>
  </r>
  <r>
    <n v="21"/>
    <x v="2"/>
    <x v="0"/>
    <n v="1"/>
    <s v="Sales"/>
    <n v="3"/>
    <x v="0"/>
    <n v="4"/>
    <x v="1"/>
    <x v="6"/>
    <x v="1"/>
    <n v="2716"/>
    <x v="0"/>
    <s v="No"/>
    <n v="15"/>
    <n v="3"/>
    <n v="4"/>
    <n v="1"/>
    <n v="3"/>
    <n v="1"/>
    <n v="0"/>
  </r>
  <r>
    <n v="29"/>
    <x v="2"/>
    <x v="1"/>
    <n v="0"/>
    <s v="Research &amp; Development"/>
    <n v="4"/>
    <x v="1"/>
    <n v="3"/>
    <x v="1"/>
    <x v="1"/>
    <x v="0"/>
    <n v="2201"/>
    <x v="0"/>
    <s v="No"/>
    <n v="16"/>
    <n v="3"/>
    <n v="4"/>
    <n v="6"/>
    <n v="3"/>
    <n v="3"/>
    <n v="2"/>
  </r>
  <r>
    <n v="35"/>
    <x v="1"/>
    <x v="1"/>
    <n v="0"/>
    <s v="Research &amp; Development"/>
    <n v="3"/>
    <x v="1"/>
    <n v="2"/>
    <x v="0"/>
    <x v="4"/>
    <x v="1"/>
    <n v="6540"/>
    <x v="0"/>
    <s v="No"/>
    <n v="19"/>
    <n v="3"/>
    <n v="3"/>
    <n v="10"/>
    <n v="3"/>
    <n v="1"/>
    <n v="1"/>
  </r>
  <r>
    <n v="27"/>
    <x v="2"/>
    <x v="1"/>
    <n v="0"/>
    <s v="Research &amp; Development"/>
    <n v="4"/>
    <x v="1"/>
    <n v="3"/>
    <x v="1"/>
    <x v="2"/>
    <x v="1"/>
    <n v="3816"/>
    <x v="0"/>
    <s v="No"/>
    <n v="11"/>
    <n v="3"/>
    <n v="2"/>
    <n v="5"/>
    <n v="3"/>
    <n v="5"/>
    <n v="2"/>
  </r>
  <r>
    <n v="28"/>
    <x v="2"/>
    <x v="1"/>
    <n v="0"/>
    <s v="Sales"/>
    <n v="2"/>
    <x v="1"/>
    <n v="3"/>
    <x v="0"/>
    <x v="0"/>
    <x v="0"/>
    <n v="5253"/>
    <x v="0"/>
    <s v="No"/>
    <n v="16"/>
    <n v="3"/>
    <n v="4"/>
    <n v="7"/>
    <n v="3"/>
    <n v="7"/>
    <n v="5"/>
  </r>
  <r>
    <n v="49"/>
    <x v="0"/>
    <x v="1"/>
    <n v="0"/>
    <s v="Research &amp; Development"/>
    <n v="2"/>
    <x v="1"/>
    <n v="2"/>
    <x v="2"/>
    <x v="4"/>
    <x v="2"/>
    <n v="10965"/>
    <x v="1"/>
    <s v="No"/>
    <n v="24"/>
    <n v="4"/>
    <n v="3"/>
    <n v="26"/>
    <n v="3"/>
    <n v="5"/>
    <n v="2"/>
  </r>
  <r>
    <n v="51"/>
    <x v="0"/>
    <x v="1"/>
    <n v="0"/>
    <s v="Sales"/>
    <n v="3"/>
    <x v="0"/>
    <n v="3"/>
    <x v="0"/>
    <x v="0"/>
    <x v="0"/>
    <n v="4936"/>
    <x v="0"/>
    <s v="No"/>
    <n v="11"/>
    <n v="3"/>
    <n v="3"/>
    <n v="18"/>
    <n v="2"/>
    <n v="7"/>
    <n v="7"/>
  </r>
  <r>
    <n v="36"/>
    <x v="1"/>
    <x v="1"/>
    <n v="0"/>
    <s v="Research &amp; Development"/>
    <n v="4"/>
    <x v="0"/>
    <n v="3"/>
    <x v="1"/>
    <x v="1"/>
    <x v="2"/>
    <n v="2543"/>
    <x v="0"/>
    <s v="No"/>
    <n v="13"/>
    <n v="3"/>
    <n v="2"/>
    <n v="6"/>
    <n v="3"/>
    <n v="2"/>
    <n v="2"/>
  </r>
  <r>
    <n v="34"/>
    <x v="1"/>
    <x v="0"/>
    <n v="1"/>
    <s v="Sales"/>
    <n v="1"/>
    <x v="1"/>
    <n v="4"/>
    <x v="0"/>
    <x v="0"/>
    <x v="0"/>
    <n v="5304"/>
    <x v="0"/>
    <s v="Yes"/>
    <n v="13"/>
    <n v="3"/>
    <n v="2"/>
    <n v="9"/>
    <n v="2"/>
    <n v="5"/>
    <n v="2"/>
  </r>
  <r>
    <n v="55"/>
    <x v="0"/>
    <x v="1"/>
    <n v="0"/>
    <s v="Research &amp; Development"/>
    <n v="3"/>
    <x v="0"/>
    <n v="3"/>
    <x v="3"/>
    <x v="5"/>
    <x v="0"/>
    <n v="16659"/>
    <x v="2"/>
    <s v="Yes"/>
    <n v="13"/>
    <n v="3"/>
    <n v="3"/>
    <n v="30"/>
    <n v="3"/>
    <n v="5"/>
    <n v="4"/>
  </r>
  <r>
    <n v="24"/>
    <x v="2"/>
    <x v="1"/>
    <n v="0"/>
    <s v="Sales"/>
    <n v="4"/>
    <x v="0"/>
    <n v="3"/>
    <x v="0"/>
    <x v="0"/>
    <x v="2"/>
    <n v="4260"/>
    <x v="0"/>
    <s v="Yes"/>
    <n v="12"/>
    <n v="3"/>
    <n v="4"/>
    <n v="5"/>
    <n v="4"/>
    <n v="5"/>
    <n v="2"/>
  </r>
  <r>
    <n v="30"/>
    <x v="2"/>
    <x v="1"/>
    <n v="0"/>
    <s v="Sales"/>
    <n v="3"/>
    <x v="1"/>
    <n v="3"/>
    <x v="1"/>
    <x v="6"/>
    <x v="1"/>
    <n v="2476"/>
    <x v="0"/>
    <s v="No"/>
    <n v="18"/>
    <n v="3"/>
    <n v="1"/>
    <n v="1"/>
    <n v="3"/>
    <n v="1"/>
    <n v="0"/>
  </r>
  <r>
    <n v="26"/>
    <x v="2"/>
    <x v="0"/>
    <n v="1"/>
    <s v="Research &amp; Development"/>
    <n v="3"/>
    <x v="1"/>
    <n v="3"/>
    <x v="1"/>
    <x v="1"/>
    <x v="3"/>
    <n v="3102"/>
    <x v="0"/>
    <s v="No"/>
    <n v="22"/>
    <n v="4"/>
    <n v="3"/>
    <n v="7"/>
    <n v="3"/>
    <n v="6"/>
    <n v="4"/>
  </r>
  <r>
    <n v="22"/>
    <x v="2"/>
    <x v="1"/>
    <n v="0"/>
    <s v="Research &amp; Development"/>
    <n v="1"/>
    <x v="0"/>
    <n v="3"/>
    <x v="1"/>
    <x v="1"/>
    <x v="1"/>
    <n v="2244"/>
    <x v="0"/>
    <s v="No"/>
    <n v="13"/>
    <n v="3"/>
    <n v="4"/>
    <n v="2"/>
    <n v="3"/>
    <n v="2"/>
    <n v="1"/>
  </r>
  <r>
    <n v="36"/>
    <x v="1"/>
    <x v="1"/>
    <n v="0"/>
    <s v="Sales"/>
    <n v="2"/>
    <x v="1"/>
    <n v="2"/>
    <x v="2"/>
    <x v="0"/>
    <x v="2"/>
    <n v="7596"/>
    <x v="1"/>
    <s v="No"/>
    <n v="13"/>
    <n v="3"/>
    <n v="2"/>
    <n v="10"/>
    <n v="3"/>
    <n v="10"/>
    <n v="9"/>
  </r>
  <r>
    <n v="30"/>
    <x v="2"/>
    <x v="0"/>
    <n v="1"/>
    <s v="Research &amp; Development"/>
    <n v="3"/>
    <x v="1"/>
    <n v="3"/>
    <x v="1"/>
    <x v="1"/>
    <x v="0"/>
    <n v="2285"/>
    <x v="0"/>
    <s v="Yes"/>
    <n v="23"/>
    <n v="4"/>
    <n v="3"/>
    <n v="3"/>
    <n v="3"/>
    <n v="1"/>
    <n v="0"/>
  </r>
  <r>
    <n v="37"/>
    <x v="1"/>
    <x v="1"/>
    <n v="0"/>
    <s v="Research &amp; Development"/>
    <n v="4"/>
    <x v="0"/>
    <n v="3"/>
    <x v="1"/>
    <x v="2"/>
    <x v="3"/>
    <n v="3034"/>
    <x v="0"/>
    <s v="No"/>
    <n v="12"/>
    <n v="3"/>
    <n v="3"/>
    <n v="18"/>
    <n v="2"/>
    <n v="18"/>
    <n v="7"/>
  </r>
  <r>
    <n v="40"/>
    <x v="1"/>
    <x v="1"/>
    <n v="0"/>
    <s v="Sales"/>
    <n v="4"/>
    <x v="0"/>
    <n v="3"/>
    <x v="0"/>
    <x v="0"/>
    <x v="1"/>
    <n v="5715"/>
    <x v="0"/>
    <s v="No"/>
    <n v="12"/>
    <n v="3"/>
    <n v="3"/>
    <n v="8"/>
    <n v="3"/>
    <n v="5"/>
    <n v="4"/>
  </r>
  <r>
    <n v="42"/>
    <x v="0"/>
    <x v="1"/>
    <n v="0"/>
    <s v="Research &amp; Development"/>
    <n v="2"/>
    <x v="0"/>
    <n v="3"/>
    <x v="1"/>
    <x v="2"/>
    <x v="3"/>
    <n v="2576"/>
    <x v="0"/>
    <s v="No"/>
    <n v="16"/>
    <n v="3"/>
    <n v="2"/>
    <n v="8"/>
    <n v="3"/>
    <n v="5"/>
    <n v="2"/>
  </r>
  <r>
    <n v="37"/>
    <x v="1"/>
    <x v="1"/>
    <n v="0"/>
    <s v="Research &amp; Development"/>
    <n v="3"/>
    <x v="1"/>
    <n v="3"/>
    <x v="0"/>
    <x v="3"/>
    <x v="1"/>
    <n v="4197"/>
    <x v="0"/>
    <s v="Yes"/>
    <n v="12"/>
    <n v="3"/>
    <n v="4"/>
    <n v="18"/>
    <n v="2"/>
    <n v="1"/>
    <n v="0"/>
  </r>
  <r>
    <n v="43"/>
    <x v="0"/>
    <x v="1"/>
    <n v="0"/>
    <s v="Research &amp; Development"/>
    <n v="1"/>
    <x v="1"/>
    <n v="2"/>
    <x v="3"/>
    <x v="7"/>
    <x v="1"/>
    <n v="14336"/>
    <x v="1"/>
    <s v="No"/>
    <n v="11"/>
    <n v="3"/>
    <n v="3"/>
    <n v="25"/>
    <n v="3"/>
    <n v="25"/>
    <n v="10"/>
  </r>
  <r>
    <n v="40"/>
    <x v="1"/>
    <x v="1"/>
    <n v="0"/>
    <s v="Research &amp; Development"/>
    <n v="2"/>
    <x v="0"/>
    <n v="2"/>
    <x v="0"/>
    <x v="2"/>
    <x v="2"/>
    <n v="3448"/>
    <x v="0"/>
    <s v="No"/>
    <n v="22"/>
    <n v="4"/>
    <n v="2"/>
    <n v="20"/>
    <n v="3"/>
    <n v="1"/>
    <n v="0"/>
  </r>
  <r>
    <n v="54"/>
    <x v="0"/>
    <x v="1"/>
    <n v="0"/>
    <s v="Research &amp; Development"/>
    <n v="1"/>
    <x v="1"/>
    <n v="3"/>
    <x v="4"/>
    <x v="7"/>
    <x v="3"/>
    <n v="19406"/>
    <x v="2"/>
    <s v="No"/>
    <n v="11"/>
    <n v="3"/>
    <n v="3"/>
    <n v="24"/>
    <n v="2"/>
    <n v="4"/>
    <n v="2"/>
  </r>
  <r>
    <n v="34"/>
    <x v="1"/>
    <x v="1"/>
    <n v="0"/>
    <s v="Sales"/>
    <n v="3"/>
    <x v="0"/>
    <n v="3"/>
    <x v="0"/>
    <x v="0"/>
    <x v="2"/>
    <n v="6538"/>
    <x v="0"/>
    <s v="No"/>
    <n v="15"/>
    <n v="3"/>
    <n v="1"/>
    <n v="6"/>
    <n v="3"/>
    <n v="3"/>
    <n v="2"/>
  </r>
  <r>
    <n v="31"/>
    <x v="1"/>
    <x v="1"/>
    <n v="0"/>
    <s v="Research &amp; Development"/>
    <n v="2"/>
    <x v="0"/>
    <n v="3"/>
    <x v="0"/>
    <x v="3"/>
    <x v="3"/>
    <n v="4306"/>
    <x v="0"/>
    <s v="No"/>
    <n v="12"/>
    <n v="3"/>
    <n v="2"/>
    <n v="13"/>
    <n v="1"/>
    <n v="13"/>
    <n v="10"/>
  </r>
  <r>
    <n v="43"/>
    <x v="0"/>
    <x v="1"/>
    <n v="0"/>
    <s v="Research &amp; Development"/>
    <n v="4"/>
    <x v="1"/>
    <n v="3"/>
    <x v="1"/>
    <x v="2"/>
    <x v="0"/>
    <n v="2258"/>
    <x v="0"/>
    <s v="No"/>
    <n v="20"/>
    <n v="4"/>
    <n v="1"/>
    <n v="8"/>
    <n v="3"/>
    <n v="3"/>
    <n v="2"/>
  </r>
  <r>
    <n v="43"/>
    <x v="0"/>
    <x v="1"/>
    <n v="0"/>
    <s v="Research &amp; Development"/>
    <n v="3"/>
    <x v="0"/>
    <n v="3"/>
    <x v="0"/>
    <x v="4"/>
    <x v="2"/>
    <n v="4522"/>
    <x v="0"/>
    <s v="Yes"/>
    <n v="14"/>
    <n v="3"/>
    <n v="4"/>
    <n v="8"/>
    <n v="3"/>
    <n v="5"/>
    <n v="2"/>
  </r>
  <r>
    <n v="25"/>
    <x v="2"/>
    <x v="1"/>
    <n v="0"/>
    <s v="Sales"/>
    <n v="2"/>
    <x v="0"/>
    <n v="2"/>
    <x v="0"/>
    <x v="0"/>
    <x v="0"/>
    <n v="4487"/>
    <x v="0"/>
    <s v="Yes"/>
    <n v="11"/>
    <n v="3"/>
    <n v="2"/>
    <n v="5"/>
    <n v="3"/>
    <n v="5"/>
    <n v="4"/>
  </r>
  <r>
    <n v="37"/>
    <x v="1"/>
    <x v="1"/>
    <n v="0"/>
    <s v="Research &amp; Development"/>
    <n v="2"/>
    <x v="0"/>
    <n v="3"/>
    <x v="0"/>
    <x v="1"/>
    <x v="2"/>
    <n v="4449"/>
    <x v="0"/>
    <s v="Yes"/>
    <n v="15"/>
    <n v="3"/>
    <n v="1"/>
    <n v="15"/>
    <n v="3"/>
    <n v="13"/>
    <n v="11"/>
  </r>
  <r>
    <n v="31"/>
    <x v="1"/>
    <x v="1"/>
    <n v="0"/>
    <s v="Research &amp; Development"/>
    <n v="4"/>
    <x v="1"/>
    <n v="2"/>
    <x v="1"/>
    <x v="2"/>
    <x v="3"/>
    <n v="2218"/>
    <x v="0"/>
    <s v="No"/>
    <n v="12"/>
    <n v="3"/>
    <n v="3"/>
    <n v="4"/>
    <n v="3"/>
    <n v="4"/>
    <n v="2"/>
  </r>
  <r>
    <n v="39"/>
    <x v="1"/>
    <x v="1"/>
    <n v="0"/>
    <s v="Research &amp; Development"/>
    <n v="2"/>
    <x v="1"/>
    <n v="3"/>
    <x v="4"/>
    <x v="5"/>
    <x v="2"/>
    <n v="19197"/>
    <x v="2"/>
    <s v="Yes"/>
    <n v="14"/>
    <n v="3"/>
    <n v="3"/>
    <n v="21"/>
    <n v="3"/>
    <n v="21"/>
    <n v="8"/>
  </r>
  <r>
    <n v="56"/>
    <x v="0"/>
    <x v="1"/>
    <n v="0"/>
    <s v="Sales"/>
    <n v="3"/>
    <x v="0"/>
    <n v="4"/>
    <x v="3"/>
    <x v="0"/>
    <x v="3"/>
    <n v="13212"/>
    <x v="1"/>
    <s v="No"/>
    <n v="11"/>
    <n v="3"/>
    <n v="4"/>
    <n v="36"/>
    <n v="2"/>
    <n v="7"/>
    <n v="7"/>
  </r>
  <r>
    <n v="30"/>
    <x v="2"/>
    <x v="1"/>
    <n v="0"/>
    <s v="Sales"/>
    <n v="2"/>
    <x v="0"/>
    <n v="3"/>
    <x v="0"/>
    <x v="0"/>
    <x v="2"/>
    <n v="6577"/>
    <x v="0"/>
    <s v="No"/>
    <n v="11"/>
    <n v="3"/>
    <n v="2"/>
    <n v="6"/>
    <n v="3"/>
    <n v="5"/>
    <n v="4"/>
  </r>
  <r>
    <n v="41"/>
    <x v="0"/>
    <x v="1"/>
    <n v="0"/>
    <s v="Sales"/>
    <n v="2"/>
    <x v="1"/>
    <n v="4"/>
    <x v="2"/>
    <x v="0"/>
    <x v="3"/>
    <n v="8392"/>
    <x v="1"/>
    <s v="No"/>
    <n v="16"/>
    <n v="3"/>
    <n v="3"/>
    <n v="10"/>
    <n v="3"/>
    <n v="10"/>
    <n v="7"/>
  </r>
  <r>
    <n v="28"/>
    <x v="2"/>
    <x v="1"/>
    <n v="0"/>
    <s v="Research &amp; Development"/>
    <n v="3"/>
    <x v="1"/>
    <n v="3"/>
    <x v="0"/>
    <x v="2"/>
    <x v="3"/>
    <n v="4558"/>
    <x v="0"/>
    <s v="No"/>
    <n v="12"/>
    <n v="3"/>
    <n v="4"/>
    <n v="10"/>
    <n v="3"/>
    <n v="10"/>
    <n v="0"/>
  </r>
  <r>
    <n v="25"/>
    <x v="2"/>
    <x v="0"/>
    <n v="1"/>
    <s v="Research &amp; Development"/>
    <n v="1"/>
    <x v="1"/>
    <n v="3"/>
    <x v="1"/>
    <x v="2"/>
    <x v="3"/>
    <n v="4031"/>
    <x v="0"/>
    <s v="No"/>
    <n v="13"/>
    <n v="3"/>
    <n v="3"/>
    <n v="6"/>
    <n v="3"/>
    <n v="2"/>
    <n v="2"/>
  </r>
  <r>
    <n v="52"/>
    <x v="0"/>
    <x v="1"/>
    <n v="0"/>
    <s v="Research &amp; Development"/>
    <n v="4"/>
    <x v="1"/>
    <n v="2"/>
    <x v="2"/>
    <x v="3"/>
    <x v="2"/>
    <n v="7969"/>
    <x v="1"/>
    <s v="Yes"/>
    <n v="14"/>
    <n v="3"/>
    <n v="3"/>
    <n v="28"/>
    <n v="3"/>
    <n v="5"/>
    <n v="4"/>
  </r>
  <r>
    <n v="45"/>
    <x v="0"/>
    <x v="1"/>
    <n v="0"/>
    <s v="Research &amp; Development"/>
    <n v="1"/>
    <x v="1"/>
    <n v="3"/>
    <x v="1"/>
    <x v="1"/>
    <x v="0"/>
    <n v="2654"/>
    <x v="0"/>
    <s v="No"/>
    <n v="21"/>
    <n v="4"/>
    <n v="4"/>
    <n v="8"/>
    <n v="2"/>
    <n v="2"/>
    <n v="2"/>
  </r>
  <r>
    <n v="52"/>
    <x v="0"/>
    <x v="1"/>
    <n v="0"/>
    <s v="Research &amp; Development"/>
    <n v="4"/>
    <x v="0"/>
    <n v="3"/>
    <x v="3"/>
    <x v="5"/>
    <x v="0"/>
    <n v="16555"/>
    <x v="2"/>
    <s v="No"/>
    <n v="13"/>
    <n v="3"/>
    <n v="4"/>
    <n v="31"/>
    <n v="1"/>
    <n v="5"/>
    <n v="2"/>
  </r>
  <r>
    <n v="42"/>
    <x v="0"/>
    <x v="1"/>
    <n v="0"/>
    <s v="Research &amp; Development"/>
    <n v="1"/>
    <x v="0"/>
    <n v="3"/>
    <x v="0"/>
    <x v="1"/>
    <x v="2"/>
    <n v="4556"/>
    <x v="0"/>
    <s v="No"/>
    <n v="11"/>
    <n v="3"/>
    <n v="2"/>
    <n v="19"/>
    <n v="3"/>
    <n v="5"/>
    <n v="4"/>
  </r>
  <r>
    <n v="30"/>
    <x v="2"/>
    <x v="1"/>
    <n v="0"/>
    <s v="Research &amp; Development"/>
    <n v="3"/>
    <x v="0"/>
    <n v="1"/>
    <x v="0"/>
    <x v="3"/>
    <x v="0"/>
    <n v="6091"/>
    <x v="0"/>
    <s v="No"/>
    <n v="20"/>
    <n v="4"/>
    <n v="3"/>
    <n v="11"/>
    <n v="3"/>
    <n v="5"/>
    <n v="4"/>
  </r>
  <r>
    <n v="60"/>
    <x v="0"/>
    <x v="1"/>
    <n v="0"/>
    <s v="Research &amp; Development"/>
    <n v="1"/>
    <x v="0"/>
    <n v="3"/>
    <x v="4"/>
    <x v="5"/>
    <x v="3"/>
    <n v="19566"/>
    <x v="2"/>
    <s v="No"/>
    <n v="11"/>
    <n v="3"/>
    <n v="4"/>
    <n v="33"/>
    <n v="1"/>
    <n v="29"/>
    <n v="8"/>
  </r>
  <r>
    <n v="46"/>
    <x v="0"/>
    <x v="1"/>
    <n v="0"/>
    <s v="Research &amp; Development"/>
    <n v="3"/>
    <x v="0"/>
    <n v="3"/>
    <x v="0"/>
    <x v="3"/>
    <x v="2"/>
    <n v="4810"/>
    <x v="0"/>
    <s v="No"/>
    <n v="14"/>
    <n v="3"/>
    <n v="3"/>
    <n v="19"/>
    <n v="2"/>
    <n v="10"/>
    <n v="7"/>
  </r>
  <r>
    <n v="42"/>
    <x v="0"/>
    <x v="1"/>
    <n v="0"/>
    <s v="Research &amp; Development"/>
    <n v="4"/>
    <x v="0"/>
    <n v="2"/>
    <x v="0"/>
    <x v="4"/>
    <x v="0"/>
    <n v="4523"/>
    <x v="0"/>
    <s v="No"/>
    <n v="11"/>
    <n v="3"/>
    <n v="4"/>
    <n v="7"/>
    <n v="4"/>
    <n v="6"/>
    <n v="5"/>
  </r>
  <r>
    <n v="24"/>
    <x v="2"/>
    <x v="0"/>
    <n v="1"/>
    <s v="Sales"/>
    <n v="1"/>
    <x v="0"/>
    <n v="3"/>
    <x v="1"/>
    <x v="6"/>
    <x v="1"/>
    <n v="3202"/>
    <x v="0"/>
    <s v="Yes"/>
    <n v="16"/>
    <n v="3"/>
    <n v="2"/>
    <n v="6"/>
    <n v="3"/>
    <n v="5"/>
    <n v="3"/>
  </r>
  <r>
    <n v="34"/>
    <x v="1"/>
    <x v="0"/>
    <n v="1"/>
    <s v="Sales"/>
    <n v="4"/>
    <x v="0"/>
    <n v="1"/>
    <x v="1"/>
    <x v="6"/>
    <x v="2"/>
    <n v="2351"/>
    <x v="0"/>
    <s v="No"/>
    <n v="16"/>
    <n v="3"/>
    <n v="4"/>
    <n v="3"/>
    <n v="2"/>
    <n v="2"/>
    <n v="2"/>
  </r>
  <r>
    <n v="38"/>
    <x v="1"/>
    <x v="1"/>
    <n v="0"/>
    <s v="Research &amp; Development"/>
    <n v="4"/>
    <x v="1"/>
    <n v="3"/>
    <x v="1"/>
    <x v="2"/>
    <x v="0"/>
    <n v="1702"/>
    <x v="0"/>
    <s v="Yes"/>
    <n v="23"/>
    <n v="4"/>
    <n v="3"/>
    <n v="1"/>
    <n v="3"/>
    <n v="1"/>
    <n v="0"/>
  </r>
  <r>
    <n v="40"/>
    <x v="1"/>
    <x v="1"/>
    <n v="0"/>
    <s v="Sales"/>
    <n v="3"/>
    <x v="0"/>
    <n v="3"/>
    <x v="4"/>
    <x v="5"/>
    <x v="2"/>
    <n v="18041"/>
    <x v="2"/>
    <s v="No"/>
    <n v="14"/>
    <n v="3"/>
    <n v="4"/>
    <n v="21"/>
    <n v="3"/>
    <n v="20"/>
    <n v="15"/>
  </r>
  <r>
    <n v="26"/>
    <x v="2"/>
    <x v="1"/>
    <n v="0"/>
    <s v="Research &amp; Development"/>
    <n v="1"/>
    <x v="0"/>
    <n v="3"/>
    <x v="1"/>
    <x v="1"/>
    <x v="0"/>
    <n v="2886"/>
    <x v="0"/>
    <s v="No"/>
    <n v="22"/>
    <n v="4"/>
    <n v="2"/>
    <n v="3"/>
    <n v="1"/>
    <n v="3"/>
    <n v="2"/>
  </r>
  <r>
    <n v="30"/>
    <x v="2"/>
    <x v="1"/>
    <n v="0"/>
    <s v="Research &amp; Development"/>
    <n v="3"/>
    <x v="1"/>
    <n v="3"/>
    <x v="1"/>
    <x v="2"/>
    <x v="0"/>
    <n v="2097"/>
    <x v="0"/>
    <s v="No"/>
    <n v="15"/>
    <n v="3"/>
    <n v="3"/>
    <n v="9"/>
    <n v="1"/>
    <n v="5"/>
    <n v="3"/>
  </r>
  <r>
    <n v="29"/>
    <x v="2"/>
    <x v="1"/>
    <n v="0"/>
    <s v="Research &amp; Development"/>
    <n v="2"/>
    <x v="1"/>
    <n v="2"/>
    <x v="2"/>
    <x v="7"/>
    <x v="2"/>
    <n v="11935"/>
    <x v="1"/>
    <s v="No"/>
    <n v="18"/>
    <n v="3"/>
    <n v="3"/>
    <n v="10"/>
    <n v="3"/>
    <n v="10"/>
    <n v="2"/>
  </r>
  <r>
    <n v="29"/>
    <x v="2"/>
    <x v="0"/>
    <n v="1"/>
    <s v="Research &amp; Development"/>
    <n v="3"/>
    <x v="0"/>
    <n v="2"/>
    <x v="1"/>
    <x v="1"/>
    <x v="1"/>
    <n v="2546"/>
    <x v="0"/>
    <s v="No"/>
    <n v="16"/>
    <n v="3"/>
    <n v="2"/>
    <n v="6"/>
    <n v="4"/>
    <n v="2"/>
    <n v="2"/>
  </r>
  <r>
    <n v="19"/>
    <x v="2"/>
    <x v="0"/>
    <n v="1"/>
    <s v="Human Resources"/>
    <n v="1"/>
    <x v="1"/>
    <n v="2"/>
    <x v="1"/>
    <x v="8"/>
    <x v="0"/>
    <n v="2564"/>
    <x v="0"/>
    <s v="No"/>
    <n v="12"/>
    <n v="3"/>
    <n v="3"/>
    <n v="1"/>
    <n v="4"/>
    <n v="1"/>
    <n v="0"/>
  </r>
  <r>
    <n v="30"/>
    <x v="2"/>
    <x v="1"/>
    <n v="0"/>
    <s v="Sales"/>
    <n v="3"/>
    <x v="0"/>
    <n v="3"/>
    <x v="2"/>
    <x v="0"/>
    <x v="3"/>
    <n v="8412"/>
    <x v="1"/>
    <s v="No"/>
    <n v="11"/>
    <n v="3"/>
    <n v="3"/>
    <n v="10"/>
    <n v="3"/>
    <n v="9"/>
    <n v="8"/>
  </r>
  <r>
    <n v="57"/>
    <x v="0"/>
    <x v="1"/>
    <n v="0"/>
    <s v="Sales"/>
    <n v="1"/>
    <x v="1"/>
    <n v="2"/>
    <x v="3"/>
    <x v="5"/>
    <x v="0"/>
    <n v="14118"/>
    <x v="1"/>
    <s v="No"/>
    <n v="12"/>
    <n v="3"/>
    <n v="3"/>
    <n v="32"/>
    <n v="2"/>
    <n v="1"/>
    <n v="0"/>
  </r>
  <r>
    <n v="50"/>
    <x v="0"/>
    <x v="1"/>
    <n v="0"/>
    <s v="Research &amp; Development"/>
    <n v="2"/>
    <x v="1"/>
    <n v="2"/>
    <x v="3"/>
    <x v="5"/>
    <x v="2"/>
    <n v="17046"/>
    <x v="2"/>
    <s v="No"/>
    <n v="15"/>
    <n v="3"/>
    <n v="2"/>
    <n v="28"/>
    <n v="3"/>
    <n v="27"/>
    <n v="10"/>
  </r>
  <r>
    <n v="30"/>
    <x v="2"/>
    <x v="1"/>
    <n v="0"/>
    <s v="Research &amp; Development"/>
    <n v="3"/>
    <x v="0"/>
    <n v="3"/>
    <x v="1"/>
    <x v="2"/>
    <x v="0"/>
    <n v="2564"/>
    <x v="0"/>
    <s v="No"/>
    <n v="14"/>
    <n v="3"/>
    <n v="3"/>
    <n v="12"/>
    <n v="2"/>
    <n v="11"/>
    <n v="7"/>
  </r>
  <r>
    <n v="60"/>
    <x v="0"/>
    <x v="1"/>
    <n v="0"/>
    <s v="Sales"/>
    <n v="3"/>
    <x v="0"/>
    <n v="2"/>
    <x v="2"/>
    <x v="0"/>
    <x v="3"/>
    <n v="10266"/>
    <x v="1"/>
    <s v="No"/>
    <n v="19"/>
    <n v="3"/>
    <n v="4"/>
    <n v="22"/>
    <n v="4"/>
    <n v="18"/>
    <n v="13"/>
  </r>
  <r>
    <n v="47"/>
    <x v="0"/>
    <x v="1"/>
    <n v="0"/>
    <s v="Research &amp; Development"/>
    <n v="1"/>
    <x v="0"/>
    <n v="3"/>
    <x v="0"/>
    <x v="3"/>
    <x v="0"/>
    <n v="5070"/>
    <x v="0"/>
    <s v="No"/>
    <n v="13"/>
    <n v="3"/>
    <n v="3"/>
    <n v="20"/>
    <n v="3"/>
    <n v="5"/>
    <n v="0"/>
  </r>
  <r>
    <n v="46"/>
    <x v="0"/>
    <x v="1"/>
    <n v="0"/>
    <s v="Research &amp; Development"/>
    <n v="1"/>
    <x v="1"/>
    <n v="3"/>
    <x v="3"/>
    <x v="7"/>
    <x v="2"/>
    <n v="17861"/>
    <x v="2"/>
    <s v="No"/>
    <n v="13"/>
    <n v="3"/>
    <n v="3"/>
    <n v="26"/>
    <n v="1"/>
    <n v="3"/>
    <n v="2"/>
  </r>
  <r>
    <n v="35"/>
    <x v="1"/>
    <x v="1"/>
    <n v="0"/>
    <s v="Research &amp; Development"/>
    <n v="4"/>
    <x v="1"/>
    <n v="1"/>
    <x v="1"/>
    <x v="2"/>
    <x v="2"/>
    <n v="4230"/>
    <x v="0"/>
    <s v="No"/>
    <n v="15"/>
    <n v="3"/>
    <n v="3"/>
    <n v="6"/>
    <n v="3"/>
    <n v="5"/>
    <n v="4"/>
  </r>
  <r>
    <n v="54"/>
    <x v="0"/>
    <x v="1"/>
    <n v="0"/>
    <s v="Research &amp; Development"/>
    <n v="3"/>
    <x v="0"/>
    <n v="3"/>
    <x v="0"/>
    <x v="2"/>
    <x v="2"/>
    <n v="3780"/>
    <x v="0"/>
    <s v="No"/>
    <n v="11"/>
    <n v="3"/>
    <n v="3"/>
    <n v="19"/>
    <n v="3"/>
    <n v="1"/>
    <n v="0"/>
  </r>
  <r>
    <n v="34"/>
    <x v="1"/>
    <x v="1"/>
    <n v="0"/>
    <s v="Research &amp; Development"/>
    <n v="4"/>
    <x v="1"/>
    <n v="2"/>
    <x v="1"/>
    <x v="1"/>
    <x v="2"/>
    <n v="2768"/>
    <x v="0"/>
    <s v="No"/>
    <n v="12"/>
    <n v="3"/>
    <n v="3"/>
    <n v="14"/>
    <n v="3"/>
    <n v="7"/>
    <n v="3"/>
  </r>
  <r>
    <n v="46"/>
    <x v="0"/>
    <x v="1"/>
    <n v="0"/>
    <s v="Sales"/>
    <n v="3"/>
    <x v="0"/>
    <n v="2"/>
    <x v="2"/>
    <x v="0"/>
    <x v="0"/>
    <n v="9071"/>
    <x v="1"/>
    <s v="Yes"/>
    <n v="19"/>
    <n v="3"/>
    <n v="3"/>
    <n v="15"/>
    <n v="3"/>
    <n v="3"/>
    <n v="2"/>
  </r>
  <r>
    <n v="31"/>
    <x v="1"/>
    <x v="1"/>
    <n v="0"/>
    <s v="Research &amp; Development"/>
    <n v="3"/>
    <x v="1"/>
    <n v="3"/>
    <x v="2"/>
    <x v="3"/>
    <x v="1"/>
    <n v="10648"/>
    <x v="1"/>
    <s v="No"/>
    <n v="25"/>
    <n v="4"/>
    <n v="4"/>
    <n v="13"/>
    <n v="4"/>
    <n v="13"/>
    <n v="8"/>
  </r>
  <r>
    <n v="33"/>
    <x v="1"/>
    <x v="0"/>
    <n v="1"/>
    <s v="Research &amp; Development"/>
    <n v="2"/>
    <x v="1"/>
    <n v="3"/>
    <x v="2"/>
    <x v="5"/>
    <x v="2"/>
    <n v="13610"/>
    <x v="1"/>
    <s v="Yes"/>
    <n v="12"/>
    <n v="3"/>
    <n v="4"/>
    <n v="15"/>
    <n v="4"/>
    <n v="7"/>
    <n v="6"/>
  </r>
  <r>
    <n v="33"/>
    <x v="1"/>
    <x v="0"/>
    <n v="1"/>
    <s v="Research &amp; Development"/>
    <n v="1"/>
    <x v="1"/>
    <n v="1"/>
    <x v="1"/>
    <x v="2"/>
    <x v="0"/>
    <n v="3408"/>
    <x v="0"/>
    <s v="No"/>
    <n v="13"/>
    <n v="3"/>
    <n v="1"/>
    <n v="8"/>
    <n v="3"/>
    <n v="4"/>
    <n v="3"/>
  </r>
  <r>
    <n v="30"/>
    <x v="2"/>
    <x v="1"/>
    <n v="0"/>
    <s v="Sales"/>
    <n v="4"/>
    <x v="1"/>
    <n v="3"/>
    <x v="1"/>
    <x v="6"/>
    <x v="1"/>
    <n v="2983"/>
    <x v="0"/>
    <s v="No"/>
    <n v="14"/>
    <n v="3"/>
    <n v="1"/>
    <n v="4"/>
    <n v="3"/>
    <n v="3"/>
    <n v="2"/>
  </r>
  <r>
    <n v="35"/>
    <x v="1"/>
    <x v="1"/>
    <n v="0"/>
    <s v="Research &amp; Development"/>
    <n v="4"/>
    <x v="1"/>
    <n v="3"/>
    <x v="2"/>
    <x v="4"/>
    <x v="2"/>
    <n v="7632"/>
    <x v="1"/>
    <s v="Yes"/>
    <n v="12"/>
    <n v="3"/>
    <n v="3"/>
    <n v="10"/>
    <n v="3"/>
    <n v="8"/>
    <n v="7"/>
  </r>
  <r>
    <n v="31"/>
    <x v="1"/>
    <x v="0"/>
    <n v="1"/>
    <s v="Research &amp; Development"/>
    <n v="1"/>
    <x v="1"/>
    <n v="3"/>
    <x v="2"/>
    <x v="4"/>
    <x v="2"/>
    <n v="9824"/>
    <x v="1"/>
    <s v="No"/>
    <n v="12"/>
    <n v="3"/>
    <n v="1"/>
    <n v="12"/>
    <n v="3"/>
    <n v="1"/>
    <n v="0"/>
  </r>
  <r>
    <n v="34"/>
    <x v="1"/>
    <x v="0"/>
    <n v="1"/>
    <s v="Human Resources"/>
    <n v="2"/>
    <x v="0"/>
    <n v="3"/>
    <x v="2"/>
    <x v="8"/>
    <x v="3"/>
    <n v="9950"/>
    <x v="1"/>
    <s v="Yes"/>
    <n v="15"/>
    <n v="3"/>
    <n v="3"/>
    <n v="11"/>
    <n v="3"/>
    <n v="3"/>
    <n v="2"/>
  </r>
  <r>
    <n v="42"/>
    <x v="0"/>
    <x v="1"/>
    <n v="0"/>
    <s v="Research &amp; Development"/>
    <n v="2"/>
    <x v="1"/>
    <n v="3"/>
    <x v="1"/>
    <x v="2"/>
    <x v="2"/>
    <n v="2093"/>
    <x v="0"/>
    <s v="No"/>
    <n v="17"/>
    <n v="3"/>
    <n v="4"/>
    <n v="8"/>
    <n v="3"/>
    <n v="2"/>
    <n v="2"/>
  </r>
  <r>
    <n v="36"/>
    <x v="1"/>
    <x v="1"/>
    <n v="0"/>
    <s v="Sales"/>
    <n v="2"/>
    <x v="1"/>
    <n v="3"/>
    <x v="2"/>
    <x v="0"/>
    <x v="0"/>
    <n v="9980"/>
    <x v="1"/>
    <s v="No"/>
    <n v="14"/>
    <n v="3"/>
    <n v="4"/>
    <n v="10"/>
    <n v="2"/>
    <n v="10"/>
    <n v="3"/>
  </r>
  <r>
    <n v="22"/>
    <x v="2"/>
    <x v="0"/>
    <n v="1"/>
    <s v="Research &amp; Development"/>
    <n v="3"/>
    <x v="1"/>
    <n v="2"/>
    <x v="1"/>
    <x v="2"/>
    <x v="2"/>
    <n v="3894"/>
    <x v="0"/>
    <s v="No"/>
    <n v="16"/>
    <n v="3"/>
    <n v="3"/>
    <n v="4"/>
    <n v="3"/>
    <n v="2"/>
    <n v="2"/>
  </r>
  <r>
    <n v="48"/>
    <x v="0"/>
    <x v="1"/>
    <n v="0"/>
    <s v="Sales"/>
    <n v="2"/>
    <x v="0"/>
    <n v="3"/>
    <x v="0"/>
    <x v="0"/>
    <x v="0"/>
    <n v="4051"/>
    <x v="0"/>
    <s v="No"/>
    <n v="14"/>
    <n v="3"/>
    <n v="1"/>
    <n v="14"/>
    <n v="3"/>
    <n v="9"/>
    <n v="7"/>
  </r>
  <r>
    <n v="55"/>
    <x v="0"/>
    <x v="1"/>
    <n v="0"/>
    <s v="Sales"/>
    <n v="1"/>
    <x v="0"/>
    <n v="3"/>
    <x v="3"/>
    <x v="5"/>
    <x v="1"/>
    <n v="16835"/>
    <x v="2"/>
    <s v="No"/>
    <n v="23"/>
    <n v="4"/>
    <n v="4"/>
    <n v="37"/>
    <n v="3"/>
    <n v="10"/>
    <n v="9"/>
  </r>
  <r>
    <n v="41"/>
    <x v="0"/>
    <x v="1"/>
    <n v="0"/>
    <s v="Sales"/>
    <n v="4"/>
    <x v="1"/>
    <n v="3"/>
    <x v="0"/>
    <x v="0"/>
    <x v="0"/>
    <n v="6230"/>
    <x v="0"/>
    <s v="No"/>
    <n v="14"/>
    <n v="3"/>
    <n v="4"/>
    <n v="16"/>
    <n v="3"/>
    <n v="14"/>
    <n v="3"/>
  </r>
  <r>
    <n v="35"/>
    <x v="1"/>
    <x v="1"/>
    <n v="0"/>
    <s v="Sales"/>
    <n v="2"/>
    <x v="1"/>
    <n v="3"/>
    <x v="0"/>
    <x v="0"/>
    <x v="2"/>
    <n v="4717"/>
    <x v="0"/>
    <s v="No"/>
    <n v="11"/>
    <n v="3"/>
    <n v="3"/>
    <n v="15"/>
    <n v="3"/>
    <n v="11"/>
    <n v="9"/>
  </r>
  <r>
    <n v="40"/>
    <x v="1"/>
    <x v="1"/>
    <n v="0"/>
    <s v="Research &amp; Development"/>
    <n v="2"/>
    <x v="0"/>
    <n v="3"/>
    <x v="3"/>
    <x v="3"/>
    <x v="2"/>
    <n v="13237"/>
    <x v="1"/>
    <s v="No"/>
    <n v="15"/>
    <n v="3"/>
    <n v="3"/>
    <n v="22"/>
    <n v="3"/>
    <n v="20"/>
    <n v="6"/>
  </r>
  <r>
    <n v="39"/>
    <x v="1"/>
    <x v="1"/>
    <n v="0"/>
    <s v="Research &amp; Development"/>
    <n v="3"/>
    <x v="0"/>
    <n v="3"/>
    <x v="1"/>
    <x v="2"/>
    <x v="2"/>
    <n v="3755"/>
    <x v="0"/>
    <s v="No"/>
    <n v="11"/>
    <n v="3"/>
    <n v="1"/>
    <n v="8"/>
    <n v="3"/>
    <n v="8"/>
    <n v="3"/>
  </r>
  <r>
    <n v="31"/>
    <x v="1"/>
    <x v="1"/>
    <n v="0"/>
    <s v="Sales"/>
    <n v="2"/>
    <x v="1"/>
    <n v="3"/>
    <x v="0"/>
    <x v="0"/>
    <x v="0"/>
    <n v="6582"/>
    <x v="0"/>
    <s v="Yes"/>
    <n v="13"/>
    <n v="3"/>
    <n v="3"/>
    <n v="10"/>
    <n v="4"/>
    <n v="6"/>
    <n v="5"/>
  </r>
  <r>
    <n v="42"/>
    <x v="0"/>
    <x v="1"/>
    <n v="0"/>
    <s v="Research &amp; Development"/>
    <n v="4"/>
    <x v="1"/>
    <n v="3"/>
    <x v="2"/>
    <x v="3"/>
    <x v="3"/>
    <n v="7406"/>
    <x v="1"/>
    <s v="Yes"/>
    <n v="21"/>
    <n v="4"/>
    <n v="4"/>
    <n v="10"/>
    <n v="2"/>
    <n v="10"/>
    <n v="9"/>
  </r>
  <r>
    <n v="45"/>
    <x v="0"/>
    <x v="1"/>
    <n v="0"/>
    <s v="Sales"/>
    <n v="4"/>
    <x v="1"/>
    <n v="3"/>
    <x v="0"/>
    <x v="0"/>
    <x v="1"/>
    <n v="4805"/>
    <x v="0"/>
    <s v="No"/>
    <n v="19"/>
    <n v="3"/>
    <n v="2"/>
    <n v="9"/>
    <n v="4"/>
    <n v="8"/>
    <n v="7"/>
  </r>
  <r>
    <n v="26"/>
    <x v="2"/>
    <x v="0"/>
    <n v="1"/>
    <s v="Human Resources"/>
    <n v="2"/>
    <x v="0"/>
    <n v="3"/>
    <x v="1"/>
    <x v="8"/>
    <x v="2"/>
    <n v="2741"/>
    <x v="0"/>
    <s v="Yes"/>
    <n v="11"/>
    <n v="3"/>
    <n v="2"/>
    <n v="8"/>
    <n v="2"/>
    <n v="7"/>
    <n v="7"/>
  </r>
  <r>
    <n v="29"/>
    <x v="2"/>
    <x v="1"/>
    <n v="0"/>
    <s v="Research &amp; Development"/>
    <n v="4"/>
    <x v="1"/>
    <n v="3"/>
    <x v="0"/>
    <x v="3"/>
    <x v="0"/>
    <n v="4262"/>
    <x v="0"/>
    <s v="No"/>
    <n v="12"/>
    <n v="3"/>
    <n v="2"/>
    <n v="8"/>
    <n v="4"/>
    <n v="3"/>
    <n v="2"/>
  </r>
  <r>
    <n v="33"/>
    <x v="1"/>
    <x v="1"/>
    <n v="0"/>
    <s v="Research &amp; Development"/>
    <n v="1"/>
    <x v="0"/>
    <n v="4"/>
    <x v="3"/>
    <x v="7"/>
    <x v="2"/>
    <n v="16184"/>
    <x v="2"/>
    <s v="No"/>
    <n v="19"/>
    <n v="3"/>
    <n v="3"/>
    <n v="10"/>
    <n v="3"/>
    <n v="6"/>
    <n v="1"/>
  </r>
  <r>
    <n v="31"/>
    <x v="1"/>
    <x v="1"/>
    <n v="0"/>
    <s v="Sales"/>
    <n v="3"/>
    <x v="1"/>
    <n v="2"/>
    <x v="2"/>
    <x v="5"/>
    <x v="0"/>
    <n v="11557"/>
    <x v="1"/>
    <s v="No"/>
    <n v="21"/>
    <n v="4"/>
    <n v="3"/>
    <n v="10"/>
    <n v="2"/>
    <n v="5"/>
    <n v="4"/>
  </r>
  <r>
    <n v="18"/>
    <x v="2"/>
    <x v="0"/>
    <n v="1"/>
    <s v="Sales"/>
    <n v="2"/>
    <x v="1"/>
    <n v="3"/>
    <x v="1"/>
    <x v="6"/>
    <x v="1"/>
    <n v="1878"/>
    <x v="0"/>
    <s v="Yes"/>
    <n v="14"/>
    <n v="3"/>
    <n v="4"/>
    <n v="0"/>
    <n v="3"/>
    <n v="0"/>
    <n v="0"/>
  </r>
  <r>
    <n v="40"/>
    <x v="1"/>
    <x v="1"/>
    <n v="0"/>
    <s v="Sales"/>
    <n v="3"/>
    <x v="1"/>
    <n v="1"/>
    <x v="2"/>
    <x v="0"/>
    <x v="3"/>
    <n v="10932"/>
    <x v="1"/>
    <s v="No"/>
    <n v="15"/>
    <n v="3"/>
    <n v="3"/>
    <n v="20"/>
    <n v="3"/>
    <n v="1"/>
    <n v="0"/>
  </r>
  <r>
    <n v="41"/>
    <x v="0"/>
    <x v="1"/>
    <n v="0"/>
    <s v="Research &amp; Development"/>
    <n v="1"/>
    <x v="0"/>
    <n v="2"/>
    <x v="0"/>
    <x v="4"/>
    <x v="2"/>
    <n v="6811"/>
    <x v="0"/>
    <s v="Yes"/>
    <n v="17"/>
    <n v="3"/>
    <n v="1"/>
    <n v="10"/>
    <n v="3"/>
    <n v="8"/>
    <n v="7"/>
  </r>
  <r>
    <n v="26"/>
    <x v="2"/>
    <x v="1"/>
    <n v="0"/>
    <s v="Sales"/>
    <n v="1"/>
    <x v="1"/>
    <n v="3"/>
    <x v="0"/>
    <x v="0"/>
    <x v="2"/>
    <n v="4306"/>
    <x v="0"/>
    <s v="No"/>
    <n v="12"/>
    <n v="3"/>
    <n v="1"/>
    <n v="8"/>
    <n v="3"/>
    <n v="0"/>
    <n v="0"/>
  </r>
  <r>
    <n v="35"/>
    <x v="1"/>
    <x v="1"/>
    <n v="0"/>
    <s v="Sales"/>
    <n v="1"/>
    <x v="0"/>
    <n v="3"/>
    <x v="0"/>
    <x v="0"/>
    <x v="2"/>
    <n v="4859"/>
    <x v="0"/>
    <s v="No"/>
    <n v="16"/>
    <n v="3"/>
    <n v="4"/>
    <n v="5"/>
    <n v="3"/>
    <n v="5"/>
    <n v="4"/>
  </r>
  <r>
    <n v="34"/>
    <x v="1"/>
    <x v="1"/>
    <n v="0"/>
    <s v="Sales"/>
    <n v="4"/>
    <x v="1"/>
    <n v="4"/>
    <x v="0"/>
    <x v="0"/>
    <x v="0"/>
    <n v="5337"/>
    <x v="0"/>
    <s v="No"/>
    <n v="12"/>
    <n v="3"/>
    <n v="4"/>
    <n v="10"/>
    <n v="3"/>
    <n v="10"/>
    <n v="7"/>
  </r>
  <r>
    <n v="26"/>
    <x v="2"/>
    <x v="0"/>
    <n v="1"/>
    <s v="Research &amp; Development"/>
    <n v="3"/>
    <x v="1"/>
    <n v="1"/>
    <x v="1"/>
    <x v="2"/>
    <x v="0"/>
    <n v="2340"/>
    <x v="0"/>
    <s v="Yes"/>
    <n v="18"/>
    <n v="3"/>
    <n v="2"/>
    <n v="1"/>
    <n v="1"/>
    <n v="1"/>
    <n v="0"/>
  </r>
  <r>
    <n v="37"/>
    <x v="1"/>
    <x v="1"/>
    <n v="0"/>
    <s v="Research &amp; Development"/>
    <n v="2"/>
    <x v="0"/>
    <n v="3"/>
    <x v="2"/>
    <x v="3"/>
    <x v="0"/>
    <n v="7491"/>
    <x v="1"/>
    <s v="No"/>
    <n v="17"/>
    <n v="3"/>
    <n v="4"/>
    <n v="12"/>
    <n v="4"/>
    <n v="6"/>
    <n v="5"/>
  </r>
  <r>
    <n v="46"/>
    <x v="0"/>
    <x v="1"/>
    <n v="0"/>
    <s v="Research &amp; Development"/>
    <n v="1"/>
    <x v="0"/>
    <n v="3"/>
    <x v="2"/>
    <x v="4"/>
    <x v="2"/>
    <n v="10527"/>
    <x v="1"/>
    <s v="No"/>
    <n v="11"/>
    <n v="3"/>
    <n v="4"/>
    <n v="28"/>
    <n v="2"/>
    <n v="2"/>
    <n v="2"/>
  </r>
  <r>
    <n v="41"/>
    <x v="0"/>
    <x v="1"/>
    <n v="0"/>
    <s v="Sales"/>
    <n v="2"/>
    <x v="0"/>
    <n v="3"/>
    <x v="3"/>
    <x v="5"/>
    <x v="3"/>
    <n v="16595"/>
    <x v="2"/>
    <s v="No"/>
    <n v="16"/>
    <n v="3"/>
    <n v="2"/>
    <n v="22"/>
    <n v="3"/>
    <n v="18"/>
    <n v="16"/>
  </r>
  <r>
    <n v="37"/>
    <x v="1"/>
    <x v="1"/>
    <n v="0"/>
    <s v="Sales"/>
    <n v="1"/>
    <x v="1"/>
    <n v="3"/>
    <x v="2"/>
    <x v="0"/>
    <x v="1"/>
    <n v="8834"/>
    <x v="1"/>
    <s v="No"/>
    <n v="13"/>
    <n v="3"/>
    <n v="4"/>
    <n v="9"/>
    <n v="3"/>
    <n v="9"/>
    <n v="5"/>
  </r>
  <r>
    <n v="52"/>
    <x v="0"/>
    <x v="1"/>
    <n v="0"/>
    <s v="Research &amp; Development"/>
    <n v="4"/>
    <x v="1"/>
    <n v="3"/>
    <x v="0"/>
    <x v="1"/>
    <x v="3"/>
    <n v="5577"/>
    <x v="0"/>
    <s v="Yes"/>
    <n v="12"/>
    <n v="3"/>
    <n v="2"/>
    <n v="18"/>
    <n v="3"/>
    <n v="10"/>
    <n v="9"/>
  </r>
  <r>
    <n v="32"/>
    <x v="1"/>
    <x v="0"/>
    <n v="1"/>
    <s v="Sales"/>
    <n v="4"/>
    <x v="1"/>
    <n v="4"/>
    <x v="0"/>
    <x v="0"/>
    <x v="2"/>
    <n v="4707"/>
    <x v="0"/>
    <s v="No"/>
    <n v="12"/>
    <n v="3"/>
    <n v="4"/>
    <n v="6"/>
    <n v="3"/>
    <n v="4"/>
    <n v="2"/>
  </r>
  <r>
    <n v="24"/>
    <x v="2"/>
    <x v="1"/>
    <n v="0"/>
    <s v="Sales"/>
    <n v="4"/>
    <x v="1"/>
    <n v="3"/>
    <x v="1"/>
    <x v="6"/>
    <x v="0"/>
    <n v="2400"/>
    <x v="0"/>
    <s v="No"/>
    <n v="13"/>
    <n v="3"/>
    <n v="3"/>
    <n v="3"/>
    <n v="3"/>
    <n v="2"/>
    <n v="2"/>
  </r>
  <r>
    <n v="38"/>
    <x v="1"/>
    <x v="1"/>
    <n v="0"/>
    <s v="Research &amp; Development"/>
    <n v="3"/>
    <x v="0"/>
    <n v="3"/>
    <x v="0"/>
    <x v="4"/>
    <x v="2"/>
    <n v="9824"/>
    <x v="1"/>
    <s v="No"/>
    <n v="19"/>
    <n v="3"/>
    <n v="3"/>
    <n v="18"/>
    <n v="3"/>
    <n v="1"/>
    <n v="0"/>
  </r>
  <r>
    <n v="37"/>
    <x v="1"/>
    <x v="1"/>
    <n v="0"/>
    <s v="Research &amp; Development"/>
    <n v="2"/>
    <x v="0"/>
    <n v="3"/>
    <x v="0"/>
    <x v="3"/>
    <x v="1"/>
    <n v="6447"/>
    <x v="0"/>
    <s v="No"/>
    <n v="12"/>
    <n v="3"/>
    <n v="2"/>
    <n v="8"/>
    <n v="2"/>
    <n v="6"/>
    <n v="5"/>
  </r>
  <r>
    <n v="49"/>
    <x v="0"/>
    <x v="1"/>
    <n v="0"/>
    <s v="Research &amp; Development"/>
    <n v="4"/>
    <x v="1"/>
    <n v="2"/>
    <x v="4"/>
    <x v="7"/>
    <x v="2"/>
    <n v="19502"/>
    <x v="2"/>
    <s v="Yes"/>
    <n v="17"/>
    <n v="3"/>
    <n v="3"/>
    <n v="31"/>
    <n v="3"/>
    <n v="31"/>
    <n v="9"/>
  </r>
  <r>
    <n v="24"/>
    <x v="2"/>
    <x v="1"/>
    <n v="0"/>
    <s v="Research &amp; Development"/>
    <n v="2"/>
    <x v="1"/>
    <n v="4"/>
    <x v="1"/>
    <x v="1"/>
    <x v="0"/>
    <n v="2725"/>
    <x v="0"/>
    <s v="Yes"/>
    <n v="11"/>
    <n v="3"/>
    <n v="2"/>
    <n v="6"/>
    <n v="3"/>
    <n v="6"/>
    <n v="5"/>
  </r>
  <r>
    <n v="26"/>
    <x v="2"/>
    <x v="1"/>
    <n v="0"/>
    <s v="Sales"/>
    <n v="1"/>
    <x v="1"/>
    <n v="3"/>
    <x v="0"/>
    <x v="0"/>
    <x v="1"/>
    <n v="6272"/>
    <x v="0"/>
    <s v="No"/>
    <n v="20"/>
    <n v="4"/>
    <n v="4"/>
    <n v="6"/>
    <n v="4"/>
    <n v="5"/>
    <n v="3"/>
  </r>
  <r>
    <n v="24"/>
    <x v="2"/>
    <x v="1"/>
    <n v="0"/>
    <s v="Research &amp; Development"/>
    <n v="4"/>
    <x v="1"/>
    <n v="2"/>
    <x v="1"/>
    <x v="2"/>
    <x v="1"/>
    <n v="2127"/>
    <x v="0"/>
    <s v="No"/>
    <n v="21"/>
    <n v="4"/>
    <n v="4"/>
    <n v="1"/>
    <n v="3"/>
    <n v="1"/>
    <n v="0"/>
  </r>
  <r>
    <n v="50"/>
    <x v="0"/>
    <x v="1"/>
    <n v="0"/>
    <s v="Human Resources"/>
    <n v="1"/>
    <x v="1"/>
    <n v="3"/>
    <x v="4"/>
    <x v="5"/>
    <x v="1"/>
    <n v="18200"/>
    <x v="2"/>
    <s v="No"/>
    <n v="11"/>
    <n v="3"/>
    <n v="3"/>
    <n v="32"/>
    <n v="3"/>
    <n v="32"/>
    <n v="5"/>
  </r>
  <r>
    <n v="25"/>
    <x v="2"/>
    <x v="1"/>
    <n v="0"/>
    <s v="Sales"/>
    <n v="2"/>
    <x v="1"/>
    <n v="3"/>
    <x v="1"/>
    <x v="6"/>
    <x v="2"/>
    <n v="2096"/>
    <x v="0"/>
    <s v="No"/>
    <n v="11"/>
    <n v="3"/>
    <n v="3"/>
    <n v="7"/>
    <n v="3"/>
    <n v="7"/>
    <n v="4"/>
  </r>
  <r>
    <n v="24"/>
    <x v="2"/>
    <x v="0"/>
    <n v="1"/>
    <s v="Research &amp; Development"/>
    <n v="1"/>
    <x v="0"/>
    <n v="3"/>
    <x v="1"/>
    <x v="2"/>
    <x v="2"/>
    <n v="2886"/>
    <x v="0"/>
    <s v="Yes"/>
    <n v="16"/>
    <n v="3"/>
    <n v="4"/>
    <n v="6"/>
    <n v="3"/>
    <n v="6"/>
    <n v="3"/>
  </r>
  <r>
    <n v="30"/>
    <x v="2"/>
    <x v="0"/>
    <n v="1"/>
    <s v="Sales"/>
    <n v="2"/>
    <x v="1"/>
    <n v="2"/>
    <x v="1"/>
    <x v="6"/>
    <x v="3"/>
    <n v="2033"/>
    <x v="0"/>
    <s v="No"/>
    <n v="18"/>
    <n v="3"/>
    <n v="3"/>
    <n v="1"/>
    <n v="4"/>
    <n v="1"/>
    <n v="0"/>
  </r>
  <r>
    <n v="34"/>
    <x v="1"/>
    <x v="1"/>
    <n v="0"/>
    <s v="Research &amp; Development"/>
    <n v="2"/>
    <x v="1"/>
    <n v="2"/>
    <x v="1"/>
    <x v="1"/>
    <x v="0"/>
    <n v="3622"/>
    <x v="0"/>
    <s v="Yes"/>
    <n v="13"/>
    <n v="3"/>
    <n v="4"/>
    <n v="6"/>
    <n v="3"/>
    <n v="6"/>
    <n v="5"/>
  </r>
  <r>
    <n v="31"/>
    <x v="1"/>
    <x v="0"/>
    <n v="1"/>
    <s v="Sales"/>
    <n v="2"/>
    <x v="1"/>
    <n v="3"/>
    <x v="0"/>
    <x v="0"/>
    <x v="3"/>
    <n v="4233"/>
    <x v="0"/>
    <s v="No"/>
    <n v="17"/>
    <n v="3"/>
    <n v="3"/>
    <n v="9"/>
    <n v="1"/>
    <n v="3"/>
    <n v="1"/>
  </r>
  <r>
    <n v="35"/>
    <x v="1"/>
    <x v="1"/>
    <n v="0"/>
    <s v="Research &amp; Development"/>
    <n v="1"/>
    <x v="1"/>
    <n v="2"/>
    <x v="0"/>
    <x v="2"/>
    <x v="0"/>
    <n v="3681"/>
    <x v="0"/>
    <s v="No"/>
    <n v="14"/>
    <n v="3"/>
    <n v="4"/>
    <n v="9"/>
    <n v="3"/>
    <n v="3"/>
    <n v="2"/>
  </r>
  <r>
    <n v="31"/>
    <x v="1"/>
    <x v="1"/>
    <n v="0"/>
    <s v="Sales"/>
    <n v="1"/>
    <x v="1"/>
    <n v="4"/>
    <x v="0"/>
    <x v="0"/>
    <x v="0"/>
    <n v="5460"/>
    <x v="0"/>
    <s v="No"/>
    <n v="22"/>
    <n v="4"/>
    <n v="4"/>
    <n v="13"/>
    <n v="4"/>
    <n v="7"/>
    <n v="7"/>
  </r>
  <r>
    <n v="27"/>
    <x v="2"/>
    <x v="1"/>
    <n v="0"/>
    <s v="Research &amp; Development"/>
    <n v="1"/>
    <x v="0"/>
    <n v="2"/>
    <x v="1"/>
    <x v="1"/>
    <x v="2"/>
    <n v="2187"/>
    <x v="0"/>
    <s v="No"/>
    <n v="12"/>
    <n v="3"/>
    <n v="3"/>
    <n v="6"/>
    <n v="2"/>
    <n v="5"/>
    <n v="3"/>
  </r>
  <r>
    <n v="37"/>
    <x v="1"/>
    <x v="1"/>
    <n v="0"/>
    <s v="Sales"/>
    <n v="4"/>
    <x v="1"/>
    <n v="3"/>
    <x v="0"/>
    <x v="0"/>
    <x v="2"/>
    <n v="9602"/>
    <x v="1"/>
    <s v="Yes"/>
    <n v="11"/>
    <n v="3"/>
    <n v="3"/>
    <n v="17"/>
    <n v="2"/>
    <n v="3"/>
    <n v="0"/>
  </r>
  <r>
    <n v="20"/>
    <x v="2"/>
    <x v="1"/>
    <n v="0"/>
    <s v="Research &amp; Development"/>
    <n v="4"/>
    <x v="0"/>
    <n v="2"/>
    <x v="1"/>
    <x v="1"/>
    <x v="1"/>
    <n v="2836"/>
    <x v="0"/>
    <s v="No"/>
    <n v="13"/>
    <n v="3"/>
    <n v="4"/>
    <n v="1"/>
    <n v="4"/>
    <n v="1"/>
    <n v="0"/>
  </r>
  <r>
    <n v="42"/>
    <x v="0"/>
    <x v="1"/>
    <n v="0"/>
    <s v="Research &amp; Development"/>
    <n v="3"/>
    <x v="0"/>
    <n v="3"/>
    <x v="0"/>
    <x v="4"/>
    <x v="0"/>
    <n v="4089"/>
    <x v="0"/>
    <s v="No"/>
    <n v="13"/>
    <n v="3"/>
    <n v="2"/>
    <n v="10"/>
    <n v="3"/>
    <n v="10"/>
    <n v="2"/>
  </r>
  <r>
    <n v="43"/>
    <x v="0"/>
    <x v="1"/>
    <n v="0"/>
    <s v="Research &amp; Development"/>
    <n v="2"/>
    <x v="1"/>
    <n v="2"/>
    <x v="3"/>
    <x v="7"/>
    <x v="0"/>
    <n v="16627"/>
    <x v="2"/>
    <s v="Yes"/>
    <n v="14"/>
    <n v="3"/>
    <n v="3"/>
    <n v="21"/>
    <n v="2"/>
    <n v="1"/>
    <n v="0"/>
  </r>
  <r>
    <n v="38"/>
    <x v="1"/>
    <x v="1"/>
    <n v="0"/>
    <s v="Research &amp; Development"/>
    <n v="3"/>
    <x v="0"/>
    <n v="3"/>
    <x v="1"/>
    <x v="1"/>
    <x v="3"/>
    <n v="2619"/>
    <x v="0"/>
    <s v="No"/>
    <n v="17"/>
    <n v="3"/>
    <n v="4"/>
    <n v="8"/>
    <n v="2"/>
    <n v="0"/>
    <n v="0"/>
  </r>
  <r>
    <n v="43"/>
    <x v="0"/>
    <x v="1"/>
    <n v="0"/>
    <s v="Research &amp; Development"/>
    <n v="4"/>
    <x v="1"/>
    <n v="3"/>
    <x v="0"/>
    <x v="2"/>
    <x v="2"/>
    <n v="5679"/>
    <x v="0"/>
    <s v="Yes"/>
    <n v="13"/>
    <n v="3"/>
    <n v="2"/>
    <n v="10"/>
    <n v="3"/>
    <n v="8"/>
    <n v="7"/>
  </r>
  <r>
    <n v="48"/>
    <x v="0"/>
    <x v="1"/>
    <n v="0"/>
    <s v="Research &amp; Development"/>
    <n v="4"/>
    <x v="0"/>
    <n v="2"/>
    <x v="3"/>
    <x v="5"/>
    <x v="3"/>
    <n v="15402"/>
    <x v="2"/>
    <s v="No"/>
    <n v="11"/>
    <n v="3"/>
    <n v="1"/>
    <n v="21"/>
    <n v="1"/>
    <n v="3"/>
    <n v="2"/>
  </r>
  <r>
    <n v="44"/>
    <x v="0"/>
    <x v="1"/>
    <n v="0"/>
    <s v="Human Resources"/>
    <n v="1"/>
    <x v="0"/>
    <n v="2"/>
    <x v="0"/>
    <x v="8"/>
    <x v="2"/>
    <n v="5985"/>
    <x v="0"/>
    <s v="No"/>
    <n v="11"/>
    <n v="3"/>
    <n v="2"/>
    <n v="10"/>
    <n v="4"/>
    <n v="2"/>
    <n v="2"/>
  </r>
  <r>
    <n v="34"/>
    <x v="1"/>
    <x v="1"/>
    <n v="0"/>
    <s v="Sales"/>
    <n v="3"/>
    <x v="0"/>
    <n v="3"/>
    <x v="1"/>
    <x v="6"/>
    <x v="2"/>
    <n v="2579"/>
    <x v="0"/>
    <s v="Yes"/>
    <n v="18"/>
    <n v="3"/>
    <n v="4"/>
    <n v="8"/>
    <n v="3"/>
    <n v="8"/>
    <n v="2"/>
  </r>
  <r>
    <n v="27"/>
    <x v="2"/>
    <x v="0"/>
    <n v="1"/>
    <s v="Sales"/>
    <n v="3"/>
    <x v="1"/>
    <n v="3"/>
    <x v="1"/>
    <x v="6"/>
    <x v="3"/>
    <n v="3041"/>
    <x v="0"/>
    <s v="No"/>
    <n v="11"/>
    <n v="3"/>
    <n v="2"/>
    <n v="5"/>
    <n v="3"/>
    <n v="4"/>
    <n v="3"/>
  </r>
  <r>
    <n v="21"/>
    <x v="2"/>
    <x v="1"/>
    <n v="0"/>
    <s v="Sales"/>
    <n v="3"/>
    <x v="1"/>
    <n v="3"/>
    <x v="1"/>
    <x v="6"/>
    <x v="2"/>
    <n v="3447"/>
    <x v="0"/>
    <s v="No"/>
    <n v="11"/>
    <n v="3"/>
    <n v="3"/>
    <n v="3"/>
    <n v="3"/>
    <n v="3"/>
    <n v="2"/>
  </r>
  <r>
    <n v="44"/>
    <x v="0"/>
    <x v="1"/>
    <n v="0"/>
    <s v="Research &amp; Development"/>
    <n v="4"/>
    <x v="1"/>
    <n v="3"/>
    <x v="4"/>
    <x v="5"/>
    <x v="0"/>
    <n v="19513"/>
    <x v="2"/>
    <s v="Yes"/>
    <n v="12"/>
    <n v="3"/>
    <n v="1"/>
    <n v="26"/>
    <n v="4"/>
    <n v="2"/>
    <n v="2"/>
  </r>
  <r>
    <n v="22"/>
    <x v="2"/>
    <x v="1"/>
    <n v="0"/>
    <s v="Research &amp; Development"/>
    <n v="1"/>
    <x v="1"/>
    <n v="3"/>
    <x v="1"/>
    <x v="1"/>
    <x v="2"/>
    <n v="2773"/>
    <x v="0"/>
    <s v="No"/>
    <n v="20"/>
    <n v="4"/>
    <n v="4"/>
    <n v="3"/>
    <n v="3"/>
    <n v="2"/>
    <n v="2"/>
  </r>
  <r>
    <n v="33"/>
    <x v="1"/>
    <x v="1"/>
    <n v="0"/>
    <s v="Sales"/>
    <n v="3"/>
    <x v="1"/>
    <n v="3"/>
    <x v="0"/>
    <x v="0"/>
    <x v="2"/>
    <n v="7104"/>
    <x v="1"/>
    <s v="No"/>
    <n v="12"/>
    <n v="3"/>
    <n v="4"/>
    <n v="6"/>
    <n v="3"/>
    <n v="5"/>
    <n v="0"/>
  </r>
  <r>
    <n v="32"/>
    <x v="1"/>
    <x v="1"/>
    <n v="0"/>
    <s v="Research &amp; Development"/>
    <n v="1"/>
    <x v="0"/>
    <n v="3"/>
    <x v="0"/>
    <x v="1"/>
    <x v="0"/>
    <n v="6322"/>
    <x v="0"/>
    <s v="Yes"/>
    <n v="12"/>
    <n v="3"/>
    <n v="4"/>
    <n v="6"/>
    <n v="2"/>
    <n v="6"/>
    <n v="4"/>
  </r>
  <r>
    <n v="30"/>
    <x v="2"/>
    <x v="1"/>
    <n v="0"/>
    <s v="Research &amp; Development"/>
    <n v="3"/>
    <x v="0"/>
    <n v="3"/>
    <x v="1"/>
    <x v="1"/>
    <x v="2"/>
    <n v="2083"/>
    <x v="0"/>
    <s v="No"/>
    <n v="20"/>
    <n v="4"/>
    <n v="3"/>
    <n v="1"/>
    <n v="3"/>
    <n v="1"/>
    <n v="0"/>
  </r>
  <r>
    <n v="53"/>
    <x v="0"/>
    <x v="1"/>
    <n v="0"/>
    <s v="Sales"/>
    <n v="4"/>
    <x v="0"/>
    <n v="3"/>
    <x v="0"/>
    <x v="0"/>
    <x v="3"/>
    <n v="8381"/>
    <x v="1"/>
    <s v="No"/>
    <n v="20"/>
    <n v="4"/>
    <n v="4"/>
    <n v="18"/>
    <n v="4"/>
    <n v="14"/>
    <n v="7"/>
  </r>
  <r>
    <n v="34"/>
    <x v="1"/>
    <x v="1"/>
    <n v="0"/>
    <s v="Research &amp; Development"/>
    <n v="2"/>
    <x v="1"/>
    <n v="3"/>
    <x v="1"/>
    <x v="1"/>
    <x v="0"/>
    <n v="2691"/>
    <x v="0"/>
    <s v="No"/>
    <n v="12"/>
    <n v="3"/>
    <n v="4"/>
    <n v="10"/>
    <n v="2"/>
    <n v="10"/>
    <n v="9"/>
  </r>
  <r>
    <n v="45"/>
    <x v="0"/>
    <x v="0"/>
    <n v="1"/>
    <s v="Sales"/>
    <n v="1"/>
    <x v="0"/>
    <n v="3"/>
    <x v="0"/>
    <x v="0"/>
    <x v="3"/>
    <n v="4286"/>
    <x v="0"/>
    <s v="No"/>
    <n v="14"/>
    <n v="3"/>
    <n v="4"/>
    <n v="5"/>
    <n v="3"/>
    <n v="1"/>
    <n v="1"/>
  </r>
  <r>
    <n v="26"/>
    <x v="2"/>
    <x v="1"/>
    <n v="0"/>
    <s v="Research &amp; Development"/>
    <n v="3"/>
    <x v="0"/>
    <n v="3"/>
    <x v="1"/>
    <x v="2"/>
    <x v="0"/>
    <n v="2659"/>
    <x v="0"/>
    <s v="Yes"/>
    <n v="13"/>
    <n v="3"/>
    <n v="3"/>
    <n v="3"/>
    <n v="3"/>
    <n v="3"/>
    <n v="2"/>
  </r>
  <r>
    <n v="37"/>
    <x v="1"/>
    <x v="1"/>
    <n v="0"/>
    <s v="Research &amp; Development"/>
    <n v="3"/>
    <x v="1"/>
    <n v="3"/>
    <x v="2"/>
    <x v="3"/>
    <x v="2"/>
    <n v="9434"/>
    <x v="1"/>
    <s v="No"/>
    <n v="15"/>
    <n v="3"/>
    <n v="3"/>
    <n v="10"/>
    <n v="3"/>
    <n v="10"/>
    <n v="7"/>
  </r>
  <r>
    <n v="29"/>
    <x v="2"/>
    <x v="1"/>
    <n v="0"/>
    <s v="Sales"/>
    <n v="2"/>
    <x v="0"/>
    <n v="3"/>
    <x v="0"/>
    <x v="0"/>
    <x v="2"/>
    <n v="5561"/>
    <x v="0"/>
    <s v="No"/>
    <n v="14"/>
    <n v="3"/>
    <n v="1"/>
    <n v="6"/>
    <n v="2"/>
    <n v="6"/>
    <n v="0"/>
  </r>
  <r>
    <n v="35"/>
    <x v="1"/>
    <x v="1"/>
    <n v="0"/>
    <s v="Research &amp; Development"/>
    <n v="2"/>
    <x v="1"/>
    <n v="1"/>
    <x v="0"/>
    <x v="1"/>
    <x v="0"/>
    <n v="6646"/>
    <x v="0"/>
    <s v="No"/>
    <n v="13"/>
    <n v="3"/>
    <n v="2"/>
    <n v="17"/>
    <n v="3"/>
    <n v="17"/>
    <n v="11"/>
  </r>
  <r>
    <n v="33"/>
    <x v="1"/>
    <x v="1"/>
    <n v="0"/>
    <s v="Research &amp; Development"/>
    <n v="3"/>
    <x v="1"/>
    <n v="3"/>
    <x v="0"/>
    <x v="4"/>
    <x v="0"/>
    <n v="7725"/>
    <x v="1"/>
    <s v="No"/>
    <n v="23"/>
    <n v="4"/>
    <n v="3"/>
    <n v="15"/>
    <n v="1"/>
    <n v="13"/>
    <n v="11"/>
  </r>
  <r>
    <n v="54"/>
    <x v="0"/>
    <x v="1"/>
    <n v="0"/>
    <s v="Human Resources"/>
    <n v="3"/>
    <x v="1"/>
    <n v="3"/>
    <x v="2"/>
    <x v="8"/>
    <x v="1"/>
    <n v="10725"/>
    <x v="1"/>
    <s v="No"/>
    <n v="15"/>
    <n v="3"/>
    <n v="3"/>
    <n v="16"/>
    <n v="4"/>
    <n v="9"/>
    <n v="7"/>
  </r>
  <r>
    <n v="36"/>
    <x v="1"/>
    <x v="1"/>
    <n v="0"/>
    <s v="Research &amp; Development"/>
    <n v="2"/>
    <x v="1"/>
    <n v="2"/>
    <x v="0"/>
    <x v="3"/>
    <x v="1"/>
    <n v="8847"/>
    <x v="1"/>
    <s v="Yes"/>
    <n v="11"/>
    <n v="3"/>
    <n v="3"/>
    <n v="13"/>
    <n v="3"/>
    <n v="3"/>
    <n v="2"/>
  </r>
  <r>
    <n v="27"/>
    <x v="2"/>
    <x v="1"/>
    <n v="0"/>
    <s v="Research &amp; Development"/>
    <n v="1"/>
    <x v="1"/>
    <n v="2"/>
    <x v="1"/>
    <x v="1"/>
    <x v="0"/>
    <n v="2045"/>
    <x v="0"/>
    <s v="No"/>
    <n v="13"/>
    <n v="3"/>
    <n v="4"/>
    <n v="5"/>
    <n v="3"/>
    <n v="4"/>
    <n v="2"/>
  </r>
  <r>
    <n v="20"/>
    <x v="2"/>
    <x v="0"/>
    <n v="1"/>
    <s v="Research &amp; Development"/>
    <n v="4"/>
    <x v="1"/>
    <n v="3"/>
    <x v="1"/>
    <x v="1"/>
    <x v="2"/>
    <n v="1009"/>
    <x v="0"/>
    <s v="Yes"/>
    <n v="11"/>
    <n v="3"/>
    <n v="4"/>
    <n v="1"/>
    <n v="3"/>
    <n v="1"/>
    <n v="0"/>
  </r>
  <r>
    <n v="33"/>
    <x v="1"/>
    <x v="0"/>
    <n v="1"/>
    <s v="Research &amp; Development"/>
    <n v="1"/>
    <x v="1"/>
    <n v="3"/>
    <x v="1"/>
    <x v="1"/>
    <x v="3"/>
    <n v="3348"/>
    <x v="0"/>
    <s v="Yes"/>
    <n v="11"/>
    <n v="3"/>
    <n v="1"/>
    <n v="10"/>
    <n v="3"/>
    <n v="10"/>
    <n v="8"/>
  </r>
  <r>
    <n v="35"/>
    <x v="1"/>
    <x v="1"/>
    <n v="0"/>
    <s v="Research &amp; Development"/>
    <n v="3"/>
    <x v="1"/>
    <n v="2"/>
    <x v="1"/>
    <x v="2"/>
    <x v="2"/>
    <n v="1281"/>
    <x v="0"/>
    <s v="No"/>
    <n v="18"/>
    <n v="3"/>
    <n v="3"/>
    <n v="1"/>
    <n v="3"/>
    <n v="1"/>
    <n v="0"/>
  </r>
  <r>
    <n v="23"/>
    <x v="2"/>
    <x v="1"/>
    <n v="0"/>
    <s v="Research &amp; Development"/>
    <n v="1"/>
    <x v="1"/>
    <n v="4"/>
    <x v="1"/>
    <x v="1"/>
    <x v="3"/>
    <n v="2819"/>
    <x v="0"/>
    <s v="No"/>
    <n v="16"/>
    <n v="3"/>
    <n v="1"/>
    <n v="5"/>
    <n v="4"/>
    <n v="3"/>
    <n v="2"/>
  </r>
  <r>
    <n v="25"/>
    <x v="2"/>
    <x v="1"/>
    <n v="0"/>
    <s v="Sales"/>
    <n v="4"/>
    <x v="1"/>
    <n v="4"/>
    <x v="0"/>
    <x v="0"/>
    <x v="1"/>
    <n v="4851"/>
    <x v="0"/>
    <s v="No"/>
    <n v="22"/>
    <n v="4"/>
    <n v="3"/>
    <n v="4"/>
    <n v="3"/>
    <n v="3"/>
    <n v="2"/>
  </r>
  <r>
    <n v="38"/>
    <x v="1"/>
    <x v="1"/>
    <n v="0"/>
    <s v="Sales"/>
    <n v="4"/>
    <x v="0"/>
    <n v="2"/>
    <x v="0"/>
    <x v="0"/>
    <x v="0"/>
    <n v="4028"/>
    <x v="0"/>
    <s v="No"/>
    <n v="20"/>
    <n v="4"/>
    <n v="1"/>
    <n v="8"/>
    <n v="3"/>
    <n v="7"/>
    <n v="7"/>
  </r>
  <r>
    <n v="29"/>
    <x v="2"/>
    <x v="1"/>
    <n v="0"/>
    <s v="Research &amp; Development"/>
    <n v="2"/>
    <x v="1"/>
    <n v="1"/>
    <x v="1"/>
    <x v="1"/>
    <x v="0"/>
    <n v="2720"/>
    <x v="0"/>
    <s v="No"/>
    <n v="18"/>
    <n v="3"/>
    <n v="4"/>
    <n v="10"/>
    <n v="3"/>
    <n v="10"/>
    <n v="7"/>
  </r>
  <r>
    <n v="48"/>
    <x v="0"/>
    <x v="1"/>
    <n v="0"/>
    <s v="Sales"/>
    <n v="2"/>
    <x v="1"/>
    <n v="4"/>
    <x v="0"/>
    <x v="0"/>
    <x v="1"/>
    <n v="8120"/>
    <x v="1"/>
    <s v="No"/>
    <n v="12"/>
    <n v="3"/>
    <n v="4"/>
    <n v="12"/>
    <n v="3"/>
    <n v="2"/>
    <n v="2"/>
  </r>
  <r>
    <n v="27"/>
    <x v="2"/>
    <x v="1"/>
    <n v="0"/>
    <s v="Sales"/>
    <n v="4"/>
    <x v="0"/>
    <n v="4"/>
    <x v="0"/>
    <x v="0"/>
    <x v="0"/>
    <n v="4647"/>
    <x v="0"/>
    <s v="Yes"/>
    <n v="20"/>
    <n v="4"/>
    <n v="2"/>
    <n v="6"/>
    <n v="3"/>
    <n v="6"/>
    <n v="5"/>
  </r>
  <r>
    <n v="37"/>
    <x v="1"/>
    <x v="1"/>
    <n v="0"/>
    <s v="Research &amp; Development"/>
    <n v="4"/>
    <x v="1"/>
    <n v="4"/>
    <x v="1"/>
    <x v="1"/>
    <x v="0"/>
    <n v="4680"/>
    <x v="0"/>
    <s v="No"/>
    <n v="17"/>
    <n v="3"/>
    <n v="1"/>
    <n v="4"/>
    <n v="3"/>
    <n v="1"/>
    <n v="0"/>
  </r>
  <r>
    <n v="50"/>
    <x v="0"/>
    <x v="1"/>
    <n v="0"/>
    <s v="Research &amp; Development"/>
    <n v="4"/>
    <x v="1"/>
    <n v="4"/>
    <x v="1"/>
    <x v="2"/>
    <x v="2"/>
    <n v="3221"/>
    <x v="0"/>
    <s v="Yes"/>
    <n v="11"/>
    <n v="3"/>
    <n v="3"/>
    <n v="20"/>
    <n v="3"/>
    <n v="20"/>
    <n v="8"/>
  </r>
  <r>
    <n v="34"/>
    <x v="1"/>
    <x v="1"/>
    <n v="0"/>
    <s v="Research &amp; Development"/>
    <n v="4"/>
    <x v="0"/>
    <n v="2"/>
    <x v="2"/>
    <x v="4"/>
    <x v="1"/>
    <n v="8621"/>
    <x v="1"/>
    <s v="No"/>
    <n v="14"/>
    <n v="3"/>
    <n v="2"/>
    <n v="9"/>
    <n v="4"/>
    <n v="8"/>
    <n v="7"/>
  </r>
  <r>
    <n v="24"/>
    <x v="2"/>
    <x v="0"/>
    <n v="1"/>
    <s v="Sales"/>
    <n v="1"/>
    <x v="0"/>
    <n v="3"/>
    <x v="0"/>
    <x v="0"/>
    <x v="2"/>
    <n v="4577"/>
    <x v="0"/>
    <s v="No"/>
    <n v="14"/>
    <n v="3"/>
    <n v="1"/>
    <n v="4"/>
    <n v="3"/>
    <n v="2"/>
    <n v="2"/>
  </r>
  <r>
    <n v="39"/>
    <x v="1"/>
    <x v="1"/>
    <n v="0"/>
    <s v="Research &amp; Development"/>
    <n v="4"/>
    <x v="0"/>
    <n v="2"/>
    <x v="0"/>
    <x v="4"/>
    <x v="2"/>
    <n v="4553"/>
    <x v="0"/>
    <s v="No"/>
    <n v="11"/>
    <n v="3"/>
    <n v="1"/>
    <n v="20"/>
    <n v="3"/>
    <n v="20"/>
    <n v="7"/>
  </r>
  <r>
    <n v="32"/>
    <x v="1"/>
    <x v="1"/>
    <n v="0"/>
    <s v="Sales"/>
    <n v="4"/>
    <x v="1"/>
    <n v="3"/>
    <x v="0"/>
    <x v="0"/>
    <x v="0"/>
    <n v="5396"/>
    <x v="0"/>
    <s v="No"/>
    <n v="12"/>
    <n v="3"/>
    <n v="4"/>
    <n v="10"/>
    <n v="2"/>
    <n v="10"/>
    <n v="7"/>
  </r>
  <r>
    <n v="50"/>
    <x v="0"/>
    <x v="0"/>
    <n v="1"/>
    <s v="Sales"/>
    <n v="2"/>
    <x v="1"/>
    <n v="3"/>
    <x v="0"/>
    <x v="0"/>
    <x v="2"/>
    <n v="6796"/>
    <x v="0"/>
    <s v="Yes"/>
    <n v="14"/>
    <n v="3"/>
    <n v="1"/>
    <n v="18"/>
    <n v="3"/>
    <n v="4"/>
    <n v="3"/>
  </r>
  <r>
    <n v="38"/>
    <x v="1"/>
    <x v="1"/>
    <n v="0"/>
    <s v="Research &amp; Development"/>
    <n v="2"/>
    <x v="0"/>
    <n v="4"/>
    <x v="0"/>
    <x v="4"/>
    <x v="0"/>
    <n v="7625"/>
    <x v="1"/>
    <s v="No"/>
    <n v="13"/>
    <n v="3"/>
    <n v="3"/>
    <n v="10"/>
    <n v="2"/>
    <n v="9"/>
    <n v="7"/>
  </r>
  <r>
    <n v="27"/>
    <x v="2"/>
    <x v="1"/>
    <n v="0"/>
    <s v="Research &amp; Development"/>
    <n v="3"/>
    <x v="0"/>
    <n v="3"/>
    <x v="2"/>
    <x v="3"/>
    <x v="3"/>
    <n v="7412"/>
    <x v="1"/>
    <s v="No"/>
    <n v="11"/>
    <n v="3"/>
    <n v="4"/>
    <n v="9"/>
    <n v="3"/>
    <n v="9"/>
    <n v="7"/>
  </r>
  <r>
    <n v="32"/>
    <x v="1"/>
    <x v="1"/>
    <n v="0"/>
    <s v="Research &amp; Development"/>
    <n v="3"/>
    <x v="0"/>
    <n v="3"/>
    <x v="2"/>
    <x v="7"/>
    <x v="0"/>
    <n v="11159"/>
    <x v="1"/>
    <s v="No"/>
    <n v="15"/>
    <n v="3"/>
    <n v="4"/>
    <n v="10"/>
    <n v="3"/>
    <n v="7"/>
    <n v="7"/>
  </r>
  <r>
    <n v="47"/>
    <x v="0"/>
    <x v="1"/>
    <n v="0"/>
    <s v="Sales"/>
    <n v="4"/>
    <x v="1"/>
    <n v="3"/>
    <x v="0"/>
    <x v="0"/>
    <x v="3"/>
    <n v="4960"/>
    <x v="0"/>
    <s v="No"/>
    <n v="12"/>
    <n v="3"/>
    <n v="4"/>
    <n v="20"/>
    <n v="3"/>
    <n v="7"/>
    <n v="7"/>
  </r>
  <r>
    <n v="40"/>
    <x v="1"/>
    <x v="1"/>
    <n v="0"/>
    <s v="Sales"/>
    <n v="4"/>
    <x v="1"/>
    <n v="2"/>
    <x v="2"/>
    <x v="0"/>
    <x v="3"/>
    <n v="10475"/>
    <x v="1"/>
    <s v="Yes"/>
    <n v="21"/>
    <n v="4"/>
    <n v="3"/>
    <n v="20"/>
    <n v="3"/>
    <n v="18"/>
    <n v="13"/>
  </r>
  <r>
    <n v="53"/>
    <x v="0"/>
    <x v="1"/>
    <n v="0"/>
    <s v="Research &amp; Development"/>
    <n v="3"/>
    <x v="1"/>
    <n v="4"/>
    <x v="3"/>
    <x v="7"/>
    <x v="2"/>
    <n v="14814"/>
    <x v="1"/>
    <s v="No"/>
    <n v="19"/>
    <n v="3"/>
    <n v="3"/>
    <n v="32"/>
    <n v="3"/>
    <n v="5"/>
    <n v="1"/>
  </r>
  <r>
    <n v="41"/>
    <x v="0"/>
    <x v="1"/>
    <n v="0"/>
    <s v="Human Resources"/>
    <n v="2"/>
    <x v="1"/>
    <n v="2"/>
    <x v="4"/>
    <x v="5"/>
    <x v="0"/>
    <n v="19141"/>
    <x v="2"/>
    <s v="No"/>
    <n v="15"/>
    <n v="3"/>
    <n v="2"/>
    <n v="23"/>
    <n v="2"/>
    <n v="21"/>
    <n v="6"/>
  </r>
  <r>
    <n v="60"/>
    <x v="0"/>
    <x v="1"/>
    <n v="0"/>
    <s v="Sales"/>
    <n v="1"/>
    <x v="1"/>
    <n v="3"/>
    <x v="0"/>
    <x v="0"/>
    <x v="3"/>
    <n v="5405"/>
    <x v="0"/>
    <s v="No"/>
    <n v="14"/>
    <n v="3"/>
    <n v="4"/>
    <n v="10"/>
    <n v="3"/>
    <n v="2"/>
    <n v="2"/>
  </r>
  <r>
    <n v="27"/>
    <x v="2"/>
    <x v="1"/>
    <n v="0"/>
    <s v="Research &amp; Development"/>
    <n v="4"/>
    <x v="1"/>
    <n v="3"/>
    <x v="2"/>
    <x v="3"/>
    <x v="3"/>
    <n v="8793"/>
    <x v="1"/>
    <s v="No"/>
    <n v="21"/>
    <n v="4"/>
    <n v="3"/>
    <n v="9"/>
    <n v="2"/>
    <n v="9"/>
    <n v="7"/>
  </r>
  <r>
    <n v="41"/>
    <x v="0"/>
    <x v="1"/>
    <n v="0"/>
    <s v="Human Resources"/>
    <n v="4"/>
    <x v="1"/>
    <n v="2"/>
    <x v="4"/>
    <x v="5"/>
    <x v="2"/>
    <n v="19189"/>
    <x v="2"/>
    <s v="No"/>
    <n v="12"/>
    <n v="3"/>
    <n v="2"/>
    <n v="22"/>
    <n v="3"/>
    <n v="22"/>
    <n v="7"/>
  </r>
  <r>
    <n v="50"/>
    <x v="0"/>
    <x v="1"/>
    <n v="0"/>
    <s v="Sales"/>
    <n v="4"/>
    <x v="1"/>
    <n v="3"/>
    <x v="1"/>
    <x v="6"/>
    <x v="1"/>
    <n v="3875"/>
    <x v="0"/>
    <s v="No"/>
    <n v="15"/>
    <n v="3"/>
    <n v="4"/>
    <n v="4"/>
    <n v="3"/>
    <n v="2"/>
    <n v="2"/>
  </r>
  <r>
    <n v="28"/>
    <x v="2"/>
    <x v="0"/>
    <n v="1"/>
    <s v="Research &amp; Development"/>
    <n v="1"/>
    <x v="0"/>
    <n v="1"/>
    <x v="1"/>
    <x v="1"/>
    <x v="1"/>
    <n v="2216"/>
    <x v="0"/>
    <s v="Yes"/>
    <n v="13"/>
    <n v="3"/>
    <n v="4"/>
    <n v="10"/>
    <n v="3"/>
    <n v="7"/>
    <n v="7"/>
  </r>
  <r>
    <n v="36"/>
    <x v="1"/>
    <x v="1"/>
    <n v="0"/>
    <s v="Research &amp; Development"/>
    <n v="1"/>
    <x v="0"/>
    <n v="4"/>
    <x v="2"/>
    <x v="7"/>
    <x v="3"/>
    <n v="11713"/>
    <x v="1"/>
    <s v="No"/>
    <n v="14"/>
    <n v="3"/>
    <n v="1"/>
    <n v="10"/>
    <n v="3"/>
    <n v="8"/>
    <n v="7"/>
  </r>
  <r>
    <n v="38"/>
    <x v="1"/>
    <x v="1"/>
    <n v="0"/>
    <s v="Research &amp; Development"/>
    <n v="3"/>
    <x v="0"/>
    <n v="3"/>
    <x v="2"/>
    <x v="3"/>
    <x v="2"/>
    <n v="7861"/>
    <x v="1"/>
    <s v="Yes"/>
    <n v="14"/>
    <n v="3"/>
    <n v="4"/>
    <n v="10"/>
    <n v="4"/>
    <n v="1"/>
    <n v="0"/>
  </r>
  <r>
    <n v="44"/>
    <x v="0"/>
    <x v="1"/>
    <n v="0"/>
    <s v="Research &amp; Development"/>
    <n v="1"/>
    <x v="1"/>
    <n v="1"/>
    <x v="1"/>
    <x v="2"/>
    <x v="2"/>
    <n v="3708"/>
    <x v="0"/>
    <s v="No"/>
    <n v="14"/>
    <n v="3"/>
    <n v="3"/>
    <n v="9"/>
    <n v="3"/>
    <n v="5"/>
    <n v="2"/>
  </r>
  <r>
    <n v="47"/>
    <x v="0"/>
    <x v="1"/>
    <n v="0"/>
    <s v="Sales"/>
    <n v="4"/>
    <x v="0"/>
    <n v="3"/>
    <x v="3"/>
    <x v="0"/>
    <x v="2"/>
    <n v="13770"/>
    <x v="1"/>
    <s v="Yes"/>
    <n v="12"/>
    <n v="3"/>
    <n v="4"/>
    <n v="28"/>
    <n v="2"/>
    <n v="22"/>
    <n v="2"/>
  </r>
  <r>
    <n v="30"/>
    <x v="2"/>
    <x v="1"/>
    <n v="0"/>
    <s v="Sales"/>
    <n v="3"/>
    <x v="1"/>
    <n v="3"/>
    <x v="0"/>
    <x v="0"/>
    <x v="0"/>
    <n v="5304"/>
    <x v="0"/>
    <s v="No"/>
    <n v="23"/>
    <n v="4"/>
    <n v="4"/>
    <n v="10"/>
    <n v="2"/>
    <n v="8"/>
    <n v="7"/>
  </r>
  <r>
    <n v="29"/>
    <x v="2"/>
    <x v="1"/>
    <n v="0"/>
    <s v="Sales"/>
    <n v="3"/>
    <x v="1"/>
    <n v="3"/>
    <x v="1"/>
    <x v="6"/>
    <x v="2"/>
    <n v="2642"/>
    <x v="0"/>
    <s v="No"/>
    <n v="11"/>
    <n v="3"/>
    <n v="3"/>
    <n v="1"/>
    <n v="3"/>
    <n v="1"/>
    <n v="0"/>
  </r>
  <r>
    <n v="42"/>
    <x v="0"/>
    <x v="0"/>
    <n v="1"/>
    <s v="Research &amp; Development"/>
    <n v="3"/>
    <x v="1"/>
    <n v="4"/>
    <x v="1"/>
    <x v="1"/>
    <x v="2"/>
    <n v="2759"/>
    <x v="0"/>
    <s v="Yes"/>
    <n v="12"/>
    <n v="3"/>
    <n v="4"/>
    <n v="7"/>
    <n v="3"/>
    <n v="2"/>
    <n v="2"/>
  </r>
  <r>
    <n v="43"/>
    <x v="0"/>
    <x v="1"/>
    <n v="0"/>
    <s v="Sales"/>
    <n v="4"/>
    <x v="1"/>
    <n v="2"/>
    <x v="0"/>
    <x v="0"/>
    <x v="0"/>
    <n v="6804"/>
    <x v="0"/>
    <s v="No"/>
    <n v="18"/>
    <n v="3"/>
    <n v="3"/>
    <n v="7"/>
    <n v="3"/>
    <n v="2"/>
    <n v="2"/>
  </r>
  <r>
    <n v="34"/>
    <x v="1"/>
    <x v="1"/>
    <n v="0"/>
    <s v="Research &amp; Development"/>
    <n v="2"/>
    <x v="0"/>
    <n v="3"/>
    <x v="0"/>
    <x v="4"/>
    <x v="2"/>
    <n v="6142"/>
    <x v="0"/>
    <s v="No"/>
    <n v="11"/>
    <n v="3"/>
    <n v="4"/>
    <n v="10"/>
    <n v="3"/>
    <n v="5"/>
    <n v="1"/>
  </r>
  <r>
    <n v="23"/>
    <x v="2"/>
    <x v="1"/>
    <n v="0"/>
    <s v="Research &amp; Development"/>
    <n v="2"/>
    <x v="1"/>
    <n v="3"/>
    <x v="1"/>
    <x v="2"/>
    <x v="3"/>
    <n v="2500"/>
    <x v="0"/>
    <s v="No"/>
    <n v="14"/>
    <n v="3"/>
    <n v="4"/>
    <n v="5"/>
    <n v="4"/>
    <n v="4"/>
    <n v="3"/>
  </r>
  <r>
    <n v="39"/>
    <x v="1"/>
    <x v="1"/>
    <n v="0"/>
    <s v="Human Resources"/>
    <n v="3"/>
    <x v="0"/>
    <n v="4"/>
    <x v="0"/>
    <x v="8"/>
    <x v="1"/>
    <n v="6389"/>
    <x v="0"/>
    <s v="No"/>
    <n v="15"/>
    <n v="3"/>
    <n v="3"/>
    <n v="12"/>
    <n v="1"/>
    <n v="8"/>
    <n v="3"/>
  </r>
  <r>
    <n v="56"/>
    <x v="0"/>
    <x v="1"/>
    <n v="0"/>
    <s v="Research &amp; Development"/>
    <n v="3"/>
    <x v="1"/>
    <n v="3"/>
    <x v="3"/>
    <x v="4"/>
    <x v="0"/>
    <n v="11103"/>
    <x v="1"/>
    <s v="No"/>
    <n v="11"/>
    <n v="3"/>
    <n v="3"/>
    <n v="30"/>
    <n v="2"/>
    <n v="10"/>
    <n v="7"/>
  </r>
  <r>
    <n v="40"/>
    <x v="1"/>
    <x v="1"/>
    <n v="0"/>
    <s v="Research &amp; Development"/>
    <n v="4"/>
    <x v="0"/>
    <n v="2"/>
    <x v="1"/>
    <x v="1"/>
    <x v="0"/>
    <n v="2342"/>
    <x v="0"/>
    <s v="Yes"/>
    <n v="20"/>
    <n v="4"/>
    <n v="4"/>
    <n v="5"/>
    <n v="2"/>
    <n v="4"/>
    <n v="2"/>
  </r>
  <r>
    <n v="27"/>
    <x v="2"/>
    <x v="1"/>
    <n v="0"/>
    <s v="Research &amp; Development"/>
    <n v="4"/>
    <x v="0"/>
    <n v="2"/>
    <x v="0"/>
    <x v="4"/>
    <x v="3"/>
    <n v="6811"/>
    <x v="0"/>
    <s v="No"/>
    <n v="19"/>
    <n v="3"/>
    <n v="1"/>
    <n v="9"/>
    <n v="1"/>
    <n v="7"/>
    <n v="6"/>
  </r>
  <r>
    <n v="29"/>
    <x v="2"/>
    <x v="1"/>
    <n v="0"/>
    <s v="Sales"/>
    <n v="4"/>
    <x v="1"/>
    <n v="3"/>
    <x v="1"/>
    <x v="6"/>
    <x v="1"/>
    <n v="2297"/>
    <x v="0"/>
    <s v="No"/>
    <n v="14"/>
    <n v="3"/>
    <n v="4"/>
    <n v="2"/>
    <n v="3"/>
    <n v="2"/>
    <n v="2"/>
  </r>
  <r>
    <n v="53"/>
    <x v="0"/>
    <x v="1"/>
    <n v="0"/>
    <s v="Research &amp; Development"/>
    <n v="4"/>
    <x v="1"/>
    <n v="3"/>
    <x v="0"/>
    <x v="2"/>
    <x v="0"/>
    <n v="2450"/>
    <x v="0"/>
    <s v="No"/>
    <n v="17"/>
    <n v="3"/>
    <n v="4"/>
    <n v="19"/>
    <n v="3"/>
    <n v="2"/>
    <n v="2"/>
  </r>
  <r>
    <n v="35"/>
    <x v="1"/>
    <x v="1"/>
    <n v="0"/>
    <s v="Research &amp; Development"/>
    <n v="4"/>
    <x v="0"/>
    <n v="3"/>
    <x v="0"/>
    <x v="4"/>
    <x v="3"/>
    <n v="5093"/>
    <x v="0"/>
    <s v="No"/>
    <n v="11"/>
    <n v="3"/>
    <n v="1"/>
    <n v="16"/>
    <n v="4"/>
    <n v="1"/>
    <n v="0"/>
  </r>
  <r>
    <n v="32"/>
    <x v="1"/>
    <x v="1"/>
    <n v="0"/>
    <s v="Research &amp; Development"/>
    <n v="1"/>
    <x v="1"/>
    <n v="3"/>
    <x v="0"/>
    <x v="2"/>
    <x v="0"/>
    <n v="5309"/>
    <x v="0"/>
    <s v="No"/>
    <n v="15"/>
    <n v="3"/>
    <n v="4"/>
    <n v="10"/>
    <n v="3"/>
    <n v="10"/>
    <n v="8"/>
  </r>
  <r>
    <n v="38"/>
    <x v="1"/>
    <x v="1"/>
    <n v="0"/>
    <s v="Research &amp; Development"/>
    <n v="4"/>
    <x v="1"/>
    <n v="3"/>
    <x v="1"/>
    <x v="1"/>
    <x v="2"/>
    <n v="3057"/>
    <x v="0"/>
    <s v="Yes"/>
    <n v="13"/>
    <n v="3"/>
    <n v="2"/>
    <n v="6"/>
    <n v="1"/>
    <n v="1"/>
    <n v="0"/>
  </r>
  <r>
    <n v="34"/>
    <x v="1"/>
    <x v="1"/>
    <n v="0"/>
    <s v="Research &amp; Development"/>
    <n v="2"/>
    <x v="0"/>
    <n v="3"/>
    <x v="0"/>
    <x v="3"/>
    <x v="3"/>
    <n v="5121"/>
    <x v="0"/>
    <s v="No"/>
    <n v="14"/>
    <n v="3"/>
    <n v="3"/>
    <n v="7"/>
    <n v="3"/>
    <n v="0"/>
    <n v="0"/>
  </r>
  <r>
    <n v="52"/>
    <x v="0"/>
    <x v="1"/>
    <n v="0"/>
    <s v="Sales"/>
    <n v="3"/>
    <x v="1"/>
    <n v="2"/>
    <x v="3"/>
    <x v="5"/>
    <x v="3"/>
    <n v="16856"/>
    <x v="2"/>
    <s v="No"/>
    <n v="11"/>
    <n v="3"/>
    <n v="1"/>
    <n v="34"/>
    <n v="4"/>
    <n v="34"/>
    <n v="6"/>
  </r>
  <r>
    <n v="33"/>
    <x v="1"/>
    <x v="0"/>
    <n v="1"/>
    <s v="Research &amp; Development"/>
    <n v="4"/>
    <x v="1"/>
    <n v="3"/>
    <x v="1"/>
    <x v="1"/>
    <x v="0"/>
    <n v="2686"/>
    <x v="0"/>
    <s v="Yes"/>
    <n v="13"/>
    <n v="3"/>
    <n v="3"/>
    <n v="10"/>
    <n v="2"/>
    <n v="10"/>
    <n v="9"/>
  </r>
  <r>
    <n v="25"/>
    <x v="2"/>
    <x v="1"/>
    <n v="0"/>
    <s v="Sales"/>
    <n v="3"/>
    <x v="0"/>
    <n v="3"/>
    <x v="0"/>
    <x v="0"/>
    <x v="0"/>
    <n v="6180"/>
    <x v="0"/>
    <s v="No"/>
    <n v="23"/>
    <n v="4"/>
    <n v="2"/>
    <n v="6"/>
    <n v="2"/>
    <n v="6"/>
    <n v="5"/>
  </r>
  <r>
    <n v="45"/>
    <x v="0"/>
    <x v="1"/>
    <n v="0"/>
    <s v="Sales"/>
    <n v="2"/>
    <x v="1"/>
    <n v="1"/>
    <x v="0"/>
    <x v="6"/>
    <x v="2"/>
    <n v="6632"/>
    <x v="0"/>
    <s v="No"/>
    <n v="13"/>
    <n v="3"/>
    <n v="1"/>
    <n v="9"/>
    <n v="3"/>
    <n v="8"/>
    <n v="7"/>
  </r>
  <r>
    <n v="23"/>
    <x v="2"/>
    <x v="1"/>
    <n v="0"/>
    <s v="Research &amp; Development"/>
    <n v="1"/>
    <x v="1"/>
    <n v="4"/>
    <x v="1"/>
    <x v="1"/>
    <x v="2"/>
    <n v="3505"/>
    <x v="0"/>
    <s v="No"/>
    <n v="18"/>
    <n v="3"/>
    <n v="4"/>
    <n v="2"/>
    <n v="3"/>
    <n v="2"/>
    <n v="2"/>
  </r>
  <r>
    <n v="47"/>
    <x v="0"/>
    <x v="0"/>
    <n v="1"/>
    <s v="Sales"/>
    <n v="2"/>
    <x v="0"/>
    <n v="4"/>
    <x v="0"/>
    <x v="0"/>
    <x v="2"/>
    <n v="6397"/>
    <x v="0"/>
    <s v="Yes"/>
    <n v="12"/>
    <n v="3"/>
    <n v="4"/>
    <n v="8"/>
    <n v="3"/>
    <n v="5"/>
    <n v="4"/>
  </r>
  <r>
    <n v="34"/>
    <x v="1"/>
    <x v="1"/>
    <n v="0"/>
    <s v="Sales"/>
    <n v="4"/>
    <x v="1"/>
    <n v="3"/>
    <x v="0"/>
    <x v="0"/>
    <x v="0"/>
    <n v="6274"/>
    <x v="0"/>
    <s v="No"/>
    <n v="22"/>
    <n v="4"/>
    <n v="3"/>
    <n v="6"/>
    <n v="3"/>
    <n v="6"/>
    <n v="5"/>
  </r>
  <r>
    <n v="55"/>
    <x v="0"/>
    <x v="0"/>
    <n v="1"/>
    <s v="Research &amp; Development"/>
    <n v="4"/>
    <x v="1"/>
    <n v="3"/>
    <x v="4"/>
    <x v="5"/>
    <x v="3"/>
    <n v="19859"/>
    <x v="2"/>
    <s v="Yes"/>
    <n v="13"/>
    <n v="3"/>
    <n v="4"/>
    <n v="24"/>
    <n v="3"/>
    <n v="5"/>
    <n v="2"/>
  </r>
  <r>
    <n v="36"/>
    <x v="1"/>
    <x v="1"/>
    <n v="0"/>
    <s v="Sales"/>
    <n v="1"/>
    <x v="1"/>
    <n v="2"/>
    <x v="2"/>
    <x v="0"/>
    <x v="3"/>
    <n v="7587"/>
    <x v="1"/>
    <s v="No"/>
    <n v="15"/>
    <n v="3"/>
    <n v="2"/>
    <n v="10"/>
    <n v="3"/>
    <n v="10"/>
    <n v="7"/>
  </r>
  <r>
    <n v="52"/>
    <x v="0"/>
    <x v="1"/>
    <n v="0"/>
    <s v="Research &amp; Development"/>
    <n v="4"/>
    <x v="1"/>
    <n v="3"/>
    <x v="1"/>
    <x v="1"/>
    <x v="0"/>
    <n v="4258"/>
    <x v="0"/>
    <s v="No"/>
    <n v="18"/>
    <n v="3"/>
    <n v="1"/>
    <n v="5"/>
    <n v="3"/>
    <n v="4"/>
    <n v="3"/>
  </r>
  <r>
    <n v="26"/>
    <x v="2"/>
    <x v="1"/>
    <n v="0"/>
    <s v="Research &amp; Development"/>
    <n v="1"/>
    <x v="0"/>
    <n v="1"/>
    <x v="1"/>
    <x v="2"/>
    <x v="0"/>
    <n v="4364"/>
    <x v="0"/>
    <s v="No"/>
    <n v="14"/>
    <n v="3"/>
    <n v="1"/>
    <n v="5"/>
    <n v="3"/>
    <n v="2"/>
    <n v="2"/>
  </r>
  <r>
    <n v="29"/>
    <x v="2"/>
    <x v="1"/>
    <n v="0"/>
    <s v="Research &amp; Development"/>
    <n v="2"/>
    <x v="0"/>
    <n v="3"/>
    <x v="0"/>
    <x v="4"/>
    <x v="2"/>
    <n v="4335"/>
    <x v="0"/>
    <s v="No"/>
    <n v="12"/>
    <n v="3"/>
    <n v="1"/>
    <n v="11"/>
    <n v="2"/>
    <n v="8"/>
    <n v="7"/>
  </r>
  <r>
    <n v="26"/>
    <x v="2"/>
    <x v="0"/>
    <n v="1"/>
    <s v="Sales"/>
    <n v="4"/>
    <x v="1"/>
    <n v="2"/>
    <x v="0"/>
    <x v="0"/>
    <x v="3"/>
    <n v="5326"/>
    <x v="0"/>
    <s v="No"/>
    <n v="17"/>
    <n v="3"/>
    <n v="3"/>
    <n v="6"/>
    <n v="2"/>
    <n v="4"/>
    <n v="3"/>
  </r>
  <r>
    <n v="34"/>
    <x v="1"/>
    <x v="1"/>
    <n v="0"/>
    <s v="Research &amp; Development"/>
    <n v="2"/>
    <x v="0"/>
    <n v="4"/>
    <x v="1"/>
    <x v="1"/>
    <x v="0"/>
    <n v="3280"/>
    <x v="0"/>
    <s v="No"/>
    <n v="16"/>
    <n v="3"/>
    <n v="3"/>
    <n v="10"/>
    <n v="3"/>
    <n v="4"/>
    <n v="2"/>
  </r>
  <r>
    <n v="54"/>
    <x v="0"/>
    <x v="1"/>
    <n v="0"/>
    <s v="Research &amp; Development"/>
    <n v="4"/>
    <x v="0"/>
    <n v="3"/>
    <x v="0"/>
    <x v="3"/>
    <x v="3"/>
    <n v="5485"/>
    <x v="0"/>
    <s v="Yes"/>
    <n v="11"/>
    <n v="3"/>
    <n v="2"/>
    <n v="9"/>
    <n v="3"/>
    <n v="5"/>
    <n v="3"/>
  </r>
  <r>
    <n v="27"/>
    <x v="2"/>
    <x v="1"/>
    <n v="0"/>
    <s v="Sales"/>
    <n v="3"/>
    <x v="1"/>
    <n v="3"/>
    <x v="0"/>
    <x v="0"/>
    <x v="0"/>
    <n v="4342"/>
    <x v="0"/>
    <s v="No"/>
    <n v="19"/>
    <n v="3"/>
    <n v="2"/>
    <n v="5"/>
    <n v="3"/>
    <n v="4"/>
    <n v="2"/>
  </r>
  <r>
    <n v="37"/>
    <x v="1"/>
    <x v="1"/>
    <n v="0"/>
    <s v="Research &amp; Development"/>
    <n v="4"/>
    <x v="0"/>
    <n v="3"/>
    <x v="1"/>
    <x v="1"/>
    <x v="3"/>
    <n v="2782"/>
    <x v="0"/>
    <s v="Yes"/>
    <n v="13"/>
    <n v="3"/>
    <n v="2"/>
    <n v="6"/>
    <n v="2"/>
    <n v="5"/>
    <n v="3"/>
  </r>
  <r>
    <n v="38"/>
    <x v="1"/>
    <x v="1"/>
    <n v="0"/>
    <s v="Research &amp; Development"/>
    <n v="1"/>
    <x v="0"/>
    <n v="4"/>
    <x v="0"/>
    <x v="3"/>
    <x v="3"/>
    <n v="5980"/>
    <x v="0"/>
    <s v="Yes"/>
    <n v="12"/>
    <n v="3"/>
    <n v="4"/>
    <n v="17"/>
    <n v="3"/>
    <n v="15"/>
    <n v="7"/>
  </r>
  <r>
    <n v="34"/>
    <x v="1"/>
    <x v="1"/>
    <n v="0"/>
    <s v="Research &amp; Development"/>
    <n v="3"/>
    <x v="0"/>
    <n v="2"/>
    <x v="1"/>
    <x v="1"/>
    <x v="3"/>
    <n v="4381"/>
    <x v="0"/>
    <s v="No"/>
    <n v="11"/>
    <n v="3"/>
    <n v="3"/>
    <n v="6"/>
    <n v="3"/>
    <n v="6"/>
    <n v="5"/>
  </r>
  <r>
    <n v="35"/>
    <x v="1"/>
    <x v="1"/>
    <n v="0"/>
    <s v="Sales"/>
    <n v="1"/>
    <x v="0"/>
    <n v="3"/>
    <x v="1"/>
    <x v="6"/>
    <x v="0"/>
    <n v="2572"/>
    <x v="0"/>
    <s v="No"/>
    <n v="16"/>
    <n v="3"/>
    <n v="2"/>
    <n v="3"/>
    <n v="2"/>
    <n v="3"/>
    <n v="2"/>
  </r>
  <r>
    <n v="30"/>
    <x v="2"/>
    <x v="1"/>
    <n v="0"/>
    <s v="Research &amp; Development"/>
    <n v="4"/>
    <x v="1"/>
    <n v="1"/>
    <x v="1"/>
    <x v="2"/>
    <x v="2"/>
    <n v="3833"/>
    <x v="0"/>
    <s v="No"/>
    <n v="21"/>
    <n v="4"/>
    <n v="3"/>
    <n v="7"/>
    <n v="3"/>
    <n v="2"/>
    <n v="2"/>
  </r>
  <r>
    <n v="40"/>
    <x v="1"/>
    <x v="1"/>
    <n v="0"/>
    <s v="Research &amp; Development"/>
    <n v="3"/>
    <x v="0"/>
    <n v="4"/>
    <x v="0"/>
    <x v="4"/>
    <x v="1"/>
    <n v="4244"/>
    <x v="0"/>
    <s v="No"/>
    <n v="24"/>
    <n v="4"/>
    <n v="4"/>
    <n v="8"/>
    <n v="3"/>
    <n v="8"/>
    <n v="7"/>
  </r>
  <r>
    <n v="34"/>
    <x v="1"/>
    <x v="1"/>
    <n v="0"/>
    <s v="Sales"/>
    <n v="3"/>
    <x v="0"/>
    <n v="3"/>
    <x v="0"/>
    <x v="0"/>
    <x v="3"/>
    <n v="6500"/>
    <x v="0"/>
    <s v="No"/>
    <n v="17"/>
    <n v="3"/>
    <n v="2"/>
    <n v="6"/>
    <n v="3"/>
    <n v="3"/>
    <n v="2"/>
  </r>
  <r>
    <n v="42"/>
    <x v="0"/>
    <x v="1"/>
    <n v="0"/>
    <s v="Research &amp; Development"/>
    <n v="2"/>
    <x v="1"/>
    <n v="3"/>
    <x v="4"/>
    <x v="5"/>
    <x v="0"/>
    <n v="18430"/>
    <x v="2"/>
    <s v="No"/>
    <n v="13"/>
    <n v="3"/>
    <n v="2"/>
    <n v="24"/>
    <n v="2"/>
    <n v="24"/>
    <n v="7"/>
  </r>
  <r>
    <n v="23"/>
    <x v="2"/>
    <x v="0"/>
    <n v="1"/>
    <s v="Research &amp; Development"/>
    <n v="3"/>
    <x v="1"/>
    <n v="4"/>
    <x v="1"/>
    <x v="2"/>
    <x v="3"/>
    <n v="1601"/>
    <x v="0"/>
    <s v="Yes"/>
    <n v="21"/>
    <n v="4"/>
    <n v="3"/>
    <n v="1"/>
    <n v="3"/>
    <n v="0"/>
    <n v="0"/>
  </r>
  <r>
    <n v="24"/>
    <x v="2"/>
    <x v="1"/>
    <n v="0"/>
    <s v="Research &amp; Development"/>
    <n v="3"/>
    <x v="1"/>
    <n v="2"/>
    <x v="1"/>
    <x v="2"/>
    <x v="1"/>
    <n v="2694"/>
    <x v="0"/>
    <s v="No"/>
    <n v="11"/>
    <n v="3"/>
    <n v="3"/>
    <n v="1"/>
    <n v="3"/>
    <n v="1"/>
    <n v="0"/>
  </r>
  <r>
    <n v="52"/>
    <x v="0"/>
    <x v="1"/>
    <n v="0"/>
    <s v="Research &amp; Development"/>
    <n v="4"/>
    <x v="0"/>
    <n v="3"/>
    <x v="0"/>
    <x v="2"/>
    <x v="2"/>
    <n v="3149"/>
    <x v="0"/>
    <s v="No"/>
    <n v="20"/>
    <n v="4"/>
    <n v="2"/>
    <n v="9"/>
    <n v="3"/>
    <n v="5"/>
    <n v="2"/>
  </r>
  <r>
    <n v="50"/>
    <x v="0"/>
    <x v="1"/>
    <n v="0"/>
    <s v="Research &amp; Development"/>
    <n v="3"/>
    <x v="1"/>
    <n v="3"/>
    <x v="3"/>
    <x v="7"/>
    <x v="2"/>
    <n v="17639"/>
    <x v="2"/>
    <s v="No"/>
    <n v="16"/>
    <n v="3"/>
    <n v="4"/>
    <n v="30"/>
    <n v="3"/>
    <n v="4"/>
    <n v="3"/>
  </r>
  <r>
    <n v="29"/>
    <x v="2"/>
    <x v="0"/>
    <n v="1"/>
    <s v="Research &amp; Development"/>
    <n v="2"/>
    <x v="0"/>
    <n v="2"/>
    <x v="1"/>
    <x v="2"/>
    <x v="3"/>
    <n v="2319"/>
    <x v="0"/>
    <s v="Yes"/>
    <n v="11"/>
    <n v="3"/>
    <n v="4"/>
    <n v="1"/>
    <n v="3"/>
    <n v="1"/>
    <n v="0"/>
  </r>
  <r>
    <n v="33"/>
    <x v="1"/>
    <x v="1"/>
    <n v="0"/>
    <s v="Research &amp; Development"/>
    <n v="3"/>
    <x v="1"/>
    <n v="3"/>
    <x v="2"/>
    <x v="7"/>
    <x v="2"/>
    <n v="11691"/>
    <x v="1"/>
    <s v="No"/>
    <n v="11"/>
    <n v="3"/>
    <n v="4"/>
    <n v="14"/>
    <n v="4"/>
    <n v="13"/>
    <n v="9"/>
  </r>
  <r>
    <n v="33"/>
    <x v="1"/>
    <x v="0"/>
    <n v="1"/>
    <s v="Sales"/>
    <n v="1"/>
    <x v="0"/>
    <n v="3"/>
    <x v="0"/>
    <x v="0"/>
    <x v="3"/>
    <n v="5324"/>
    <x v="0"/>
    <s v="No"/>
    <n v="15"/>
    <n v="3"/>
    <n v="3"/>
    <n v="6"/>
    <n v="3"/>
    <n v="3"/>
    <n v="2"/>
  </r>
  <r>
    <n v="47"/>
    <x v="0"/>
    <x v="1"/>
    <n v="0"/>
    <s v="Research &amp; Development"/>
    <n v="3"/>
    <x v="0"/>
    <n v="3"/>
    <x v="3"/>
    <x v="5"/>
    <x v="0"/>
    <n v="16752"/>
    <x v="2"/>
    <s v="Yes"/>
    <n v="11"/>
    <n v="3"/>
    <n v="3"/>
    <n v="26"/>
    <n v="2"/>
    <n v="26"/>
    <n v="14"/>
  </r>
  <r>
    <n v="36"/>
    <x v="1"/>
    <x v="1"/>
    <n v="0"/>
    <s v="Research &amp; Development"/>
    <n v="3"/>
    <x v="0"/>
    <n v="3"/>
    <x v="0"/>
    <x v="3"/>
    <x v="1"/>
    <n v="5228"/>
    <x v="0"/>
    <s v="No"/>
    <n v="15"/>
    <n v="3"/>
    <n v="1"/>
    <n v="10"/>
    <n v="3"/>
    <n v="9"/>
    <n v="7"/>
  </r>
  <r>
    <n v="29"/>
    <x v="2"/>
    <x v="1"/>
    <n v="0"/>
    <s v="Research &amp; Development"/>
    <n v="3"/>
    <x v="1"/>
    <n v="4"/>
    <x v="1"/>
    <x v="1"/>
    <x v="2"/>
    <n v="2700"/>
    <x v="0"/>
    <s v="No"/>
    <n v="24"/>
    <n v="4"/>
    <n v="3"/>
    <n v="10"/>
    <n v="3"/>
    <n v="10"/>
    <n v="7"/>
  </r>
  <r>
    <n v="58"/>
    <x v="0"/>
    <x v="0"/>
    <n v="1"/>
    <s v="Research &amp; Development"/>
    <n v="4"/>
    <x v="1"/>
    <n v="3"/>
    <x v="4"/>
    <x v="7"/>
    <x v="1"/>
    <n v="19246"/>
    <x v="2"/>
    <s v="Yes"/>
    <n v="12"/>
    <n v="3"/>
    <n v="4"/>
    <n v="40"/>
    <n v="3"/>
    <n v="31"/>
    <n v="15"/>
  </r>
  <r>
    <n v="35"/>
    <x v="1"/>
    <x v="1"/>
    <n v="0"/>
    <s v="Research &amp; Development"/>
    <n v="4"/>
    <x v="0"/>
    <n v="4"/>
    <x v="1"/>
    <x v="1"/>
    <x v="2"/>
    <n v="2506"/>
    <x v="0"/>
    <s v="No"/>
    <n v="13"/>
    <n v="3"/>
    <n v="3"/>
    <n v="7"/>
    <n v="3"/>
    <n v="2"/>
    <n v="2"/>
  </r>
  <r>
    <n v="42"/>
    <x v="0"/>
    <x v="1"/>
    <n v="0"/>
    <s v="Research &amp; Development"/>
    <n v="4"/>
    <x v="0"/>
    <n v="2"/>
    <x v="0"/>
    <x v="3"/>
    <x v="0"/>
    <n v="6062"/>
    <x v="0"/>
    <s v="Yes"/>
    <n v="13"/>
    <n v="3"/>
    <n v="4"/>
    <n v="8"/>
    <n v="3"/>
    <n v="4"/>
    <n v="3"/>
  </r>
  <r>
    <n v="28"/>
    <x v="2"/>
    <x v="0"/>
    <n v="1"/>
    <s v="Research &amp; Development"/>
    <n v="3"/>
    <x v="1"/>
    <n v="3"/>
    <x v="1"/>
    <x v="1"/>
    <x v="2"/>
    <n v="4382"/>
    <x v="0"/>
    <s v="No"/>
    <n v="17"/>
    <n v="3"/>
    <n v="4"/>
    <n v="5"/>
    <n v="2"/>
    <n v="2"/>
    <n v="2"/>
  </r>
  <r>
    <n v="36"/>
    <x v="1"/>
    <x v="1"/>
    <n v="0"/>
    <s v="Human Resources"/>
    <n v="3"/>
    <x v="1"/>
    <n v="3"/>
    <x v="1"/>
    <x v="8"/>
    <x v="1"/>
    <n v="2143"/>
    <x v="0"/>
    <s v="No"/>
    <n v="13"/>
    <n v="3"/>
    <n v="2"/>
    <n v="8"/>
    <n v="3"/>
    <n v="5"/>
    <n v="2"/>
  </r>
  <r>
    <n v="32"/>
    <x v="1"/>
    <x v="1"/>
    <n v="0"/>
    <s v="Research &amp; Development"/>
    <n v="3"/>
    <x v="0"/>
    <n v="2"/>
    <x v="0"/>
    <x v="3"/>
    <x v="2"/>
    <n v="6162"/>
    <x v="0"/>
    <s v="No"/>
    <n v="12"/>
    <n v="3"/>
    <n v="3"/>
    <n v="14"/>
    <n v="3"/>
    <n v="14"/>
    <n v="13"/>
  </r>
  <r>
    <n v="40"/>
    <x v="1"/>
    <x v="1"/>
    <n v="0"/>
    <s v="Research &amp; Development"/>
    <n v="1"/>
    <x v="1"/>
    <n v="2"/>
    <x v="0"/>
    <x v="2"/>
    <x v="2"/>
    <n v="5094"/>
    <x v="0"/>
    <s v="No"/>
    <n v="14"/>
    <n v="3"/>
    <n v="4"/>
    <n v="10"/>
    <n v="3"/>
    <n v="1"/>
    <n v="0"/>
  </r>
  <r>
    <n v="30"/>
    <x v="2"/>
    <x v="1"/>
    <n v="0"/>
    <s v="Research &amp; Development"/>
    <n v="3"/>
    <x v="0"/>
    <n v="2"/>
    <x v="0"/>
    <x v="3"/>
    <x v="0"/>
    <n v="6877"/>
    <x v="0"/>
    <s v="Yes"/>
    <n v="24"/>
    <n v="4"/>
    <n v="2"/>
    <n v="12"/>
    <n v="2"/>
    <n v="0"/>
    <n v="0"/>
  </r>
  <r>
    <n v="45"/>
    <x v="0"/>
    <x v="1"/>
    <n v="0"/>
    <s v="Research &amp; Development"/>
    <n v="2"/>
    <x v="0"/>
    <n v="2"/>
    <x v="1"/>
    <x v="1"/>
    <x v="2"/>
    <n v="2274"/>
    <x v="0"/>
    <s v="No"/>
    <n v="14"/>
    <n v="3"/>
    <n v="4"/>
    <n v="1"/>
    <n v="3"/>
    <n v="1"/>
    <n v="0"/>
  </r>
  <r>
    <n v="42"/>
    <x v="0"/>
    <x v="1"/>
    <n v="0"/>
    <s v="Research &amp; Development"/>
    <n v="2"/>
    <x v="1"/>
    <n v="3"/>
    <x v="0"/>
    <x v="3"/>
    <x v="1"/>
    <n v="4434"/>
    <x v="0"/>
    <s v="No"/>
    <n v="13"/>
    <n v="3"/>
    <n v="4"/>
    <n v="10"/>
    <n v="2"/>
    <n v="9"/>
    <n v="8"/>
  </r>
  <r>
    <n v="38"/>
    <x v="1"/>
    <x v="1"/>
    <n v="0"/>
    <s v="Research &amp; Development"/>
    <n v="1"/>
    <x v="1"/>
    <n v="2"/>
    <x v="0"/>
    <x v="4"/>
    <x v="3"/>
    <n v="6288"/>
    <x v="0"/>
    <s v="No"/>
    <n v="15"/>
    <n v="3"/>
    <n v="3"/>
    <n v="13"/>
    <n v="2"/>
    <n v="4"/>
    <n v="3"/>
  </r>
  <r>
    <n v="34"/>
    <x v="1"/>
    <x v="1"/>
    <n v="0"/>
    <s v="Research &amp; Development"/>
    <n v="3"/>
    <x v="0"/>
    <n v="2"/>
    <x v="1"/>
    <x v="1"/>
    <x v="0"/>
    <n v="2553"/>
    <x v="0"/>
    <s v="No"/>
    <n v="16"/>
    <n v="3"/>
    <n v="3"/>
    <n v="6"/>
    <n v="3"/>
    <n v="5"/>
    <n v="2"/>
  </r>
  <r>
    <n v="49"/>
    <x v="0"/>
    <x v="0"/>
    <n v="1"/>
    <s v="Sales"/>
    <n v="3"/>
    <x v="0"/>
    <n v="3"/>
    <x v="2"/>
    <x v="0"/>
    <x v="0"/>
    <n v="7654"/>
    <x v="1"/>
    <s v="No"/>
    <n v="18"/>
    <n v="3"/>
    <n v="1"/>
    <n v="9"/>
    <n v="4"/>
    <n v="9"/>
    <n v="8"/>
  </r>
  <r>
    <n v="55"/>
    <x v="0"/>
    <x v="0"/>
    <n v="1"/>
    <s v="Sales"/>
    <n v="3"/>
    <x v="1"/>
    <n v="3"/>
    <x v="0"/>
    <x v="0"/>
    <x v="0"/>
    <n v="5160"/>
    <x v="0"/>
    <s v="No"/>
    <n v="16"/>
    <n v="3"/>
    <n v="3"/>
    <n v="12"/>
    <n v="2"/>
    <n v="9"/>
    <n v="7"/>
  </r>
  <r>
    <n v="43"/>
    <x v="0"/>
    <x v="1"/>
    <n v="0"/>
    <s v="Research &amp; Development"/>
    <n v="2"/>
    <x v="1"/>
    <n v="3"/>
    <x v="3"/>
    <x v="7"/>
    <x v="3"/>
    <n v="17159"/>
    <x v="2"/>
    <s v="No"/>
    <n v="24"/>
    <n v="4"/>
    <n v="3"/>
    <n v="22"/>
    <n v="3"/>
    <n v="4"/>
    <n v="1"/>
  </r>
  <r>
    <n v="27"/>
    <x v="2"/>
    <x v="1"/>
    <n v="0"/>
    <s v="Research &amp; Development"/>
    <n v="3"/>
    <x v="1"/>
    <n v="2"/>
    <x v="2"/>
    <x v="7"/>
    <x v="0"/>
    <n v="12808"/>
    <x v="1"/>
    <s v="Yes"/>
    <n v="16"/>
    <n v="3"/>
    <n v="2"/>
    <n v="9"/>
    <n v="3"/>
    <n v="9"/>
    <n v="8"/>
  </r>
  <r>
    <n v="35"/>
    <x v="1"/>
    <x v="1"/>
    <n v="0"/>
    <s v="Research &amp; Development"/>
    <n v="3"/>
    <x v="1"/>
    <n v="3"/>
    <x v="2"/>
    <x v="3"/>
    <x v="2"/>
    <n v="10221"/>
    <x v="1"/>
    <s v="No"/>
    <n v="21"/>
    <n v="4"/>
    <n v="2"/>
    <n v="17"/>
    <n v="4"/>
    <n v="8"/>
    <n v="5"/>
  </r>
  <r>
    <n v="28"/>
    <x v="2"/>
    <x v="1"/>
    <n v="0"/>
    <s v="Sales"/>
    <n v="2"/>
    <x v="0"/>
    <n v="3"/>
    <x v="0"/>
    <x v="0"/>
    <x v="1"/>
    <n v="4779"/>
    <x v="0"/>
    <s v="Yes"/>
    <n v="20"/>
    <n v="4"/>
    <n v="1"/>
    <n v="8"/>
    <n v="3"/>
    <n v="8"/>
    <n v="7"/>
  </r>
  <r>
    <n v="34"/>
    <x v="1"/>
    <x v="1"/>
    <n v="0"/>
    <s v="Human Resources"/>
    <n v="3"/>
    <x v="1"/>
    <n v="3"/>
    <x v="1"/>
    <x v="8"/>
    <x v="0"/>
    <n v="3737"/>
    <x v="0"/>
    <s v="No"/>
    <n v="19"/>
    <n v="3"/>
    <n v="3"/>
    <n v="4"/>
    <n v="1"/>
    <n v="3"/>
    <n v="2"/>
  </r>
  <r>
    <n v="26"/>
    <x v="2"/>
    <x v="0"/>
    <n v="1"/>
    <s v="Research &amp; Development"/>
    <n v="3"/>
    <x v="0"/>
    <n v="2"/>
    <x v="1"/>
    <x v="1"/>
    <x v="2"/>
    <n v="2366"/>
    <x v="0"/>
    <s v="Yes"/>
    <n v="14"/>
    <n v="3"/>
    <n v="1"/>
    <n v="8"/>
    <n v="3"/>
    <n v="8"/>
    <n v="7"/>
  </r>
  <r>
    <n v="27"/>
    <x v="2"/>
    <x v="1"/>
    <n v="0"/>
    <s v="Research &amp; Development"/>
    <n v="4"/>
    <x v="1"/>
    <n v="3"/>
    <x v="1"/>
    <x v="1"/>
    <x v="0"/>
    <n v="1706"/>
    <x v="0"/>
    <s v="No"/>
    <n v="11"/>
    <n v="3"/>
    <n v="3"/>
    <n v="0"/>
    <n v="2"/>
    <n v="0"/>
    <n v="0"/>
  </r>
  <r>
    <n v="51"/>
    <x v="0"/>
    <x v="1"/>
    <n v="0"/>
    <s v="Sales"/>
    <n v="1"/>
    <x v="0"/>
    <n v="3"/>
    <x v="3"/>
    <x v="5"/>
    <x v="2"/>
    <n v="16307"/>
    <x v="2"/>
    <s v="No"/>
    <n v="14"/>
    <n v="3"/>
    <n v="3"/>
    <n v="29"/>
    <n v="2"/>
    <n v="20"/>
    <n v="6"/>
  </r>
  <r>
    <n v="44"/>
    <x v="0"/>
    <x v="1"/>
    <n v="0"/>
    <s v="Research &amp; Development"/>
    <n v="4"/>
    <x v="1"/>
    <n v="3"/>
    <x v="0"/>
    <x v="4"/>
    <x v="1"/>
    <n v="5933"/>
    <x v="0"/>
    <s v="No"/>
    <n v="12"/>
    <n v="3"/>
    <n v="4"/>
    <n v="10"/>
    <n v="2"/>
    <n v="5"/>
    <n v="2"/>
  </r>
  <r>
    <n v="25"/>
    <x v="2"/>
    <x v="1"/>
    <n v="0"/>
    <s v="Research &amp; Development"/>
    <n v="1"/>
    <x v="1"/>
    <n v="4"/>
    <x v="1"/>
    <x v="1"/>
    <x v="3"/>
    <n v="3424"/>
    <x v="0"/>
    <s v="No"/>
    <n v="13"/>
    <n v="3"/>
    <n v="3"/>
    <n v="6"/>
    <n v="2"/>
    <n v="4"/>
    <n v="3"/>
  </r>
  <r>
    <n v="33"/>
    <x v="1"/>
    <x v="1"/>
    <n v="0"/>
    <s v="Sales"/>
    <n v="1"/>
    <x v="1"/>
    <n v="4"/>
    <x v="0"/>
    <x v="0"/>
    <x v="3"/>
    <n v="4037"/>
    <x v="0"/>
    <s v="No"/>
    <n v="22"/>
    <n v="4"/>
    <n v="1"/>
    <n v="9"/>
    <n v="3"/>
    <n v="9"/>
    <n v="8"/>
  </r>
  <r>
    <n v="35"/>
    <x v="1"/>
    <x v="1"/>
    <n v="0"/>
    <s v="Research &amp; Development"/>
    <n v="3"/>
    <x v="0"/>
    <n v="2"/>
    <x v="1"/>
    <x v="1"/>
    <x v="3"/>
    <n v="2559"/>
    <x v="0"/>
    <s v="No"/>
    <n v="11"/>
    <n v="3"/>
    <n v="4"/>
    <n v="6"/>
    <n v="2"/>
    <n v="6"/>
    <n v="5"/>
  </r>
  <r>
    <n v="36"/>
    <x v="1"/>
    <x v="1"/>
    <n v="0"/>
    <s v="Sales"/>
    <n v="2"/>
    <x v="1"/>
    <n v="3"/>
    <x v="0"/>
    <x v="0"/>
    <x v="0"/>
    <n v="6201"/>
    <x v="0"/>
    <s v="Yes"/>
    <n v="14"/>
    <n v="3"/>
    <n v="4"/>
    <n v="18"/>
    <n v="2"/>
    <n v="18"/>
    <n v="14"/>
  </r>
  <r>
    <n v="32"/>
    <x v="1"/>
    <x v="1"/>
    <n v="0"/>
    <s v="Sales"/>
    <n v="2"/>
    <x v="1"/>
    <n v="3"/>
    <x v="0"/>
    <x v="0"/>
    <x v="0"/>
    <n v="4403"/>
    <x v="0"/>
    <s v="No"/>
    <n v="11"/>
    <n v="3"/>
    <n v="3"/>
    <n v="8"/>
    <n v="2"/>
    <n v="5"/>
    <n v="2"/>
  </r>
  <r>
    <n v="30"/>
    <x v="2"/>
    <x v="1"/>
    <n v="0"/>
    <s v="Research &amp; Development"/>
    <n v="2"/>
    <x v="1"/>
    <n v="2"/>
    <x v="1"/>
    <x v="1"/>
    <x v="0"/>
    <n v="3761"/>
    <x v="0"/>
    <s v="No"/>
    <n v="12"/>
    <n v="3"/>
    <n v="2"/>
    <n v="10"/>
    <n v="2"/>
    <n v="5"/>
    <n v="4"/>
  </r>
  <r>
    <n v="53"/>
    <x v="0"/>
    <x v="1"/>
    <n v="0"/>
    <s v="Sales"/>
    <n v="1"/>
    <x v="0"/>
    <n v="2"/>
    <x v="2"/>
    <x v="0"/>
    <x v="0"/>
    <n v="10934"/>
    <x v="1"/>
    <s v="Yes"/>
    <n v="18"/>
    <n v="3"/>
    <n v="4"/>
    <n v="35"/>
    <n v="3"/>
    <n v="5"/>
    <n v="2"/>
  </r>
  <r>
    <n v="45"/>
    <x v="0"/>
    <x v="1"/>
    <n v="0"/>
    <s v="Sales"/>
    <n v="4"/>
    <x v="1"/>
    <n v="3"/>
    <x v="2"/>
    <x v="0"/>
    <x v="3"/>
    <n v="10761"/>
    <x v="1"/>
    <s v="Yes"/>
    <n v="12"/>
    <n v="3"/>
    <n v="3"/>
    <n v="18"/>
    <n v="3"/>
    <n v="5"/>
    <n v="4"/>
  </r>
  <r>
    <n v="32"/>
    <x v="1"/>
    <x v="1"/>
    <n v="0"/>
    <s v="Research &amp; Development"/>
    <n v="3"/>
    <x v="0"/>
    <n v="4"/>
    <x v="0"/>
    <x v="1"/>
    <x v="2"/>
    <n v="5175"/>
    <x v="0"/>
    <s v="No"/>
    <n v="12"/>
    <n v="3"/>
    <n v="3"/>
    <n v="9"/>
    <n v="2"/>
    <n v="5"/>
    <n v="3"/>
  </r>
  <r>
    <n v="52"/>
    <x v="0"/>
    <x v="1"/>
    <n v="0"/>
    <s v="Research &amp; Development"/>
    <n v="3"/>
    <x v="0"/>
    <n v="2"/>
    <x v="3"/>
    <x v="3"/>
    <x v="0"/>
    <n v="13826"/>
    <x v="1"/>
    <s v="No"/>
    <n v="22"/>
    <n v="4"/>
    <n v="3"/>
    <n v="31"/>
    <n v="3"/>
    <n v="9"/>
    <n v="8"/>
  </r>
  <r>
    <n v="37"/>
    <x v="1"/>
    <x v="1"/>
    <n v="0"/>
    <s v="Sales"/>
    <n v="4"/>
    <x v="1"/>
    <n v="2"/>
    <x v="0"/>
    <x v="0"/>
    <x v="2"/>
    <n v="6334"/>
    <x v="0"/>
    <s v="No"/>
    <n v="19"/>
    <n v="3"/>
    <n v="4"/>
    <n v="9"/>
    <n v="3"/>
    <n v="1"/>
    <n v="0"/>
  </r>
  <r>
    <n v="28"/>
    <x v="2"/>
    <x v="1"/>
    <n v="0"/>
    <s v="Human Resources"/>
    <n v="2"/>
    <x v="1"/>
    <n v="2"/>
    <x v="1"/>
    <x v="8"/>
    <x v="0"/>
    <n v="4936"/>
    <x v="0"/>
    <s v="No"/>
    <n v="13"/>
    <n v="3"/>
    <n v="4"/>
    <n v="6"/>
    <n v="3"/>
    <n v="5"/>
    <n v="1"/>
  </r>
  <r>
    <n v="22"/>
    <x v="2"/>
    <x v="1"/>
    <n v="0"/>
    <s v="Research &amp; Development"/>
    <n v="4"/>
    <x v="1"/>
    <n v="2"/>
    <x v="0"/>
    <x v="3"/>
    <x v="0"/>
    <n v="4775"/>
    <x v="0"/>
    <s v="No"/>
    <n v="22"/>
    <n v="4"/>
    <n v="1"/>
    <n v="4"/>
    <n v="1"/>
    <n v="2"/>
    <n v="2"/>
  </r>
  <r>
    <n v="44"/>
    <x v="0"/>
    <x v="1"/>
    <n v="0"/>
    <s v="Research &amp; Development"/>
    <n v="1"/>
    <x v="1"/>
    <n v="4"/>
    <x v="1"/>
    <x v="2"/>
    <x v="0"/>
    <n v="2818"/>
    <x v="0"/>
    <s v="Yes"/>
    <n v="24"/>
    <n v="4"/>
    <n v="3"/>
    <n v="10"/>
    <n v="2"/>
    <n v="3"/>
    <n v="2"/>
  </r>
  <r>
    <n v="42"/>
    <x v="0"/>
    <x v="1"/>
    <n v="0"/>
    <s v="Research &amp; Development"/>
    <n v="2"/>
    <x v="1"/>
    <n v="3"/>
    <x v="1"/>
    <x v="1"/>
    <x v="0"/>
    <n v="2515"/>
    <x v="0"/>
    <s v="Yes"/>
    <n v="14"/>
    <n v="3"/>
    <n v="4"/>
    <n v="8"/>
    <n v="3"/>
    <n v="2"/>
    <n v="1"/>
  </r>
  <r>
    <n v="36"/>
    <x v="1"/>
    <x v="1"/>
    <n v="0"/>
    <s v="Human Resources"/>
    <n v="1"/>
    <x v="1"/>
    <n v="2"/>
    <x v="1"/>
    <x v="8"/>
    <x v="3"/>
    <n v="2342"/>
    <x v="0"/>
    <s v="No"/>
    <n v="21"/>
    <n v="4"/>
    <n v="3"/>
    <n v="6"/>
    <n v="3"/>
    <n v="5"/>
    <n v="4"/>
  </r>
  <r>
    <n v="25"/>
    <x v="2"/>
    <x v="1"/>
    <n v="0"/>
    <s v="Sales"/>
    <n v="3"/>
    <x v="1"/>
    <n v="3"/>
    <x v="0"/>
    <x v="0"/>
    <x v="3"/>
    <n v="4194"/>
    <x v="0"/>
    <s v="Yes"/>
    <n v="18"/>
    <n v="3"/>
    <n v="4"/>
    <n v="5"/>
    <n v="3"/>
    <n v="5"/>
    <n v="3"/>
  </r>
  <r>
    <n v="35"/>
    <x v="1"/>
    <x v="1"/>
    <n v="0"/>
    <s v="Research &amp; Development"/>
    <n v="4"/>
    <x v="0"/>
    <n v="2"/>
    <x v="2"/>
    <x v="3"/>
    <x v="2"/>
    <n v="10685"/>
    <x v="1"/>
    <s v="Yes"/>
    <n v="20"/>
    <n v="4"/>
    <n v="2"/>
    <n v="17"/>
    <n v="3"/>
    <n v="17"/>
    <n v="14"/>
  </r>
  <r>
    <n v="35"/>
    <x v="1"/>
    <x v="0"/>
    <n v="1"/>
    <s v="Research &amp; Development"/>
    <n v="4"/>
    <x v="0"/>
    <n v="3"/>
    <x v="1"/>
    <x v="1"/>
    <x v="1"/>
    <n v="2022"/>
    <x v="0"/>
    <s v="Yes"/>
    <n v="19"/>
    <n v="3"/>
    <n v="1"/>
    <n v="10"/>
    <n v="2"/>
    <n v="10"/>
    <n v="2"/>
  </r>
  <r>
    <n v="32"/>
    <x v="1"/>
    <x v="1"/>
    <n v="0"/>
    <s v="Research &amp; Development"/>
    <n v="4"/>
    <x v="1"/>
    <n v="3"/>
    <x v="1"/>
    <x v="2"/>
    <x v="0"/>
    <n v="2314"/>
    <x v="0"/>
    <s v="No"/>
    <n v="12"/>
    <n v="3"/>
    <n v="2"/>
    <n v="4"/>
    <n v="3"/>
    <n v="3"/>
    <n v="0"/>
  </r>
  <r>
    <n v="25"/>
    <x v="2"/>
    <x v="1"/>
    <n v="0"/>
    <s v="Sales"/>
    <n v="3"/>
    <x v="1"/>
    <n v="2"/>
    <x v="0"/>
    <x v="0"/>
    <x v="3"/>
    <n v="4256"/>
    <x v="0"/>
    <s v="No"/>
    <n v="12"/>
    <n v="3"/>
    <n v="1"/>
    <n v="5"/>
    <n v="4"/>
    <n v="5"/>
    <n v="2"/>
  </r>
  <r>
    <n v="49"/>
    <x v="0"/>
    <x v="1"/>
    <n v="0"/>
    <s v="Research &amp; Development"/>
    <n v="3"/>
    <x v="0"/>
    <n v="3"/>
    <x v="1"/>
    <x v="1"/>
    <x v="3"/>
    <n v="3580"/>
    <x v="0"/>
    <s v="No"/>
    <n v="16"/>
    <n v="3"/>
    <n v="2"/>
    <n v="7"/>
    <n v="3"/>
    <n v="4"/>
    <n v="2"/>
  </r>
  <r>
    <n v="24"/>
    <x v="2"/>
    <x v="1"/>
    <n v="0"/>
    <s v="Research &amp; Development"/>
    <n v="1"/>
    <x v="1"/>
    <n v="2"/>
    <x v="1"/>
    <x v="2"/>
    <x v="0"/>
    <n v="3162"/>
    <x v="0"/>
    <s v="No"/>
    <n v="17"/>
    <n v="3"/>
    <n v="4"/>
    <n v="6"/>
    <n v="2"/>
    <n v="5"/>
    <n v="2"/>
  </r>
  <r>
    <n v="32"/>
    <x v="1"/>
    <x v="1"/>
    <n v="0"/>
    <s v="Sales"/>
    <n v="2"/>
    <x v="1"/>
    <n v="3"/>
    <x v="0"/>
    <x v="0"/>
    <x v="1"/>
    <n v="6524"/>
    <x v="0"/>
    <s v="No"/>
    <n v="14"/>
    <n v="3"/>
    <n v="4"/>
    <n v="10"/>
    <n v="3"/>
    <n v="10"/>
    <n v="8"/>
  </r>
  <r>
    <n v="38"/>
    <x v="1"/>
    <x v="1"/>
    <n v="0"/>
    <s v="Sales"/>
    <n v="2"/>
    <x v="1"/>
    <n v="2"/>
    <x v="1"/>
    <x v="6"/>
    <x v="1"/>
    <n v="2899"/>
    <x v="0"/>
    <s v="No"/>
    <n v="19"/>
    <n v="3"/>
    <n v="4"/>
    <n v="3"/>
    <n v="3"/>
    <n v="2"/>
    <n v="2"/>
  </r>
  <r>
    <n v="42"/>
    <x v="0"/>
    <x v="1"/>
    <n v="0"/>
    <s v="Research &amp; Development"/>
    <n v="3"/>
    <x v="0"/>
    <n v="4"/>
    <x v="0"/>
    <x v="2"/>
    <x v="0"/>
    <n v="5231"/>
    <x v="0"/>
    <s v="Yes"/>
    <n v="13"/>
    <n v="3"/>
    <n v="2"/>
    <n v="17"/>
    <n v="2"/>
    <n v="5"/>
    <n v="3"/>
  </r>
  <r>
    <n v="31"/>
    <x v="1"/>
    <x v="1"/>
    <n v="0"/>
    <s v="Research &amp; Development"/>
    <n v="4"/>
    <x v="1"/>
    <n v="3"/>
    <x v="1"/>
    <x v="1"/>
    <x v="0"/>
    <n v="2356"/>
    <x v="0"/>
    <s v="Yes"/>
    <n v="19"/>
    <n v="3"/>
    <n v="2"/>
    <n v="8"/>
    <n v="3"/>
    <n v="6"/>
    <n v="4"/>
  </r>
  <r>
    <n v="29"/>
    <x v="2"/>
    <x v="0"/>
    <n v="1"/>
    <s v="Sales"/>
    <n v="2"/>
    <x v="0"/>
    <n v="2"/>
    <x v="1"/>
    <x v="6"/>
    <x v="2"/>
    <n v="2800"/>
    <x v="0"/>
    <s v="Yes"/>
    <n v="19"/>
    <n v="3"/>
    <n v="3"/>
    <n v="5"/>
    <n v="3"/>
    <n v="3"/>
    <n v="2"/>
  </r>
  <r>
    <n v="53"/>
    <x v="0"/>
    <x v="1"/>
    <n v="0"/>
    <s v="Sales"/>
    <n v="1"/>
    <x v="1"/>
    <n v="3"/>
    <x v="3"/>
    <x v="0"/>
    <x v="0"/>
    <n v="11836"/>
    <x v="1"/>
    <s v="No"/>
    <n v="14"/>
    <n v="3"/>
    <n v="3"/>
    <n v="28"/>
    <n v="3"/>
    <n v="2"/>
    <n v="0"/>
  </r>
  <r>
    <n v="35"/>
    <x v="1"/>
    <x v="1"/>
    <n v="0"/>
    <s v="Research &amp; Development"/>
    <n v="4"/>
    <x v="1"/>
    <n v="2"/>
    <x v="2"/>
    <x v="3"/>
    <x v="1"/>
    <n v="10903"/>
    <x v="1"/>
    <s v="No"/>
    <n v="16"/>
    <n v="3"/>
    <n v="1"/>
    <n v="16"/>
    <n v="3"/>
    <n v="13"/>
    <n v="10"/>
  </r>
  <r>
    <n v="37"/>
    <x v="1"/>
    <x v="1"/>
    <n v="0"/>
    <s v="Sales"/>
    <n v="3"/>
    <x v="0"/>
    <n v="3"/>
    <x v="1"/>
    <x v="6"/>
    <x v="0"/>
    <n v="2973"/>
    <x v="0"/>
    <s v="No"/>
    <n v="15"/>
    <n v="3"/>
    <n v="2"/>
    <n v="10"/>
    <n v="3"/>
    <n v="5"/>
    <n v="4"/>
  </r>
  <r>
    <n v="53"/>
    <x v="0"/>
    <x v="1"/>
    <n v="0"/>
    <s v="Research &amp; Development"/>
    <n v="4"/>
    <x v="0"/>
    <n v="3"/>
    <x v="3"/>
    <x v="7"/>
    <x v="0"/>
    <n v="14275"/>
    <x v="1"/>
    <s v="No"/>
    <n v="18"/>
    <n v="3"/>
    <n v="3"/>
    <n v="33"/>
    <n v="3"/>
    <n v="12"/>
    <n v="9"/>
  </r>
  <r>
    <n v="43"/>
    <x v="0"/>
    <x v="1"/>
    <n v="0"/>
    <s v="Research &amp; Development"/>
    <n v="4"/>
    <x v="0"/>
    <n v="3"/>
    <x v="0"/>
    <x v="4"/>
    <x v="0"/>
    <n v="5562"/>
    <x v="0"/>
    <s v="No"/>
    <n v="13"/>
    <n v="3"/>
    <n v="2"/>
    <n v="12"/>
    <n v="2"/>
    <n v="5"/>
    <n v="2"/>
  </r>
  <r>
    <n v="47"/>
    <x v="0"/>
    <x v="1"/>
    <n v="0"/>
    <s v="Sales"/>
    <n v="3"/>
    <x v="0"/>
    <n v="3"/>
    <x v="0"/>
    <x v="0"/>
    <x v="0"/>
    <n v="4537"/>
    <x v="0"/>
    <s v="Yes"/>
    <n v="22"/>
    <n v="4"/>
    <n v="1"/>
    <n v="8"/>
    <n v="3"/>
    <n v="7"/>
    <n v="6"/>
  </r>
  <r>
    <n v="37"/>
    <x v="1"/>
    <x v="1"/>
    <n v="0"/>
    <s v="Sales"/>
    <n v="1"/>
    <x v="1"/>
    <n v="3"/>
    <x v="2"/>
    <x v="0"/>
    <x v="1"/>
    <n v="7642"/>
    <x v="1"/>
    <s v="Yes"/>
    <n v="13"/>
    <n v="3"/>
    <n v="4"/>
    <n v="10"/>
    <n v="3"/>
    <n v="10"/>
    <n v="0"/>
  </r>
  <r>
    <n v="50"/>
    <x v="0"/>
    <x v="1"/>
    <n v="0"/>
    <s v="Research &amp; Development"/>
    <n v="1"/>
    <x v="1"/>
    <n v="3"/>
    <x v="3"/>
    <x v="5"/>
    <x v="3"/>
    <n v="17924"/>
    <x v="2"/>
    <s v="No"/>
    <n v="11"/>
    <n v="3"/>
    <n v="4"/>
    <n v="31"/>
    <n v="3"/>
    <n v="31"/>
    <n v="6"/>
  </r>
  <r>
    <n v="39"/>
    <x v="1"/>
    <x v="1"/>
    <n v="0"/>
    <s v="Human Resources"/>
    <n v="4"/>
    <x v="0"/>
    <n v="2"/>
    <x v="0"/>
    <x v="8"/>
    <x v="0"/>
    <n v="5204"/>
    <x v="0"/>
    <s v="No"/>
    <n v="11"/>
    <n v="3"/>
    <n v="3"/>
    <n v="13"/>
    <n v="3"/>
    <n v="5"/>
    <n v="4"/>
  </r>
  <r>
    <n v="33"/>
    <x v="1"/>
    <x v="1"/>
    <n v="0"/>
    <s v="Human Resources"/>
    <n v="4"/>
    <x v="1"/>
    <n v="3"/>
    <x v="1"/>
    <x v="8"/>
    <x v="1"/>
    <n v="2277"/>
    <x v="0"/>
    <s v="Yes"/>
    <n v="11"/>
    <n v="3"/>
    <n v="3"/>
    <n v="7"/>
    <n v="4"/>
    <n v="4"/>
    <n v="3"/>
  </r>
  <r>
    <n v="32"/>
    <x v="1"/>
    <x v="0"/>
    <n v="1"/>
    <s v="Research &amp; Development"/>
    <n v="1"/>
    <x v="1"/>
    <n v="3"/>
    <x v="1"/>
    <x v="2"/>
    <x v="0"/>
    <n v="2795"/>
    <x v="0"/>
    <s v="Yes"/>
    <n v="24"/>
    <n v="4"/>
    <n v="3"/>
    <n v="1"/>
    <n v="1"/>
    <n v="1"/>
    <n v="0"/>
  </r>
  <r>
    <n v="29"/>
    <x v="2"/>
    <x v="1"/>
    <n v="0"/>
    <s v="Research &amp; Development"/>
    <n v="1"/>
    <x v="0"/>
    <n v="2"/>
    <x v="1"/>
    <x v="2"/>
    <x v="0"/>
    <n v="2532"/>
    <x v="0"/>
    <s v="No"/>
    <n v="14"/>
    <n v="3"/>
    <n v="3"/>
    <n v="8"/>
    <n v="3"/>
    <n v="4"/>
    <n v="3"/>
  </r>
  <r>
    <n v="44"/>
    <x v="0"/>
    <x v="1"/>
    <n v="0"/>
    <s v="Research &amp; Development"/>
    <n v="2"/>
    <x v="1"/>
    <n v="3"/>
    <x v="1"/>
    <x v="1"/>
    <x v="3"/>
    <n v="2559"/>
    <x v="0"/>
    <s v="Yes"/>
    <n v="13"/>
    <n v="3"/>
    <n v="4"/>
    <n v="8"/>
    <n v="3"/>
    <n v="8"/>
    <n v="7"/>
  </r>
  <r>
    <n v="28"/>
    <x v="2"/>
    <x v="1"/>
    <n v="0"/>
    <s v="Sales"/>
    <n v="1"/>
    <x v="1"/>
    <n v="3"/>
    <x v="0"/>
    <x v="0"/>
    <x v="0"/>
    <n v="4908"/>
    <x v="0"/>
    <s v="No"/>
    <n v="14"/>
    <n v="3"/>
    <n v="2"/>
    <n v="4"/>
    <n v="3"/>
    <n v="4"/>
    <n v="2"/>
  </r>
  <r>
    <n v="58"/>
    <x v="0"/>
    <x v="0"/>
    <n v="1"/>
    <s v="Research &amp; Development"/>
    <n v="4"/>
    <x v="1"/>
    <n v="2"/>
    <x v="1"/>
    <x v="2"/>
    <x v="0"/>
    <n v="2380"/>
    <x v="0"/>
    <s v="Yes"/>
    <n v="14"/>
    <n v="3"/>
    <n v="4"/>
    <n v="3"/>
    <n v="2"/>
    <n v="1"/>
    <n v="0"/>
  </r>
  <r>
    <n v="43"/>
    <x v="0"/>
    <x v="1"/>
    <n v="0"/>
    <s v="Research &amp; Development"/>
    <n v="1"/>
    <x v="0"/>
    <n v="3"/>
    <x v="0"/>
    <x v="3"/>
    <x v="1"/>
    <n v="4765"/>
    <x v="0"/>
    <s v="No"/>
    <n v="21"/>
    <n v="4"/>
    <n v="3"/>
    <n v="4"/>
    <n v="4"/>
    <n v="1"/>
    <n v="0"/>
  </r>
  <r>
    <n v="20"/>
    <x v="2"/>
    <x v="0"/>
    <n v="1"/>
    <s v="Sales"/>
    <n v="3"/>
    <x v="0"/>
    <n v="2"/>
    <x v="1"/>
    <x v="6"/>
    <x v="2"/>
    <n v="2044"/>
    <x v="0"/>
    <s v="No"/>
    <n v="13"/>
    <n v="3"/>
    <n v="4"/>
    <n v="2"/>
    <n v="2"/>
    <n v="2"/>
    <n v="2"/>
  </r>
  <r>
    <n v="21"/>
    <x v="2"/>
    <x v="0"/>
    <n v="1"/>
    <s v="Research &amp; Development"/>
    <n v="4"/>
    <x v="0"/>
    <n v="3"/>
    <x v="1"/>
    <x v="1"/>
    <x v="0"/>
    <n v="2693"/>
    <x v="0"/>
    <s v="No"/>
    <n v="19"/>
    <n v="3"/>
    <n v="1"/>
    <n v="1"/>
    <n v="2"/>
    <n v="1"/>
    <n v="0"/>
  </r>
  <r>
    <n v="36"/>
    <x v="1"/>
    <x v="1"/>
    <n v="0"/>
    <s v="Research &amp; Development"/>
    <n v="3"/>
    <x v="1"/>
    <n v="3"/>
    <x v="0"/>
    <x v="4"/>
    <x v="0"/>
    <n v="6586"/>
    <x v="0"/>
    <s v="Yes"/>
    <n v="17"/>
    <n v="3"/>
    <n v="1"/>
    <n v="17"/>
    <n v="2"/>
    <n v="16"/>
    <n v="8"/>
  </r>
  <r>
    <n v="47"/>
    <x v="0"/>
    <x v="1"/>
    <n v="0"/>
    <s v="Sales"/>
    <n v="4"/>
    <x v="0"/>
    <n v="2"/>
    <x v="1"/>
    <x v="6"/>
    <x v="0"/>
    <n v="3294"/>
    <x v="0"/>
    <s v="Yes"/>
    <n v="18"/>
    <n v="3"/>
    <n v="1"/>
    <n v="3"/>
    <n v="2"/>
    <n v="3"/>
    <n v="2"/>
  </r>
  <r>
    <n v="22"/>
    <x v="2"/>
    <x v="0"/>
    <n v="1"/>
    <s v="Research &amp; Development"/>
    <n v="2"/>
    <x v="0"/>
    <n v="3"/>
    <x v="0"/>
    <x v="3"/>
    <x v="2"/>
    <n v="4171"/>
    <x v="0"/>
    <s v="Yes"/>
    <n v="19"/>
    <n v="3"/>
    <n v="1"/>
    <n v="4"/>
    <n v="4"/>
    <n v="3"/>
    <n v="2"/>
  </r>
  <r>
    <n v="41"/>
    <x v="0"/>
    <x v="0"/>
    <n v="1"/>
    <s v="Research &amp; Development"/>
    <n v="2"/>
    <x v="0"/>
    <n v="1"/>
    <x v="1"/>
    <x v="2"/>
    <x v="0"/>
    <n v="2778"/>
    <x v="0"/>
    <s v="Yes"/>
    <n v="13"/>
    <n v="3"/>
    <n v="3"/>
    <n v="10"/>
    <n v="2"/>
    <n v="7"/>
    <n v="7"/>
  </r>
  <r>
    <n v="28"/>
    <x v="2"/>
    <x v="1"/>
    <n v="0"/>
    <s v="Research &amp; Development"/>
    <n v="3"/>
    <x v="0"/>
    <n v="3"/>
    <x v="1"/>
    <x v="1"/>
    <x v="2"/>
    <n v="2377"/>
    <x v="0"/>
    <s v="No"/>
    <n v="18"/>
    <n v="3"/>
    <n v="2"/>
    <n v="6"/>
    <n v="3"/>
    <n v="2"/>
    <n v="2"/>
  </r>
  <r>
    <n v="39"/>
    <x v="1"/>
    <x v="0"/>
    <n v="1"/>
    <s v="Research &amp; Development"/>
    <n v="4"/>
    <x v="1"/>
    <n v="3"/>
    <x v="1"/>
    <x v="2"/>
    <x v="3"/>
    <n v="2404"/>
    <x v="0"/>
    <s v="Yes"/>
    <n v="21"/>
    <n v="4"/>
    <n v="4"/>
    <n v="8"/>
    <n v="1"/>
    <n v="2"/>
    <n v="2"/>
  </r>
  <r>
    <n v="27"/>
    <x v="2"/>
    <x v="1"/>
    <n v="0"/>
    <s v="Research &amp; Development"/>
    <n v="2"/>
    <x v="0"/>
    <n v="3"/>
    <x v="1"/>
    <x v="1"/>
    <x v="2"/>
    <n v="2318"/>
    <x v="0"/>
    <s v="No"/>
    <n v="19"/>
    <n v="3"/>
    <n v="3"/>
    <n v="1"/>
    <n v="3"/>
    <n v="1"/>
    <n v="1"/>
  </r>
  <r>
    <n v="34"/>
    <x v="1"/>
    <x v="1"/>
    <n v="0"/>
    <s v="Research &amp; Development"/>
    <n v="2"/>
    <x v="1"/>
    <n v="3"/>
    <x v="1"/>
    <x v="2"/>
    <x v="1"/>
    <n v="2008"/>
    <x v="0"/>
    <s v="No"/>
    <n v="14"/>
    <n v="3"/>
    <n v="2"/>
    <n v="1"/>
    <n v="3"/>
    <n v="1"/>
    <n v="0"/>
  </r>
  <r>
    <n v="42"/>
    <x v="0"/>
    <x v="1"/>
    <n v="0"/>
    <s v="Sales"/>
    <n v="3"/>
    <x v="0"/>
    <n v="2"/>
    <x v="0"/>
    <x v="0"/>
    <x v="2"/>
    <n v="6244"/>
    <x v="0"/>
    <s v="No"/>
    <n v="17"/>
    <n v="3"/>
    <n v="1"/>
    <n v="10"/>
    <n v="3"/>
    <n v="5"/>
    <n v="4"/>
  </r>
  <r>
    <n v="33"/>
    <x v="1"/>
    <x v="1"/>
    <n v="0"/>
    <s v="Research &amp; Development"/>
    <n v="3"/>
    <x v="1"/>
    <n v="2"/>
    <x v="1"/>
    <x v="1"/>
    <x v="3"/>
    <n v="2799"/>
    <x v="0"/>
    <s v="Yes"/>
    <n v="11"/>
    <n v="3"/>
    <n v="2"/>
    <n v="6"/>
    <n v="3"/>
    <n v="3"/>
    <n v="2"/>
  </r>
  <r>
    <n v="58"/>
    <x v="0"/>
    <x v="1"/>
    <n v="0"/>
    <s v="Research &amp; Development"/>
    <n v="3"/>
    <x v="0"/>
    <n v="2"/>
    <x v="2"/>
    <x v="4"/>
    <x v="1"/>
    <n v="10552"/>
    <x v="1"/>
    <s v="Yes"/>
    <n v="13"/>
    <n v="3"/>
    <n v="4"/>
    <n v="24"/>
    <n v="3"/>
    <n v="6"/>
    <n v="0"/>
  </r>
  <r>
    <n v="31"/>
    <x v="1"/>
    <x v="1"/>
    <n v="0"/>
    <s v="Sales"/>
    <n v="2"/>
    <x v="1"/>
    <n v="2"/>
    <x v="1"/>
    <x v="6"/>
    <x v="2"/>
    <n v="2329"/>
    <x v="0"/>
    <s v="No"/>
    <n v="15"/>
    <n v="3"/>
    <n v="2"/>
    <n v="13"/>
    <n v="4"/>
    <n v="7"/>
    <n v="7"/>
  </r>
  <r>
    <n v="35"/>
    <x v="1"/>
    <x v="1"/>
    <n v="0"/>
    <s v="Research &amp; Development"/>
    <n v="4"/>
    <x v="0"/>
    <n v="3"/>
    <x v="0"/>
    <x v="4"/>
    <x v="0"/>
    <n v="4014"/>
    <x v="0"/>
    <s v="Yes"/>
    <n v="25"/>
    <n v="4"/>
    <n v="4"/>
    <n v="10"/>
    <n v="1"/>
    <n v="10"/>
    <n v="6"/>
  </r>
  <r>
    <n v="49"/>
    <x v="0"/>
    <x v="1"/>
    <n v="0"/>
    <s v="Research &amp; Development"/>
    <n v="1"/>
    <x v="0"/>
    <n v="3"/>
    <x v="2"/>
    <x v="2"/>
    <x v="1"/>
    <n v="7403"/>
    <x v="1"/>
    <s v="No"/>
    <n v="11"/>
    <n v="3"/>
    <n v="3"/>
    <n v="29"/>
    <n v="2"/>
    <n v="26"/>
    <n v="9"/>
  </r>
  <r>
    <n v="48"/>
    <x v="0"/>
    <x v="1"/>
    <n v="0"/>
    <s v="Research &amp; Development"/>
    <n v="4"/>
    <x v="1"/>
    <n v="3"/>
    <x v="1"/>
    <x v="1"/>
    <x v="2"/>
    <n v="2259"/>
    <x v="0"/>
    <s v="No"/>
    <n v="17"/>
    <n v="3"/>
    <n v="1"/>
    <n v="13"/>
    <n v="2"/>
    <n v="0"/>
    <n v="0"/>
  </r>
  <r>
    <n v="31"/>
    <x v="1"/>
    <x v="1"/>
    <n v="0"/>
    <s v="Sales"/>
    <n v="4"/>
    <x v="0"/>
    <n v="3"/>
    <x v="0"/>
    <x v="0"/>
    <x v="2"/>
    <n v="6932"/>
    <x v="0"/>
    <s v="No"/>
    <n v="13"/>
    <n v="3"/>
    <n v="4"/>
    <n v="9"/>
    <n v="2"/>
    <n v="9"/>
    <n v="8"/>
  </r>
  <r>
    <n v="36"/>
    <x v="1"/>
    <x v="1"/>
    <n v="0"/>
    <s v="Research &amp; Development"/>
    <n v="2"/>
    <x v="1"/>
    <n v="3"/>
    <x v="1"/>
    <x v="1"/>
    <x v="0"/>
    <n v="4678"/>
    <x v="0"/>
    <s v="No"/>
    <n v="18"/>
    <n v="3"/>
    <n v="3"/>
    <n v="8"/>
    <n v="3"/>
    <n v="6"/>
    <n v="2"/>
  </r>
  <r>
    <n v="38"/>
    <x v="1"/>
    <x v="1"/>
    <n v="0"/>
    <s v="Research &amp; Development"/>
    <n v="4"/>
    <x v="0"/>
    <n v="3"/>
    <x v="2"/>
    <x v="7"/>
    <x v="3"/>
    <n v="13582"/>
    <x v="1"/>
    <s v="No"/>
    <n v="13"/>
    <n v="3"/>
    <n v="2"/>
    <n v="15"/>
    <n v="3"/>
    <n v="15"/>
    <n v="12"/>
  </r>
  <r>
    <n v="32"/>
    <x v="1"/>
    <x v="1"/>
    <n v="0"/>
    <s v="Research &amp; Development"/>
    <n v="3"/>
    <x v="0"/>
    <n v="2"/>
    <x v="1"/>
    <x v="2"/>
    <x v="1"/>
    <n v="2332"/>
    <x v="0"/>
    <s v="No"/>
    <n v="20"/>
    <n v="4"/>
    <n v="3"/>
    <n v="5"/>
    <n v="3"/>
    <n v="3"/>
    <n v="0"/>
  </r>
  <r>
    <n v="25"/>
    <x v="2"/>
    <x v="0"/>
    <n v="1"/>
    <s v="Sales"/>
    <n v="3"/>
    <x v="1"/>
    <n v="2"/>
    <x v="1"/>
    <x v="6"/>
    <x v="1"/>
    <n v="2413"/>
    <x v="0"/>
    <s v="Yes"/>
    <n v="18"/>
    <n v="3"/>
    <n v="3"/>
    <n v="1"/>
    <n v="3"/>
    <n v="1"/>
    <n v="0"/>
  </r>
  <r>
    <n v="40"/>
    <x v="1"/>
    <x v="1"/>
    <n v="0"/>
    <s v="Sales"/>
    <n v="1"/>
    <x v="1"/>
    <n v="2"/>
    <x v="2"/>
    <x v="0"/>
    <x v="1"/>
    <n v="9705"/>
    <x v="1"/>
    <s v="No"/>
    <n v="12"/>
    <n v="3"/>
    <n v="2"/>
    <n v="11"/>
    <n v="2"/>
    <n v="1"/>
    <n v="0"/>
  </r>
  <r>
    <n v="26"/>
    <x v="2"/>
    <x v="1"/>
    <n v="0"/>
    <s v="Sales"/>
    <n v="3"/>
    <x v="1"/>
    <n v="2"/>
    <x v="0"/>
    <x v="0"/>
    <x v="3"/>
    <n v="4294"/>
    <x v="0"/>
    <s v="No"/>
    <n v="12"/>
    <n v="3"/>
    <n v="2"/>
    <n v="7"/>
    <n v="3"/>
    <n v="7"/>
    <n v="7"/>
  </r>
  <r>
    <n v="41"/>
    <x v="0"/>
    <x v="1"/>
    <n v="0"/>
    <s v="Research &amp; Development"/>
    <n v="4"/>
    <x v="1"/>
    <n v="3"/>
    <x v="1"/>
    <x v="2"/>
    <x v="3"/>
    <n v="4721"/>
    <x v="0"/>
    <s v="Yes"/>
    <n v="13"/>
    <n v="3"/>
    <n v="3"/>
    <n v="20"/>
    <n v="3"/>
    <n v="18"/>
    <n v="13"/>
  </r>
  <r>
    <n v="36"/>
    <x v="1"/>
    <x v="1"/>
    <n v="0"/>
    <s v="Research &amp; Development"/>
    <n v="3"/>
    <x v="1"/>
    <n v="3"/>
    <x v="1"/>
    <x v="2"/>
    <x v="2"/>
    <n v="2519"/>
    <x v="0"/>
    <s v="No"/>
    <n v="21"/>
    <n v="4"/>
    <n v="3"/>
    <n v="16"/>
    <n v="3"/>
    <n v="11"/>
    <n v="8"/>
  </r>
  <r>
    <n v="19"/>
    <x v="2"/>
    <x v="0"/>
    <n v="1"/>
    <s v="Sales"/>
    <n v="4"/>
    <x v="1"/>
    <n v="2"/>
    <x v="1"/>
    <x v="6"/>
    <x v="1"/>
    <n v="2121"/>
    <x v="0"/>
    <s v="Yes"/>
    <n v="13"/>
    <n v="3"/>
    <n v="2"/>
    <n v="1"/>
    <n v="4"/>
    <n v="1"/>
    <n v="0"/>
  </r>
  <r>
    <n v="20"/>
    <x v="2"/>
    <x v="0"/>
    <n v="1"/>
    <s v="Research &amp; Development"/>
    <n v="1"/>
    <x v="1"/>
    <n v="3"/>
    <x v="1"/>
    <x v="2"/>
    <x v="3"/>
    <n v="2973"/>
    <x v="0"/>
    <s v="No"/>
    <n v="19"/>
    <n v="3"/>
    <n v="2"/>
    <n v="1"/>
    <n v="3"/>
    <n v="1"/>
    <n v="0"/>
  </r>
  <r>
    <n v="31"/>
    <x v="1"/>
    <x v="1"/>
    <n v="0"/>
    <s v="Research &amp; Development"/>
    <n v="4"/>
    <x v="0"/>
    <n v="3"/>
    <x v="0"/>
    <x v="4"/>
    <x v="0"/>
    <n v="5855"/>
    <x v="0"/>
    <s v="Yes"/>
    <n v="11"/>
    <n v="3"/>
    <n v="3"/>
    <n v="10"/>
    <n v="1"/>
    <n v="9"/>
    <n v="7"/>
  </r>
  <r>
    <n v="40"/>
    <x v="1"/>
    <x v="1"/>
    <n v="0"/>
    <s v="Research &amp; Development"/>
    <n v="4"/>
    <x v="1"/>
    <n v="3"/>
    <x v="1"/>
    <x v="1"/>
    <x v="1"/>
    <n v="3617"/>
    <x v="0"/>
    <s v="Yes"/>
    <n v="14"/>
    <n v="3"/>
    <n v="4"/>
    <n v="3"/>
    <n v="3"/>
    <n v="1"/>
    <n v="1"/>
  </r>
  <r>
    <n v="32"/>
    <x v="1"/>
    <x v="1"/>
    <n v="0"/>
    <s v="Research &amp; Development"/>
    <n v="3"/>
    <x v="0"/>
    <n v="3"/>
    <x v="0"/>
    <x v="3"/>
    <x v="3"/>
    <n v="6725"/>
    <x v="0"/>
    <s v="No"/>
    <n v="12"/>
    <n v="3"/>
    <n v="3"/>
    <n v="8"/>
    <n v="4"/>
    <n v="8"/>
    <n v="7"/>
  </r>
  <r>
    <n v="36"/>
    <x v="1"/>
    <x v="0"/>
    <n v="1"/>
    <s v="Sales"/>
    <n v="3"/>
    <x v="1"/>
    <n v="2"/>
    <x v="2"/>
    <x v="0"/>
    <x v="0"/>
    <n v="10325"/>
    <x v="1"/>
    <s v="Yes"/>
    <n v="11"/>
    <n v="3"/>
    <n v="1"/>
    <n v="16"/>
    <n v="3"/>
    <n v="16"/>
    <n v="7"/>
  </r>
  <r>
    <n v="33"/>
    <x v="1"/>
    <x v="1"/>
    <n v="0"/>
    <s v="Research &amp; Development"/>
    <n v="2"/>
    <x v="0"/>
    <n v="2"/>
    <x v="0"/>
    <x v="4"/>
    <x v="0"/>
    <n v="6949"/>
    <x v="0"/>
    <s v="No"/>
    <n v="14"/>
    <n v="3"/>
    <n v="1"/>
    <n v="6"/>
    <n v="3"/>
    <n v="5"/>
    <n v="0"/>
  </r>
  <r>
    <n v="37"/>
    <x v="1"/>
    <x v="0"/>
    <n v="1"/>
    <s v="Sales"/>
    <n v="1"/>
    <x v="1"/>
    <n v="2"/>
    <x v="2"/>
    <x v="0"/>
    <x v="2"/>
    <n v="10609"/>
    <x v="1"/>
    <s v="No"/>
    <n v="11"/>
    <n v="3"/>
    <n v="3"/>
    <n v="17"/>
    <n v="1"/>
    <n v="14"/>
    <n v="1"/>
  </r>
  <r>
    <n v="45"/>
    <x v="0"/>
    <x v="1"/>
    <n v="0"/>
    <s v="Research &amp; Development"/>
    <n v="3"/>
    <x v="1"/>
    <n v="3"/>
    <x v="0"/>
    <x v="2"/>
    <x v="1"/>
    <n v="4447"/>
    <x v="0"/>
    <s v="No"/>
    <n v="12"/>
    <n v="3"/>
    <n v="2"/>
    <n v="9"/>
    <n v="2"/>
    <n v="9"/>
    <n v="7"/>
  </r>
  <r>
    <n v="29"/>
    <x v="2"/>
    <x v="1"/>
    <n v="0"/>
    <s v="Sales"/>
    <n v="3"/>
    <x v="0"/>
    <n v="3"/>
    <x v="1"/>
    <x v="6"/>
    <x v="0"/>
    <n v="2157"/>
    <x v="0"/>
    <s v="No"/>
    <n v="15"/>
    <n v="3"/>
    <n v="2"/>
    <n v="3"/>
    <n v="3"/>
    <n v="3"/>
    <n v="1"/>
  </r>
  <r>
    <n v="35"/>
    <x v="1"/>
    <x v="1"/>
    <n v="0"/>
    <s v="Sales"/>
    <n v="3"/>
    <x v="0"/>
    <n v="3"/>
    <x v="0"/>
    <x v="0"/>
    <x v="2"/>
    <n v="4601"/>
    <x v="0"/>
    <s v="No"/>
    <n v="16"/>
    <n v="3"/>
    <n v="2"/>
    <n v="5"/>
    <n v="3"/>
    <n v="5"/>
    <n v="2"/>
  </r>
  <r>
    <n v="52"/>
    <x v="0"/>
    <x v="1"/>
    <n v="0"/>
    <s v="Research &amp; Development"/>
    <n v="4"/>
    <x v="1"/>
    <n v="3"/>
    <x v="3"/>
    <x v="5"/>
    <x v="0"/>
    <n v="17099"/>
    <x v="2"/>
    <s v="No"/>
    <n v="15"/>
    <n v="3"/>
    <n v="2"/>
    <n v="26"/>
    <n v="2"/>
    <n v="9"/>
    <n v="8"/>
  </r>
  <r>
    <n v="58"/>
    <x v="0"/>
    <x v="0"/>
    <n v="1"/>
    <s v="Research &amp; Development"/>
    <n v="4"/>
    <x v="1"/>
    <n v="3"/>
    <x v="1"/>
    <x v="1"/>
    <x v="2"/>
    <n v="2479"/>
    <x v="0"/>
    <s v="No"/>
    <n v="24"/>
    <n v="4"/>
    <n v="1"/>
    <n v="7"/>
    <n v="3"/>
    <n v="1"/>
    <n v="0"/>
  </r>
  <r>
    <n v="53"/>
    <x v="0"/>
    <x v="1"/>
    <n v="0"/>
    <s v="Sales"/>
    <n v="3"/>
    <x v="1"/>
    <n v="3"/>
    <x v="3"/>
    <x v="5"/>
    <x v="2"/>
    <n v="14852"/>
    <x v="1"/>
    <s v="No"/>
    <n v="13"/>
    <n v="3"/>
    <n v="3"/>
    <n v="22"/>
    <n v="4"/>
    <n v="17"/>
    <n v="13"/>
  </r>
  <r>
    <n v="30"/>
    <x v="2"/>
    <x v="1"/>
    <n v="0"/>
    <s v="Sales"/>
    <n v="3"/>
    <x v="1"/>
    <n v="3"/>
    <x v="2"/>
    <x v="0"/>
    <x v="2"/>
    <n v="7264"/>
    <x v="1"/>
    <s v="No"/>
    <n v="11"/>
    <n v="3"/>
    <n v="1"/>
    <n v="10"/>
    <n v="4"/>
    <n v="8"/>
    <n v="4"/>
  </r>
  <r>
    <n v="38"/>
    <x v="1"/>
    <x v="1"/>
    <n v="0"/>
    <s v="Sales"/>
    <n v="3"/>
    <x v="0"/>
    <n v="3"/>
    <x v="0"/>
    <x v="0"/>
    <x v="0"/>
    <n v="5666"/>
    <x v="0"/>
    <s v="Yes"/>
    <n v="13"/>
    <n v="3"/>
    <n v="2"/>
    <n v="6"/>
    <n v="3"/>
    <n v="5"/>
    <n v="3"/>
  </r>
  <r>
    <n v="35"/>
    <x v="1"/>
    <x v="1"/>
    <n v="0"/>
    <s v="Sales"/>
    <n v="4"/>
    <x v="1"/>
    <n v="3"/>
    <x v="2"/>
    <x v="0"/>
    <x v="0"/>
    <n v="7823"/>
    <x v="1"/>
    <s v="No"/>
    <n v="13"/>
    <n v="3"/>
    <n v="2"/>
    <n v="12"/>
    <n v="3"/>
    <n v="10"/>
    <n v="9"/>
  </r>
  <r>
    <n v="39"/>
    <x v="1"/>
    <x v="1"/>
    <n v="0"/>
    <s v="Sales"/>
    <n v="1"/>
    <x v="1"/>
    <n v="4"/>
    <x v="2"/>
    <x v="0"/>
    <x v="2"/>
    <n v="7880"/>
    <x v="1"/>
    <s v="No"/>
    <n v="18"/>
    <n v="3"/>
    <n v="4"/>
    <n v="9"/>
    <n v="3"/>
    <n v="8"/>
    <n v="7"/>
  </r>
  <r>
    <n v="40"/>
    <x v="1"/>
    <x v="0"/>
    <n v="1"/>
    <s v="Sales"/>
    <n v="2"/>
    <x v="0"/>
    <n v="4"/>
    <x v="3"/>
    <x v="0"/>
    <x v="1"/>
    <n v="13194"/>
    <x v="1"/>
    <s v="Yes"/>
    <n v="16"/>
    <n v="3"/>
    <n v="4"/>
    <n v="22"/>
    <n v="2"/>
    <n v="1"/>
    <n v="0"/>
  </r>
  <r>
    <n v="47"/>
    <x v="0"/>
    <x v="1"/>
    <n v="0"/>
    <s v="Research &amp; Development"/>
    <n v="3"/>
    <x v="1"/>
    <n v="4"/>
    <x v="0"/>
    <x v="3"/>
    <x v="2"/>
    <n v="5067"/>
    <x v="0"/>
    <s v="Yes"/>
    <n v="19"/>
    <n v="3"/>
    <n v="3"/>
    <n v="20"/>
    <n v="4"/>
    <n v="19"/>
    <n v="10"/>
  </r>
  <r>
    <n v="36"/>
    <x v="1"/>
    <x v="1"/>
    <n v="0"/>
    <s v="Sales"/>
    <n v="1"/>
    <x v="1"/>
    <n v="3"/>
    <x v="0"/>
    <x v="0"/>
    <x v="0"/>
    <n v="5079"/>
    <x v="0"/>
    <s v="No"/>
    <n v="13"/>
    <n v="3"/>
    <n v="4"/>
    <n v="12"/>
    <n v="3"/>
    <n v="7"/>
    <n v="7"/>
  </r>
  <r>
    <n v="31"/>
    <x v="1"/>
    <x v="0"/>
    <n v="1"/>
    <s v="Research &amp; Development"/>
    <n v="3"/>
    <x v="1"/>
    <n v="2"/>
    <x v="1"/>
    <x v="1"/>
    <x v="3"/>
    <n v="2321"/>
    <x v="0"/>
    <s v="Yes"/>
    <n v="22"/>
    <n v="4"/>
    <n v="1"/>
    <n v="4"/>
    <n v="3"/>
    <n v="3"/>
    <n v="2"/>
  </r>
  <r>
    <n v="33"/>
    <x v="1"/>
    <x v="1"/>
    <n v="0"/>
    <s v="Sales"/>
    <n v="4"/>
    <x v="1"/>
    <n v="3"/>
    <x v="3"/>
    <x v="5"/>
    <x v="2"/>
    <n v="17444"/>
    <x v="2"/>
    <s v="No"/>
    <n v="11"/>
    <n v="3"/>
    <n v="4"/>
    <n v="10"/>
    <n v="3"/>
    <n v="10"/>
    <n v="8"/>
  </r>
  <r>
    <n v="29"/>
    <x v="2"/>
    <x v="0"/>
    <n v="1"/>
    <s v="Research &amp; Development"/>
    <n v="4"/>
    <x v="0"/>
    <n v="2"/>
    <x v="1"/>
    <x v="1"/>
    <x v="3"/>
    <n v="2404"/>
    <x v="0"/>
    <s v="Yes"/>
    <n v="20"/>
    <n v="4"/>
    <n v="3"/>
    <n v="3"/>
    <n v="3"/>
    <n v="0"/>
    <n v="0"/>
  </r>
  <r>
    <n v="33"/>
    <x v="1"/>
    <x v="1"/>
    <n v="0"/>
    <s v="Research &amp; Development"/>
    <n v="2"/>
    <x v="0"/>
    <n v="3"/>
    <x v="1"/>
    <x v="1"/>
    <x v="0"/>
    <n v="3452"/>
    <x v="0"/>
    <s v="No"/>
    <n v="18"/>
    <n v="3"/>
    <n v="1"/>
    <n v="5"/>
    <n v="3"/>
    <n v="3"/>
    <n v="2"/>
  </r>
  <r>
    <n v="45"/>
    <x v="0"/>
    <x v="1"/>
    <n v="0"/>
    <s v="Research &amp; Development"/>
    <n v="4"/>
    <x v="0"/>
    <n v="3"/>
    <x v="1"/>
    <x v="2"/>
    <x v="0"/>
    <n v="2270"/>
    <x v="0"/>
    <s v="No"/>
    <n v="14"/>
    <n v="3"/>
    <n v="4"/>
    <n v="8"/>
    <n v="3"/>
    <n v="5"/>
    <n v="3"/>
  </r>
  <r>
    <n v="50"/>
    <x v="0"/>
    <x v="1"/>
    <n v="0"/>
    <s v="Research &amp; Development"/>
    <n v="4"/>
    <x v="1"/>
    <n v="3"/>
    <x v="3"/>
    <x v="7"/>
    <x v="0"/>
    <n v="17399"/>
    <x v="2"/>
    <s v="No"/>
    <n v="22"/>
    <n v="4"/>
    <n v="3"/>
    <n v="32"/>
    <n v="2"/>
    <n v="5"/>
    <n v="4"/>
  </r>
  <r>
    <n v="33"/>
    <x v="1"/>
    <x v="1"/>
    <n v="0"/>
    <s v="Research &amp; Development"/>
    <n v="3"/>
    <x v="0"/>
    <n v="4"/>
    <x v="0"/>
    <x v="4"/>
    <x v="1"/>
    <n v="5488"/>
    <x v="0"/>
    <s v="Yes"/>
    <n v="13"/>
    <n v="3"/>
    <n v="1"/>
    <n v="6"/>
    <n v="3"/>
    <n v="6"/>
    <n v="5"/>
  </r>
  <r>
    <n v="41"/>
    <x v="0"/>
    <x v="1"/>
    <n v="0"/>
    <s v="Research &amp; Development"/>
    <n v="1"/>
    <x v="1"/>
    <n v="3"/>
    <x v="4"/>
    <x v="7"/>
    <x v="2"/>
    <n v="19419"/>
    <x v="2"/>
    <s v="No"/>
    <n v="17"/>
    <n v="3"/>
    <n v="2"/>
    <n v="21"/>
    <n v="4"/>
    <n v="18"/>
    <n v="16"/>
  </r>
  <r>
    <n v="27"/>
    <x v="2"/>
    <x v="1"/>
    <n v="0"/>
    <s v="Research &amp; Development"/>
    <n v="3"/>
    <x v="0"/>
    <n v="3"/>
    <x v="1"/>
    <x v="2"/>
    <x v="1"/>
    <n v="2811"/>
    <x v="0"/>
    <s v="No"/>
    <n v="14"/>
    <n v="3"/>
    <n v="2"/>
    <n v="4"/>
    <n v="3"/>
    <n v="2"/>
    <n v="2"/>
  </r>
  <r>
    <n v="45"/>
    <x v="0"/>
    <x v="1"/>
    <n v="0"/>
    <s v="Research &amp; Development"/>
    <n v="4"/>
    <x v="1"/>
    <n v="3"/>
    <x v="0"/>
    <x v="2"/>
    <x v="3"/>
    <n v="3633"/>
    <x v="0"/>
    <s v="Yes"/>
    <n v="15"/>
    <n v="3"/>
    <n v="3"/>
    <n v="9"/>
    <n v="3"/>
    <n v="9"/>
    <n v="8"/>
  </r>
  <r>
    <n v="47"/>
    <x v="0"/>
    <x v="1"/>
    <n v="0"/>
    <s v="Sales"/>
    <n v="4"/>
    <x v="0"/>
    <n v="3"/>
    <x v="0"/>
    <x v="0"/>
    <x v="0"/>
    <n v="4163"/>
    <x v="0"/>
    <s v="Yes"/>
    <n v="17"/>
    <n v="3"/>
    <n v="3"/>
    <n v="9"/>
    <n v="3"/>
    <n v="9"/>
    <n v="0"/>
  </r>
  <r>
    <n v="30"/>
    <x v="2"/>
    <x v="0"/>
    <n v="1"/>
    <s v="Research &amp; Development"/>
    <n v="1"/>
    <x v="0"/>
    <n v="3"/>
    <x v="1"/>
    <x v="1"/>
    <x v="2"/>
    <n v="2132"/>
    <x v="0"/>
    <s v="Yes"/>
    <n v="11"/>
    <n v="3"/>
    <n v="2"/>
    <n v="7"/>
    <n v="3"/>
    <n v="5"/>
    <n v="2"/>
  </r>
  <r>
    <n v="50"/>
    <x v="0"/>
    <x v="1"/>
    <n v="0"/>
    <s v="Research &amp; Development"/>
    <n v="4"/>
    <x v="1"/>
    <n v="3"/>
    <x v="3"/>
    <x v="3"/>
    <x v="2"/>
    <n v="13973"/>
    <x v="1"/>
    <s v="Yes"/>
    <n v="18"/>
    <n v="3"/>
    <n v="4"/>
    <n v="22"/>
    <n v="3"/>
    <n v="12"/>
    <n v="11"/>
  </r>
  <r>
    <n v="38"/>
    <x v="1"/>
    <x v="1"/>
    <n v="0"/>
    <s v="Research &amp; Development"/>
    <n v="3"/>
    <x v="1"/>
    <n v="3"/>
    <x v="1"/>
    <x v="1"/>
    <x v="2"/>
    <n v="2684"/>
    <x v="0"/>
    <s v="No"/>
    <n v="17"/>
    <n v="3"/>
    <n v="2"/>
    <n v="3"/>
    <n v="2"/>
    <n v="2"/>
    <n v="1"/>
  </r>
  <r>
    <n v="46"/>
    <x v="0"/>
    <x v="1"/>
    <n v="0"/>
    <s v="Research &amp; Development"/>
    <n v="4"/>
    <x v="1"/>
    <n v="3"/>
    <x v="2"/>
    <x v="3"/>
    <x v="2"/>
    <n v="10845"/>
    <x v="1"/>
    <s v="No"/>
    <n v="13"/>
    <n v="3"/>
    <n v="2"/>
    <n v="13"/>
    <n v="3"/>
    <n v="8"/>
    <n v="7"/>
  </r>
  <r>
    <n v="24"/>
    <x v="2"/>
    <x v="1"/>
    <n v="0"/>
    <s v="Research &amp; Development"/>
    <n v="4"/>
    <x v="0"/>
    <n v="2"/>
    <x v="0"/>
    <x v="3"/>
    <x v="2"/>
    <n v="4377"/>
    <x v="0"/>
    <s v="No"/>
    <n v="15"/>
    <n v="3"/>
    <n v="2"/>
    <n v="5"/>
    <n v="3"/>
    <n v="4"/>
    <n v="2"/>
  </r>
  <r>
    <n v="35"/>
    <x v="1"/>
    <x v="0"/>
    <n v="1"/>
    <s v="Research &amp; Development"/>
    <n v="3"/>
    <x v="1"/>
    <n v="2"/>
    <x v="1"/>
    <x v="2"/>
    <x v="1"/>
    <n v="3743"/>
    <x v="0"/>
    <s v="Yes"/>
    <n v="24"/>
    <n v="4"/>
    <n v="4"/>
    <n v="5"/>
    <n v="1"/>
    <n v="4"/>
    <n v="2"/>
  </r>
  <r>
    <n v="31"/>
    <x v="1"/>
    <x v="1"/>
    <n v="0"/>
    <s v="Research &amp; Development"/>
    <n v="3"/>
    <x v="0"/>
    <n v="3"/>
    <x v="0"/>
    <x v="3"/>
    <x v="3"/>
    <n v="4148"/>
    <x v="0"/>
    <s v="No"/>
    <n v="12"/>
    <n v="3"/>
    <n v="3"/>
    <n v="4"/>
    <n v="3"/>
    <n v="4"/>
    <n v="3"/>
  </r>
  <r>
    <n v="18"/>
    <x v="2"/>
    <x v="1"/>
    <n v="0"/>
    <s v="Research &amp; Development"/>
    <n v="2"/>
    <x v="1"/>
    <n v="3"/>
    <x v="1"/>
    <x v="1"/>
    <x v="0"/>
    <n v="1051"/>
    <x v="0"/>
    <s v="No"/>
    <n v="15"/>
    <n v="3"/>
    <n v="4"/>
    <n v="0"/>
    <n v="3"/>
    <n v="0"/>
    <n v="0"/>
  </r>
  <r>
    <n v="54"/>
    <x v="0"/>
    <x v="1"/>
    <n v="0"/>
    <s v="Research &amp; Development"/>
    <n v="3"/>
    <x v="0"/>
    <n v="3"/>
    <x v="2"/>
    <x v="3"/>
    <x v="2"/>
    <n v="10739"/>
    <x v="1"/>
    <s v="No"/>
    <n v="11"/>
    <n v="3"/>
    <n v="3"/>
    <n v="22"/>
    <n v="3"/>
    <n v="10"/>
    <n v="7"/>
  </r>
  <r>
    <n v="35"/>
    <x v="1"/>
    <x v="1"/>
    <n v="0"/>
    <s v="Research &amp; Development"/>
    <n v="3"/>
    <x v="0"/>
    <n v="3"/>
    <x v="2"/>
    <x v="4"/>
    <x v="2"/>
    <n v="10388"/>
    <x v="1"/>
    <s v="Yes"/>
    <n v="11"/>
    <n v="3"/>
    <n v="3"/>
    <n v="16"/>
    <n v="2"/>
    <n v="16"/>
    <n v="10"/>
  </r>
  <r>
    <n v="30"/>
    <x v="2"/>
    <x v="1"/>
    <n v="0"/>
    <s v="Research &amp; Development"/>
    <n v="2"/>
    <x v="0"/>
    <n v="4"/>
    <x v="2"/>
    <x v="7"/>
    <x v="3"/>
    <n v="11416"/>
    <x v="1"/>
    <s v="Yes"/>
    <n v="12"/>
    <n v="3"/>
    <n v="3"/>
    <n v="9"/>
    <n v="2"/>
    <n v="8"/>
    <n v="7"/>
  </r>
  <r>
    <n v="20"/>
    <x v="2"/>
    <x v="0"/>
    <n v="1"/>
    <s v="Research &amp; Development"/>
    <n v="4"/>
    <x v="0"/>
    <n v="2"/>
    <x v="1"/>
    <x v="1"/>
    <x v="3"/>
    <n v="2600"/>
    <x v="0"/>
    <s v="Yes"/>
    <n v="15"/>
    <n v="3"/>
    <n v="1"/>
    <n v="1"/>
    <n v="3"/>
    <n v="1"/>
    <n v="0"/>
  </r>
  <r>
    <n v="30"/>
    <x v="2"/>
    <x v="0"/>
    <n v="1"/>
    <s v="Research &amp; Development"/>
    <n v="2"/>
    <x v="0"/>
    <n v="3"/>
    <x v="1"/>
    <x v="2"/>
    <x v="1"/>
    <n v="2422"/>
    <x v="0"/>
    <s v="No"/>
    <n v="17"/>
    <n v="3"/>
    <n v="1"/>
    <n v="4"/>
    <n v="3"/>
    <n v="3"/>
    <n v="2"/>
  </r>
  <r>
    <n v="26"/>
    <x v="2"/>
    <x v="1"/>
    <n v="0"/>
    <s v="Research &amp; Development"/>
    <n v="4"/>
    <x v="1"/>
    <n v="4"/>
    <x v="0"/>
    <x v="3"/>
    <x v="0"/>
    <n v="5472"/>
    <x v="0"/>
    <s v="No"/>
    <n v="12"/>
    <n v="3"/>
    <n v="2"/>
    <n v="8"/>
    <n v="3"/>
    <n v="8"/>
    <n v="7"/>
  </r>
  <r>
    <n v="22"/>
    <x v="2"/>
    <x v="1"/>
    <n v="0"/>
    <s v="Research &amp; Development"/>
    <n v="2"/>
    <x v="1"/>
    <n v="1"/>
    <x v="1"/>
    <x v="2"/>
    <x v="3"/>
    <n v="2451"/>
    <x v="0"/>
    <s v="No"/>
    <n v="15"/>
    <n v="3"/>
    <n v="1"/>
    <n v="4"/>
    <n v="2"/>
    <n v="4"/>
    <n v="3"/>
  </r>
  <r>
    <n v="48"/>
    <x v="0"/>
    <x v="1"/>
    <n v="0"/>
    <s v="Research &amp; Development"/>
    <n v="1"/>
    <x v="1"/>
    <n v="2"/>
    <x v="0"/>
    <x v="4"/>
    <x v="2"/>
    <n v="4240"/>
    <x v="0"/>
    <s v="No"/>
    <n v="13"/>
    <n v="3"/>
    <n v="4"/>
    <n v="19"/>
    <n v="3"/>
    <n v="2"/>
    <n v="2"/>
  </r>
  <r>
    <n v="48"/>
    <x v="0"/>
    <x v="1"/>
    <n v="0"/>
    <s v="Research &amp; Development"/>
    <n v="3"/>
    <x v="1"/>
    <n v="2"/>
    <x v="2"/>
    <x v="4"/>
    <x v="2"/>
    <n v="10999"/>
    <x v="1"/>
    <s v="No"/>
    <n v="14"/>
    <n v="3"/>
    <n v="2"/>
    <n v="27"/>
    <n v="3"/>
    <n v="15"/>
    <n v="11"/>
  </r>
  <r>
    <n v="41"/>
    <x v="0"/>
    <x v="1"/>
    <n v="0"/>
    <s v="Research &amp; Development"/>
    <n v="4"/>
    <x v="0"/>
    <n v="3"/>
    <x v="0"/>
    <x v="3"/>
    <x v="2"/>
    <n v="5003"/>
    <x v="0"/>
    <s v="No"/>
    <n v="14"/>
    <n v="3"/>
    <n v="2"/>
    <n v="8"/>
    <n v="3"/>
    <n v="2"/>
    <n v="2"/>
  </r>
  <r>
    <n v="39"/>
    <x v="1"/>
    <x v="1"/>
    <n v="0"/>
    <s v="Research &amp; Development"/>
    <n v="4"/>
    <x v="0"/>
    <n v="2"/>
    <x v="3"/>
    <x v="3"/>
    <x v="0"/>
    <n v="12742"/>
    <x v="1"/>
    <s v="No"/>
    <n v="16"/>
    <n v="3"/>
    <n v="3"/>
    <n v="21"/>
    <n v="3"/>
    <n v="21"/>
    <n v="6"/>
  </r>
  <r>
    <n v="27"/>
    <x v="2"/>
    <x v="1"/>
    <n v="0"/>
    <s v="Research &amp; Development"/>
    <n v="1"/>
    <x v="0"/>
    <n v="3"/>
    <x v="0"/>
    <x v="3"/>
    <x v="0"/>
    <n v="4227"/>
    <x v="0"/>
    <s v="No"/>
    <n v="18"/>
    <n v="3"/>
    <n v="2"/>
    <n v="4"/>
    <n v="3"/>
    <n v="3"/>
    <n v="2"/>
  </r>
  <r>
    <n v="35"/>
    <x v="1"/>
    <x v="1"/>
    <n v="0"/>
    <s v="Research &amp; Development"/>
    <n v="2"/>
    <x v="1"/>
    <n v="3"/>
    <x v="1"/>
    <x v="2"/>
    <x v="0"/>
    <n v="3917"/>
    <x v="0"/>
    <s v="No"/>
    <n v="20"/>
    <n v="4"/>
    <n v="1"/>
    <n v="3"/>
    <n v="2"/>
    <n v="3"/>
    <n v="2"/>
  </r>
  <r>
    <n v="42"/>
    <x v="0"/>
    <x v="1"/>
    <n v="0"/>
    <s v="Sales"/>
    <n v="4"/>
    <x v="1"/>
    <n v="3"/>
    <x v="4"/>
    <x v="5"/>
    <x v="2"/>
    <n v="18303"/>
    <x v="2"/>
    <s v="No"/>
    <n v="13"/>
    <n v="3"/>
    <n v="2"/>
    <n v="21"/>
    <n v="4"/>
    <n v="1"/>
    <n v="0"/>
  </r>
  <r>
    <n v="50"/>
    <x v="0"/>
    <x v="1"/>
    <n v="0"/>
    <s v="Research &amp; Development"/>
    <n v="1"/>
    <x v="1"/>
    <n v="3"/>
    <x v="1"/>
    <x v="2"/>
    <x v="0"/>
    <n v="2380"/>
    <x v="0"/>
    <s v="No"/>
    <n v="18"/>
    <n v="3"/>
    <n v="2"/>
    <n v="8"/>
    <n v="3"/>
    <n v="1"/>
    <n v="0"/>
  </r>
  <r>
    <n v="59"/>
    <x v="0"/>
    <x v="1"/>
    <n v="0"/>
    <s v="Research &amp; Development"/>
    <n v="3"/>
    <x v="0"/>
    <n v="2"/>
    <x v="3"/>
    <x v="3"/>
    <x v="0"/>
    <n v="13726"/>
    <x v="1"/>
    <s v="Yes"/>
    <n v="13"/>
    <n v="3"/>
    <n v="1"/>
    <n v="30"/>
    <n v="3"/>
    <n v="5"/>
    <n v="3"/>
  </r>
  <r>
    <n v="37"/>
    <x v="1"/>
    <x v="0"/>
    <n v="1"/>
    <s v="Research &amp; Development"/>
    <n v="1"/>
    <x v="0"/>
    <n v="1"/>
    <x v="0"/>
    <x v="4"/>
    <x v="1"/>
    <n v="4777"/>
    <x v="0"/>
    <s v="No"/>
    <n v="15"/>
    <n v="3"/>
    <n v="1"/>
    <n v="15"/>
    <n v="1"/>
    <n v="1"/>
    <n v="0"/>
  </r>
  <r>
    <n v="55"/>
    <x v="0"/>
    <x v="1"/>
    <n v="0"/>
    <s v="Research &amp; Development"/>
    <n v="3"/>
    <x v="1"/>
    <n v="3"/>
    <x v="0"/>
    <x v="4"/>
    <x v="1"/>
    <n v="6385"/>
    <x v="0"/>
    <s v="Yes"/>
    <n v="14"/>
    <n v="3"/>
    <n v="4"/>
    <n v="17"/>
    <n v="3"/>
    <n v="8"/>
    <n v="7"/>
  </r>
  <r>
    <n v="41"/>
    <x v="0"/>
    <x v="1"/>
    <n v="0"/>
    <s v="Research &amp; Development"/>
    <n v="2"/>
    <x v="0"/>
    <n v="1"/>
    <x v="4"/>
    <x v="7"/>
    <x v="2"/>
    <n v="19973"/>
    <x v="2"/>
    <s v="No"/>
    <n v="22"/>
    <n v="4"/>
    <n v="2"/>
    <n v="21"/>
    <n v="3"/>
    <n v="21"/>
    <n v="16"/>
  </r>
  <r>
    <n v="38"/>
    <x v="1"/>
    <x v="1"/>
    <n v="0"/>
    <s v="Sales"/>
    <n v="2"/>
    <x v="1"/>
    <n v="3"/>
    <x v="0"/>
    <x v="0"/>
    <x v="0"/>
    <n v="6861"/>
    <x v="0"/>
    <s v="Yes"/>
    <n v="12"/>
    <n v="3"/>
    <n v="3"/>
    <n v="19"/>
    <n v="3"/>
    <n v="1"/>
    <n v="0"/>
  </r>
  <r>
    <n v="26"/>
    <x v="2"/>
    <x v="0"/>
    <n v="1"/>
    <s v="Sales"/>
    <n v="2"/>
    <x v="1"/>
    <n v="1"/>
    <x v="0"/>
    <x v="0"/>
    <x v="3"/>
    <n v="4969"/>
    <x v="0"/>
    <s v="No"/>
    <n v="18"/>
    <n v="3"/>
    <n v="4"/>
    <n v="7"/>
    <n v="3"/>
    <n v="2"/>
    <n v="2"/>
  </r>
  <r>
    <n v="52"/>
    <x v="0"/>
    <x v="0"/>
    <n v="1"/>
    <s v="Sales"/>
    <n v="1"/>
    <x v="0"/>
    <n v="1"/>
    <x v="4"/>
    <x v="5"/>
    <x v="0"/>
    <n v="19845"/>
    <x v="2"/>
    <s v="No"/>
    <n v="15"/>
    <n v="3"/>
    <n v="4"/>
    <n v="33"/>
    <n v="3"/>
    <n v="32"/>
    <n v="14"/>
  </r>
  <r>
    <n v="44"/>
    <x v="0"/>
    <x v="1"/>
    <n v="0"/>
    <s v="Sales"/>
    <n v="4"/>
    <x v="0"/>
    <n v="4"/>
    <x v="3"/>
    <x v="0"/>
    <x v="0"/>
    <n v="13320"/>
    <x v="1"/>
    <s v="Yes"/>
    <n v="18"/>
    <n v="3"/>
    <n v="3"/>
    <n v="23"/>
    <n v="3"/>
    <n v="12"/>
    <n v="11"/>
  </r>
  <r>
    <n v="50"/>
    <x v="0"/>
    <x v="1"/>
    <n v="0"/>
    <s v="Sales"/>
    <n v="4"/>
    <x v="0"/>
    <n v="3"/>
    <x v="0"/>
    <x v="0"/>
    <x v="2"/>
    <n v="6347"/>
    <x v="0"/>
    <s v="No"/>
    <n v="12"/>
    <n v="3"/>
    <n v="1"/>
    <n v="19"/>
    <n v="3"/>
    <n v="18"/>
    <n v="7"/>
  </r>
  <r>
    <n v="36"/>
    <x v="1"/>
    <x v="0"/>
    <n v="1"/>
    <s v="Research &amp; Development"/>
    <n v="3"/>
    <x v="0"/>
    <n v="4"/>
    <x v="1"/>
    <x v="2"/>
    <x v="3"/>
    <n v="2743"/>
    <x v="0"/>
    <s v="No"/>
    <n v="16"/>
    <n v="3"/>
    <n v="3"/>
    <n v="18"/>
    <n v="3"/>
    <n v="17"/>
    <n v="13"/>
  </r>
  <r>
    <n v="39"/>
    <x v="1"/>
    <x v="1"/>
    <n v="0"/>
    <s v="Research &amp; Development"/>
    <n v="4"/>
    <x v="0"/>
    <n v="3"/>
    <x v="2"/>
    <x v="3"/>
    <x v="3"/>
    <n v="10880"/>
    <x v="1"/>
    <s v="Yes"/>
    <n v="13"/>
    <n v="3"/>
    <n v="3"/>
    <n v="21"/>
    <n v="3"/>
    <n v="21"/>
    <n v="6"/>
  </r>
  <r>
    <n v="33"/>
    <x v="1"/>
    <x v="1"/>
    <n v="0"/>
    <s v="Sales"/>
    <n v="2"/>
    <x v="0"/>
    <n v="2"/>
    <x v="1"/>
    <x v="6"/>
    <x v="0"/>
    <n v="2342"/>
    <x v="0"/>
    <s v="No"/>
    <n v="19"/>
    <n v="3"/>
    <n v="4"/>
    <n v="3"/>
    <n v="2"/>
    <n v="2"/>
    <n v="2"/>
  </r>
  <r>
    <n v="45"/>
    <x v="0"/>
    <x v="1"/>
    <n v="0"/>
    <s v="Sales"/>
    <n v="4"/>
    <x v="0"/>
    <n v="3"/>
    <x v="3"/>
    <x v="5"/>
    <x v="0"/>
    <n v="17650"/>
    <x v="2"/>
    <s v="No"/>
    <n v="13"/>
    <n v="3"/>
    <n v="2"/>
    <n v="26"/>
    <n v="4"/>
    <n v="9"/>
    <n v="3"/>
  </r>
  <r>
    <n v="32"/>
    <x v="1"/>
    <x v="1"/>
    <n v="0"/>
    <s v="Research &amp; Development"/>
    <n v="4"/>
    <x v="0"/>
    <n v="3"/>
    <x v="1"/>
    <x v="2"/>
    <x v="2"/>
    <n v="4025"/>
    <x v="0"/>
    <s v="No"/>
    <n v="12"/>
    <n v="3"/>
    <n v="2"/>
    <n v="10"/>
    <n v="3"/>
    <n v="8"/>
    <n v="7"/>
  </r>
  <r>
    <n v="34"/>
    <x v="1"/>
    <x v="1"/>
    <n v="0"/>
    <s v="Sales"/>
    <n v="2"/>
    <x v="1"/>
    <n v="4"/>
    <x v="0"/>
    <x v="0"/>
    <x v="0"/>
    <n v="9725"/>
    <x v="1"/>
    <s v="No"/>
    <n v="11"/>
    <n v="3"/>
    <n v="4"/>
    <n v="16"/>
    <n v="2"/>
    <n v="15"/>
    <n v="1"/>
  </r>
  <r>
    <n v="59"/>
    <x v="0"/>
    <x v="1"/>
    <n v="0"/>
    <s v="Sales"/>
    <n v="2"/>
    <x v="1"/>
    <n v="3"/>
    <x v="2"/>
    <x v="5"/>
    <x v="0"/>
    <n v="11904"/>
    <x v="1"/>
    <s v="Yes"/>
    <n v="14"/>
    <n v="3"/>
    <n v="3"/>
    <n v="14"/>
    <n v="1"/>
    <n v="6"/>
    <n v="4"/>
  </r>
  <r>
    <n v="45"/>
    <x v="0"/>
    <x v="1"/>
    <n v="0"/>
    <s v="Human Resources"/>
    <n v="2"/>
    <x v="1"/>
    <n v="3"/>
    <x v="1"/>
    <x v="8"/>
    <x v="1"/>
    <n v="2177"/>
    <x v="0"/>
    <s v="No"/>
    <n v="16"/>
    <n v="3"/>
    <n v="1"/>
    <n v="6"/>
    <n v="3"/>
    <n v="6"/>
    <n v="3"/>
  </r>
  <r>
    <n v="53"/>
    <x v="0"/>
    <x v="1"/>
    <n v="0"/>
    <s v="Sales"/>
    <n v="3"/>
    <x v="0"/>
    <n v="2"/>
    <x v="2"/>
    <x v="0"/>
    <x v="1"/>
    <n v="7525"/>
    <x v="1"/>
    <s v="No"/>
    <n v="12"/>
    <n v="3"/>
    <n v="1"/>
    <n v="30"/>
    <n v="3"/>
    <n v="15"/>
    <n v="7"/>
  </r>
  <r>
    <n v="36"/>
    <x v="1"/>
    <x v="0"/>
    <n v="1"/>
    <s v="Research &amp; Development"/>
    <n v="1"/>
    <x v="1"/>
    <n v="3"/>
    <x v="0"/>
    <x v="2"/>
    <x v="2"/>
    <n v="4834"/>
    <x v="0"/>
    <s v="No"/>
    <n v="14"/>
    <n v="3"/>
    <n v="2"/>
    <n v="9"/>
    <n v="2"/>
    <n v="1"/>
    <n v="0"/>
  </r>
  <r>
    <n v="26"/>
    <x v="2"/>
    <x v="0"/>
    <n v="1"/>
    <s v="Research &amp; Development"/>
    <n v="1"/>
    <x v="1"/>
    <n v="3"/>
    <x v="1"/>
    <x v="1"/>
    <x v="3"/>
    <n v="2042"/>
    <x v="0"/>
    <s v="Yes"/>
    <n v="14"/>
    <n v="3"/>
    <n v="2"/>
    <n v="6"/>
    <n v="3"/>
    <n v="3"/>
    <n v="2"/>
  </r>
  <r>
    <n v="34"/>
    <x v="1"/>
    <x v="1"/>
    <n v="0"/>
    <s v="Sales"/>
    <n v="3"/>
    <x v="0"/>
    <n v="3"/>
    <x v="1"/>
    <x v="6"/>
    <x v="2"/>
    <n v="2220"/>
    <x v="0"/>
    <s v="Yes"/>
    <n v="19"/>
    <n v="3"/>
    <n v="4"/>
    <n v="1"/>
    <n v="3"/>
    <n v="1"/>
    <n v="1"/>
  </r>
  <r>
    <n v="28"/>
    <x v="2"/>
    <x v="1"/>
    <n v="0"/>
    <s v="Sales"/>
    <n v="4"/>
    <x v="1"/>
    <n v="3"/>
    <x v="1"/>
    <x v="6"/>
    <x v="1"/>
    <n v="1052"/>
    <x v="0"/>
    <s v="No"/>
    <n v="22"/>
    <n v="4"/>
    <n v="2"/>
    <n v="1"/>
    <n v="3"/>
    <n v="1"/>
    <n v="0"/>
  </r>
  <r>
    <n v="38"/>
    <x v="1"/>
    <x v="1"/>
    <n v="0"/>
    <s v="Research &amp; Development"/>
    <n v="3"/>
    <x v="1"/>
    <n v="3"/>
    <x v="1"/>
    <x v="1"/>
    <x v="2"/>
    <n v="2821"/>
    <x v="0"/>
    <s v="No"/>
    <n v="16"/>
    <n v="3"/>
    <n v="1"/>
    <n v="8"/>
    <n v="3"/>
    <n v="2"/>
    <n v="2"/>
  </r>
  <r>
    <n v="50"/>
    <x v="0"/>
    <x v="1"/>
    <n v="0"/>
    <s v="Research &amp; Development"/>
    <n v="2"/>
    <x v="1"/>
    <n v="3"/>
    <x v="4"/>
    <x v="7"/>
    <x v="2"/>
    <n v="19237"/>
    <x v="2"/>
    <s v="Yes"/>
    <n v="11"/>
    <n v="3"/>
    <n v="4"/>
    <n v="29"/>
    <n v="2"/>
    <n v="8"/>
    <n v="1"/>
  </r>
  <r>
    <n v="37"/>
    <x v="1"/>
    <x v="1"/>
    <n v="0"/>
    <s v="Research &amp; Development"/>
    <n v="4"/>
    <x v="0"/>
    <n v="3"/>
    <x v="0"/>
    <x v="4"/>
    <x v="1"/>
    <n v="4107"/>
    <x v="0"/>
    <s v="No"/>
    <n v="15"/>
    <n v="3"/>
    <n v="1"/>
    <n v="8"/>
    <n v="2"/>
    <n v="4"/>
    <n v="3"/>
  </r>
  <r>
    <n v="40"/>
    <x v="1"/>
    <x v="1"/>
    <n v="0"/>
    <s v="Sales"/>
    <n v="3"/>
    <x v="1"/>
    <n v="3"/>
    <x v="0"/>
    <x v="0"/>
    <x v="3"/>
    <n v="8396"/>
    <x v="1"/>
    <s v="No"/>
    <n v="14"/>
    <n v="3"/>
    <n v="2"/>
    <n v="8"/>
    <n v="2"/>
    <n v="7"/>
    <n v="7"/>
  </r>
  <r>
    <n v="26"/>
    <x v="2"/>
    <x v="1"/>
    <n v="0"/>
    <s v="Research &amp; Development"/>
    <n v="1"/>
    <x v="0"/>
    <n v="2"/>
    <x v="1"/>
    <x v="1"/>
    <x v="2"/>
    <n v="2007"/>
    <x v="0"/>
    <s v="No"/>
    <n v="13"/>
    <n v="3"/>
    <n v="3"/>
    <n v="5"/>
    <n v="3"/>
    <n v="5"/>
    <n v="3"/>
  </r>
  <r>
    <n v="46"/>
    <x v="0"/>
    <x v="1"/>
    <n v="0"/>
    <s v="Research &amp; Development"/>
    <n v="4"/>
    <x v="1"/>
    <n v="3"/>
    <x v="4"/>
    <x v="7"/>
    <x v="0"/>
    <n v="19627"/>
    <x v="2"/>
    <s v="No"/>
    <n v="17"/>
    <n v="3"/>
    <n v="4"/>
    <n v="23"/>
    <n v="3"/>
    <n v="2"/>
    <n v="2"/>
  </r>
  <r>
    <n v="54"/>
    <x v="0"/>
    <x v="1"/>
    <n v="0"/>
    <s v="Sales"/>
    <n v="3"/>
    <x v="0"/>
    <n v="2"/>
    <x v="2"/>
    <x v="0"/>
    <x v="2"/>
    <n v="10686"/>
    <x v="1"/>
    <s v="No"/>
    <n v="11"/>
    <n v="3"/>
    <n v="2"/>
    <n v="13"/>
    <n v="3"/>
    <n v="9"/>
    <n v="4"/>
  </r>
  <r>
    <n v="56"/>
    <x v="0"/>
    <x v="1"/>
    <n v="0"/>
    <s v="Research &amp; Development"/>
    <n v="1"/>
    <x v="0"/>
    <n v="3"/>
    <x v="1"/>
    <x v="1"/>
    <x v="2"/>
    <n v="2942"/>
    <x v="0"/>
    <s v="No"/>
    <n v="19"/>
    <n v="3"/>
    <n v="2"/>
    <n v="18"/>
    <n v="3"/>
    <n v="5"/>
    <n v="4"/>
  </r>
  <r>
    <n v="36"/>
    <x v="1"/>
    <x v="1"/>
    <n v="0"/>
    <s v="Research &amp; Development"/>
    <n v="4"/>
    <x v="0"/>
    <n v="2"/>
    <x v="2"/>
    <x v="3"/>
    <x v="0"/>
    <n v="8858"/>
    <x v="1"/>
    <s v="No"/>
    <n v="11"/>
    <n v="3"/>
    <n v="2"/>
    <n v="15"/>
    <n v="2"/>
    <n v="14"/>
    <n v="8"/>
  </r>
  <r>
    <n v="55"/>
    <x v="0"/>
    <x v="1"/>
    <n v="0"/>
    <s v="Research &amp; Development"/>
    <n v="3"/>
    <x v="1"/>
    <n v="2"/>
    <x v="3"/>
    <x v="5"/>
    <x v="3"/>
    <n v="16756"/>
    <x v="2"/>
    <s v="No"/>
    <n v="15"/>
    <n v="3"/>
    <n v="2"/>
    <n v="31"/>
    <n v="4"/>
    <n v="9"/>
    <n v="7"/>
  </r>
  <r>
    <n v="43"/>
    <x v="0"/>
    <x v="1"/>
    <n v="0"/>
    <s v="Sales"/>
    <n v="3"/>
    <x v="1"/>
    <n v="2"/>
    <x v="2"/>
    <x v="0"/>
    <x v="0"/>
    <n v="10798"/>
    <x v="1"/>
    <s v="No"/>
    <n v="13"/>
    <n v="3"/>
    <n v="3"/>
    <n v="18"/>
    <n v="3"/>
    <n v="1"/>
    <n v="0"/>
  </r>
  <r>
    <n v="20"/>
    <x v="2"/>
    <x v="0"/>
    <n v="1"/>
    <s v="Sales"/>
    <n v="4"/>
    <x v="0"/>
    <n v="3"/>
    <x v="1"/>
    <x v="6"/>
    <x v="0"/>
    <n v="2323"/>
    <x v="0"/>
    <s v="Yes"/>
    <n v="14"/>
    <n v="3"/>
    <n v="2"/>
    <n v="2"/>
    <n v="3"/>
    <n v="2"/>
    <n v="2"/>
  </r>
  <r>
    <n v="21"/>
    <x v="2"/>
    <x v="0"/>
    <n v="1"/>
    <s v="Research &amp; Development"/>
    <n v="3"/>
    <x v="0"/>
    <n v="2"/>
    <x v="1"/>
    <x v="2"/>
    <x v="3"/>
    <n v="1416"/>
    <x v="0"/>
    <s v="No"/>
    <n v="13"/>
    <n v="3"/>
    <n v="1"/>
    <n v="1"/>
    <n v="2"/>
    <n v="1"/>
    <n v="0"/>
  </r>
  <r>
    <n v="46"/>
    <x v="0"/>
    <x v="1"/>
    <n v="0"/>
    <s v="Research &amp; Development"/>
    <n v="4"/>
    <x v="0"/>
    <n v="2"/>
    <x v="0"/>
    <x v="1"/>
    <x v="3"/>
    <n v="4615"/>
    <x v="0"/>
    <s v="Yes"/>
    <n v="23"/>
    <n v="4"/>
    <n v="1"/>
    <n v="19"/>
    <n v="3"/>
    <n v="16"/>
    <n v="13"/>
  </r>
  <r>
    <n v="51"/>
    <x v="0"/>
    <x v="0"/>
    <n v="1"/>
    <s v="Research &amp; Development"/>
    <n v="1"/>
    <x v="1"/>
    <n v="3"/>
    <x v="1"/>
    <x v="1"/>
    <x v="2"/>
    <n v="2461"/>
    <x v="0"/>
    <s v="Yes"/>
    <n v="12"/>
    <n v="3"/>
    <n v="3"/>
    <n v="18"/>
    <n v="4"/>
    <n v="10"/>
    <n v="0"/>
  </r>
  <r>
    <n v="28"/>
    <x v="2"/>
    <x v="0"/>
    <n v="1"/>
    <s v="Research &amp; Development"/>
    <n v="2"/>
    <x v="1"/>
    <n v="2"/>
    <x v="2"/>
    <x v="4"/>
    <x v="3"/>
    <n v="8722"/>
    <x v="1"/>
    <s v="No"/>
    <n v="12"/>
    <n v="3"/>
    <n v="1"/>
    <n v="10"/>
    <n v="2"/>
    <n v="10"/>
    <n v="7"/>
  </r>
  <r>
    <n v="26"/>
    <x v="2"/>
    <x v="1"/>
    <n v="0"/>
    <s v="Research &amp; Development"/>
    <n v="1"/>
    <x v="1"/>
    <n v="2"/>
    <x v="1"/>
    <x v="2"/>
    <x v="3"/>
    <n v="3955"/>
    <x v="0"/>
    <s v="No"/>
    <n v="16"/>
    <n v="3"/>
    <n v="1"/>
    <n v="6"/>
    <n v="3"/>
    <n v="5"/>
    <n v="3"/>
  </r>
  <r>
    <n v="30"/>
    <x v="2"/>
    <x v="1"/>
    <n v="0"/>
    <s v="Research &amp; Development"/>
    <n v="3"/>
    <x v="1"/>
    <n v="3"/>
    <x v="0"/>
    <x v="3"/>
    <x v="3"/>
    <n v="9957"/>
    <x v="1"/>
    <s v="No"/>
    <n v="15"/>
    <n v="3"/>
    <n v="3"/>
    <n v="7"/>
    <n v="2"/>
    <n v="6"/>
    <n v="2"/>
  </r>
  <r>
    <n v="41"/>
    <x v="0"/>
    <x v="1"/>
    <n v="0"/>
    <s v="Research &amp; Development"/>
    <n v="2"/>
    <x v="0"/>
    <n v="4"/>
    <x v="1"/>
    <x v="1"/>
    <x v="2"/>
    <n v="3376"/>
    <x v="0"/>
    <s v="No"/>
    <n v="13"/>
    <n v="3"/>
    <n v="3"/>
    <n v="10"/>
    <n v="3"/>
    <n v="10"/>
    <n v="6"/>
  </r>
  <r>
    <n v="38"/>
    <x v="1"/>
    <x v="1"/>
    <n v="0"/>
    <s v="Research &amp; Development"/>
    <n v="3"/>
    <x v="0"/>
    <n v="2"/>
    <x v="2"/>
    <x v="4"/>
    <x v="2"/>
    <n v="8823"/>
    <x v="1"/>
    <s v="No"/>
    <n v="18"/>
    <n v="3"/>
    <n v="1"/>
    <n v="20"/>
    <n v="2"/>
    <n v="19"/>
    <n v="9"/>
  </r>
  <r>
    <n v="40"/>
    <x v="1"/>
    <x v="1"/>
    <n v="0"/>
    <s v="Research &amp; Development"/>
    <n v="1"/>
    <x v="1"/>
    <n v="3"/>
    <x v="2"/>
    <x v="4"/>
    <x v="0"/>
    <n v="10322"/>
    <x v="1"/>
    <s v="No"/>
    <n v="20"/>
    <n v="4"/>
    <n v="4"/>
    <n v="14"/>
    <n v="3"/>
    <n v="11"/>
    <n v="10"/>
  </r>
  <r>
    <n v="27"/>
    <x v="2"/>
    <x v="1"/>
    <n v="0"/>
    <s v="Research &amp; Development"/>
    <n v="1"/>
    <x v="1"/>
    <n v="1"/>
    <x v="1"/>
    <x v="2"/>
    <x v="2"/>
    <n v="4621"/>
    <x v="0"/>
    <s v="No"/>
    <n v="19"/>
    <n v="3"/>
    <n v="4"/>
    <n v="3"/>
    <n v="3"/>
    <n v="3"/>
    <n v="2"/>
  </r>
  <r>
    <n v="55"/>
    <x v="0"/>
    <x v="1"/>
    <n v="0"/>
    <s v="Research &amp; Development"/>
    <n v="4"/>
    <x v="1"/>
    <n v="3"/>
    <x v="2"/>
    <x v="3"/>
    <x v="1"/>
    <n v="10976"/>
    <x v="1"/>
    <s v="No"/>
    <n v="18"/>
    <n v="3"/>
    <n v="2"/>
    <n v="23"/>
    <n v="3"/>
    <n v="3"/>
    <n v="2"/>
  </r>
  <r>
    <n v="28"/>
    <x v="2"/>
    <x v="1"/>
    <n v="0"/>
    <s v="Research &amp; Development"/>
    <n v="3"/>
    <x v="0"/>
    <n v="3"/>
    <x v="0"/>
    <x v="1"/>
    <x v="2"/>
    <n v="3660"/>
    <x v="0"/>
    <s v="No"/>
    <n v="13"/>
    <n v="3"/>
    <n v="4"/>
    <n v="10"/>
    <n v="4"/>
    <n v="8"/>
    <n v="7"/>
  </r>
  <r>
    <n v="44"/>
    <x v="0"/>
    <x v="0"/>
    <n v="1"/>
    <s v="Human Resources"/>
    <n v="2"/>
    <x v="1"/>
    <n v="2"/>
    <x v="2"/>
    <x v="8"/>
    <x v="3"/>
    <n v="10482"/>
    <x v="1"/>
    <s v="No"/>
    <n v="14"/>
    <n v="3"/>
    <n v="4"/>
    <n v="24"/>
    <n v="3"/>
    <n v="20"/>
    <n v="6"/>
  </r>
  <r>
    <n v="33"/>
    <x v="1"/>
    <x v="1"/>
    <n v="0"/>
    <s v="Research &amp; Development"/>
    <n v="4"/>
    <x v="1"/>
    <n v="2"/>
    <x v="2"/>
    <x v="4"/>
    <x v="0"/>
    <n v="7119"/>
    <x v="1"/>
    <s v="No"/>
    <n v="15"/>
    <n v="3"/>
    <n v="3"/>
    <n v="9"/>
    <n v="3"/>
    <n v="3"/>
    <n v="2"/>
  </r>
  <r>
    <n v="35"/>
    <x v="1"/>
    <x v="0"/>
    <n v="1"/>
    <s v="Sales"/>
    <n v="4"/>
    <x v="1"/>
    <n v="3"/>
    <x v="2"/>
    <x v="0"/>
    <x v="3"/>
    <n v="9582"/>
    <x v="1"/>
    <s v="Yes"/>
    <n v="22"/>
    <n v="4"/>
    <n v="1"/>
    <n v="9"/>
    <n v="3"/>
    <n v="8"/>
    <n v="7"/>
  </r>
  <r>
    <n v="33"/>
    <x v="1"/>
    <x v="0"/>
    <n v="1"/>
    <s v="Research &amp; Development"/>
    <n v="1"/>
    <x v="0"/>
    <n v="2"/>
    <x v="0"/>
    <x v="1"/>
    <x v="2"/>
    <n v="4508"/>
    <x v="0"/>
    <s v="No"/>
    <n v="22"/>
    <n v="4"/>
    <n v="2"/>
    <n v="14"/>
    <n v="3"/>
    <n v="13"/>
    <n v="7"/>
  </r>
  <r>
    <n v="28"/>
    <x v="2"/>
    <x v="1"/>
    <n v="0"/>
    <s v="Research &amp; Development"/>
    <n v="1"/>
    <x v="1"/>
    <n v="3"/>
    <x v="1"/>
    <x v="2"/>
    <x v="2"/>
    <n v="2207"/>
    <x v="0"/>
    <s v="No"/>
    <n v="16"/>
    <n v="3"/>
    <n v="4"/>
    <n v="4"/>
    <n v="2"/>
    <n v="4"/>
    <n v="2"/>
  </r>
  <r>
    <n v="34"/>
    <x v="1"/>
    <x v="1"/>
    <n v="0"/>
    <s v="Research &amp; Development"/>
    <n v="1"/>
    <x v="1"/>
    <n v="3"/>
    <x v="0"/>
    <x v="4"/>
    <x v="0"/>
    <n v="7756"/>
    <x v="1"/>
    <s v="No"/>
    <n v="17"/>
    <n v="3"/>
    <n v="3"/>
    <n v="7"/>
    <n v="2"/>
    <n v="6"/>
    <n v="2"/>
  </r>
  <r>
    <n v="37"/>
    <x v="1"/>
    <x v="1"/>
    <n v="0"/>
    <s v="Sales"/>
    <n v="4"/>
    <x v="0"/>
    <n v="2"/>
    <x v="0"/>
    <x v="0"/>
    <x v="0"/>
    <n v="6694"/>
    <x v="0"/>
    <s v="Yes"/>
    <n v="14"/>
    <n v="3"/>
    <n v="3"/>
    <n v="8"/>
    <n v="3"/>
    <n v="1"/>
    <n v="0"/>
  </r>
  <r>
    <n v="25"/>
    <x v="2"/>
    <x v="0"/>
    <n v="1"/>
    <s v="Research &amp; Development"/>
    <n v="4"/>
    <x v="1"/>
    <n v="3"/>
    <x v="1"/>
    <x v="2"/>
    <x v="0"/>
    <n v="3691"/>
    <x v="0"/>
    <s v="Yes"/>
    <n v="15"/>
    <n v="3"/>
    <n v="2"/>
    <n v="7"/>
    <n v="4"/>
    <n v="7"/>
    <n v="7"/>
  </r>
  <r>
    <n v="26"/>
    <x v="2"/>
    <x v="0"/>
    <n v="1"/>
    <s v="Research &amp; Development"/>
    <n v="1"/>
    <x v="1"/>
    <n v="3"/>
    <x v="1"/>
    <x v="2"/>
    <x v="2"/>
    <n v="2377"/>
    <x v="0"/>
    <s v="No"/>
    <n v="20"/>
    <n v="4"/>
    <n v="3"/>
    <n v="1"/>
    <n v="2"/>
    <n v="1"/>
    <n v="1"/>
  </r>
  <r>
    <n v="33"/>
    <x v="1"/>
    <x v="0"/>
    <n v="1"/>
    <s v="Research &amp; Development"/>
    <n v="1"/>
    <x v="1"/>
    <n v="2"/>
    <x v="1"/>
    <x v="1"/>
    <x v="1"/>
    <n v="2313"/>
    <x v="0"/>
    <s v="Yes"/>
    <n v="20"/>
    <n v="4"/>
    <n v="2"/>
    <n v="5"/>
    <n v="3"/>
    <n v="2"/>
    <n v="2"/>
  </r>
  <r>
    <n v="42"/>
    <x v="0"/>
    <x v="1"/>
    <n v="0"/>
    <s v="Research &amp; Development"/>
    <n v="4"/>
    <x v="1"/>
    <n v="3"/>
    <x v="3"/>
    <x v="5"/>
    <x v="3"/>
    <n v="17665"/>
    <x v="2"/>
    <s v="No"/>
    <n v="17"/>
    <n v="3"/>
    <n v="4"/>
    <n v="23"/>
    <n v="3"/>
    <n v="22"/>
    <n v="6"/>
  </r>
  <r>
    <n v="28"/>
    <x v="2"/>
    <x v="0"/>
    <n v="1"/>
    <s v="Research &amp; Development"/>
    <n v="1"/>
    <x v="1"/>
    <n v="2"/>
    <x v="1"/>
    <x v="2"/>
    <x v="1"/>
    <n v="2596"/>
    <x v="0"/>
    <s v="No"/>
    <n v="15"/>
    <n v="3"/>
    <n v="1"/>
    <n v="1"/>
    <n v="3"/>
    <n v="1"/>
    <n v="0"/>
  </r>
  <r>
    <n v="50"/>
    <x v="0"/>
    <x v="0"/>
    <n v="1"/>
    <s v="Sales"/>
    <n v="4"/>
    <x v="1"/>
    <n v="3"/>
    <x v="0"/>
    <x v="0"/>
    <x v="2"/>
    <n v="4728"/>
    <x v="0"/>
    <s v="Yes"/>
    <n v="14"/>
    <n v="3"/>
    <n v="4"/>
    <n v="5"/>
    <n v="3"/>
    <n v="0"/>
    <n v="0"/>
  </r>
  <r>
    <n v="33"/>
    <x v="1"/>
    <x v="1"/>
    <n v="0"/>
    <s v="Sales"/>
    <n v="4"/>
    <x v="0"/>
    <n v="3"/>
    <x v="0"/>
    <x v="0"/>
    <x v="1"/>
    <n v="4302"/>
    <x v="0"/>
    <s v="No"/>
    <n v="17"/>
    <n v="3"/>
    <n v="3"/>
    <n v="4"/>
    <n v="3"/>
    <n v="3"/>
    <n v="2"/>
  </r>
  <r>
    <n v="34"/>
    <x v="1"/>
    <x v="1"/>
    <n v="0"/>
    <s v="Research &amp; Development"/>
    <n v="3"/>
    <x v="1"/>
    <n v="2"/>
    <x v="1"/>
    <x v="1"/>
    <x v="0"/>
    <n v="2979"/>
    <x v="0"/>
    <s v="No"/>
    <n v="17"/>
    <n v="3"/>
    <n v="4"/>
    <n v="6"/>
    <n v="3"/>
    <n v="0"/>
    <n v="0"/>
  </r>
  <r>
    <n v="48"/>
    <x v="0"/>
    <x v="1"/>
    <n v="0"/>
    <s v="Research &amp; Development"/>
    <n v="1"/>
    <x v="1"/>
    <n v="4"/>
    <x v="3"/>
    <x v="5"/>
    <x v="0"/>
    <n v="16885"/>
    <x v="2"/>
    <s v="No"/>
    <n v="22"/>
    <n v="4"/>
    <n v="3"/>
    <n v="27"/>
    <n v="2"/>
    <n v="5"/>
    <n v="4"/>
  </r>
  <r>
    <n v="45"/>
    <x v="0"/>
    <x v="1"/>
    <n v="0"/>
    <s v="Sales"/>
    <n v="2"/>
    <x v="0"/>
    <n v="2"/>
    <x v="0"/>
    <x v="0"/>
    <x v="2"/>
    <n v="5593"/>
    <x v="0"/>
    <s v="No"/>
    <n v="13"/>
    <n v="3"/>
    <n v="4"/>
    <n v="15"/>
    <n v="3"/>
    <n v="15"/>
    <n v="10"/>
  </r>
  <r>
    <n v="52"/>
    <x v="0"/>
    <x v="1"/>
    <n v="0"/>
    <s v="Research &amp; Development"/>
    <n v="2"/>
    <x v="1"/>
    <n v="3"/>
    <x v="2"/>
    <x v="4"/>
    <x v="1"/>
    <n v="10445"/>
    <x v="1"/>
    <s v="No"/>
    <n v="19"/>
    <n v="3"/>
    <n v="4"/>
    <n v="18"/>
    <n v="3"/>
    <n v="8"/>
    <n v="6"/>
  </r>
  <r>
    <n v="38"/>
    <x v="1"/>
    <x v="1"/>
    <n v="0"/>
    <s v="Sales"/>
    <n v="3"/>
    <x v="1"/>
    <n v="2"/>
    <x v="2"/>
    <x v="0"/>
    <x v="2"/>
    <n v="8740"/>
    <x v="1"/>
    <s v="Yes"/>
    <n v="14"/>
    <n v="3"/>
    <n v="2"/>
    <n v="9"/>
    <n v="3"/>
    <n v="8"/>
    <n v="7"/>
  </r>
  <r>
    <n v="29"/>
    <x v="2"/>
    <x v="1"/>
    <n v="0"/>
    <s v="Research &amp; Development"/>
    <n v="3"/>
    <x v="0"/>
    <n v="3"/>
    <x v="1"/>
    <x v="1"/>
    <x v="0"/>
    <n v="2514"/>
    <x v="0"/>
    <s v="No"/>
    <n v="22"/>
    <n v="4"/>
    <n v="1"/>
    <n v="11"/>
    <n v="3"/>
    <n v="7"/>
    <n v="5"/>
  </r>
  <r>
    <n v="28"/>
    <x v="2"/>
    <x v="1"/>
    <n v="0"/>
    <s v="Research &amp; Development"/>
    <n v="4"/>
    <x v="0"/>
    <n v="3"/>
    <x v="2"/>
    <x v="3"/>
    <x v="1"/>
    <n v="7655"/>
    <x v="1"/>
    <s v="No"/>
    <n v="17"/>
    <n v="3"/>
    <n v="2"/>
    <n v="10"/>
    <n v="2"/>
    <n v="9"/>
    <n v="7"/>
  </r>
  <r>
    <n v="46"/>
    <x v="0"/>
    <x v="1"/>
    <n v="0"/>
    <s v="Sales"/>
    <n v="1"/>
    <x v="1"/>
    <n v="3"/>
    <x v="3"/>
    <x v="5"/>
    <x v="2"/>
    <n v="17465"/>
    <x v="2"/>
    <s v="No"/>
    <n v="12"/>
    <n v="3"/>
    <n v="4"/>
    <n v="23"/>
    <n v="3"/>
    <n v="12"/>
    <n v="9"/>
  </r>
  <r>
    <n v="38"/>
    <x v="1"/>
    <x v="1"/>
    <n v="0"/>
    <s v="Sales"/>
    <n v="4"/>
    <x v="1"/>
    <n v="3"/>
    <x v="2"/>
    <x v="0"/>
    <x v="1"/>
    <n v="7351"/>
    <x v="1"/>
    <s v="No"/>
    <n v="16"/>
    <n v="3"/>
    <n v="3"/>
    <n v="10"/>
    <n v="3"/>
    <n v="1"/>
    <n v="0"/>
  </r>
  <r>
    <n v="43"/>
    <x v="0"/>
    <x v="1"/>
    <n v="0"/>
    <s v="Research &amp; Development"/>
    <n v="3"/>
    <x v="0"/>
    <n v="3"/>
    <x v="2"/>
    <x v="3"/>
    <x v="3"/>
    <n v="10820"/>
    <x v="1"/>
    <s v="No"/>
    <n v="11"/>
    <n v="3"/>
    <n v="3"/>
    <n v="18"/>
    <n v="3"/>
    <n v="8"/>
    <n v="7"/>
  </r>
  <r>
    <n v="39"/>
    <x v="1"/>
    <x v="0"/>
    <n v="1"/>
    <s v="Research &amp; Development"/>
    <n v="1"/>
    <x v="1"/>
    <n v="3"/>
    <x v="3"/>
    <x v="4"/>
    <x v="0"/>
    <n v="12169"/>
    <x v="1"/>
    <s v="No"/>
    <n v="11"/>
    <n v="3"/>
    <n v="4"/>
    <n v="21"/>
    <n v="3"/>
    <n v="18"/>
    <n v="7"/>
  </r>
  <r>
    <n v="40"/>
    <x v="1"/>
    <x v="1"/>
    <n v="0"/>
    <s v="Research &amp; Development"/>
    <n v="3"/>
    <x v="1"/>
    <n v="2"/>
    <x v="4"/>
    <x v="7"/>
    <x v="2"/>
    <n v="19626"/>
    <x v="2"/>
    <s v="No"/>
    <n v="14"/>
    <n v="3"/>
    <n v="1"/>
    <n v="21"/>
    <n v="4"/>
    <n v="20"/>
    <n v="7"/>
  </r>
  <r>
    <n v="21"/>
    <x v="2"/>
    <x v="1"/>
    <n v="0"/>
    <s v="Research &amp; Development"/>
    <n v="4"/>
    <x v="0"/>
    <n v="2"/>
    <x v="1"/>
    <x v="1"/>
    <x v="1"/>
    <n v="2070"/>
    <x v="0"/>
    <s v="Yes"/>
    <n v="11"/>
    <n v="3"/>
    <n v="3"/>
    <n v="2"/>
    <n v="4"/>
    <n v="2"/>
    <n v="2"/>
  </r>
  <r>
    <n v="39"/>
    <x v="1"/>
    <x v="1"/>
    <n v="0"/>
    <s v="Research &amp; Development"/>
    <n v="3"/>
    <x v="1"/>
    <n v="3"/>
    <x v="0"/>
    <x v="2"/>
    <x v="1"/>
    <n v="6782"/>
    <x v="0"/>
    <s v="No"/>
    <n v="15"/>
    <n v="3"/>
    <n v="3"/>
    <n v="9"/>
    <n v="2"/>
    <n v="5"/>
    <n v="4"/>
  </r>
  <r>
    <n v="36"/>
    <x v="1"/>
    <x v="1"/>
    <n v="0"/>
    <s v="Research &amp; Development"/>
    <n v="1"/>
    <x v="1"/>
    <n v="3"/>
    <x v="0"/>
    <x v="3"/>
    <x v="0"/>
    <n v="7779"/>
    <x v="1"/>
    <s v="No"/>
    <n v="20"/>
    <n v="4"/>
    <n v="1"/>
    <n v="18"/>
    <n v="3"/>
    <n v="11"/>
    <n v="9"/>
  </r>
  <r>
    <n v="31"/>
    <x v="1"/>
    <x v="1"/>
    <n v="0"/>
    <s v="Sales"/>
    <n v="3"/>
    <x v="1"/>
    <n v="4"/>
    <x v="1"/>
    <x v="6"/>
    <x v="0"/>
    <n v="2791"/>
    <x v="0"/>
    <s v="No"/>
    <n v="12"/>
    <n v="3"/>
    <n v="1"/>
    <n v="3"/>
    <n v="3"/>
    <n v="2"/>
    <n v="2"/>
  </r>
  <r>
    <n v="28"/>
    <x v="2"/>
    <x v="1"/>
    <n v="0"/>
    <s v="Research &amp; Development"/>
    <n v="1"/>
    <x v="1"/>
    <n v="2"/>
    <x v="1"/>
    <x v="1"/>
    <x v="1"/>
    <n v="3201"/>
    <x v="0"/>
    <s v="No"/>
    <n v="17"/>
    <n v="3"/>
    <n v="1"/>
    <n v="6"/>
    <n v="1"/>
    <n v="5"/>
    <n v="3"/>
  </r>
  <r>
    <n v="35"/>
    <x v="1"/>
    <x v="1"/>
    <n v="0"/>
    <s v="Sales"/>
    <n v="4"/>
    <x v="1"/>
    <n v="3"/>
    <x v="0"/>
    <x v="0"/>
    <x v="0"/>
    <n v="4968"/>
    <x v="0"/>
    <s v="No"/>
    <n v="11"/>
    <n v="3"/>
    <n v="4"/>
    <n v="5"/>
    <n v="3"/>
    <n v="5"/>
    <n v="2"/>
  </r>
  <r>
    <n v="49"/>
    <x v="0"/>
    <x v="1"/>
    <n v="0"/>
    <s v="Sales"/>
    <n v="4"/>
    <x v="1"/>
    <n v="2"/>
    <x v="3"/>
    <x v="0"/>
    <x v="1"/>
    <n v="13120"/>
    <x v="1"/>
    <s v="No"/>
    <n v="17"/>
    <n v="3"/>
    <n v="2"/>
    <n v="22"/>
    <n v="3"/>
    <n v="9"/>
    <n v="8"/>
  </r>
  <r>
    <n v="34"/>
    <x v="1"/>
    <x v="1"/>
    <n v="0"/>
    <s v="Research &amp; Development"/>
    <n v="4"/>
    <x v="1"/>
    <n v="3"/>
    <x v="0"/>
    <x v="3"/>
    <x v="2"/>
    <n v="4033"/>
    <x v="0"/>
    <s v="No"/>
    <n v="11"/>
    <n v="3"/>
    <n v="4"/>
    <n v="5"/>
    <n v="2"/>
    <n v="3"/>
    <n v="2"/>
  </r>
  <r>
    <n v="29"/>
    <x v="2"/>
    <x v="1"/>
    <n v="0"/>
    <s v="Research &amp; Development"/>
    <n v="4"/>
    <x v="0"/>
    <n v="3"/>
    <x v="1"/>
    <x v="1"/>
    <x v="1"/>
    <n v="3291"/>
    <x v="0"/>
    <s v="No"/>
    <n v="14"/>
    <n v="3"/>
    <n v="4"/>
    <n v="8"/>
    <n v="2"/>
    <n v="7"/>
    <n v="5"/>
  </r>
  <r>
    <n v="42"/>
    <x v="0"/>
    <x v="1"/>
    <n v="0"/>
    <s v="Research &amp; Development"/>
    <n v="2"/>
    <x v="1"/>
    <n v="1"/>
    <x v="0"/>
    <x v="2"/>
    <x v="0"/>
    <n v="4272"/>
    <x v="0"/>
    <s v="No"/>
    <n v="19"/>
    <n v="3"/>
    <n v="1"/>
    <n v="16"/>
    <n v="3"/>
    <n v="1"/>
    <n v="0"/>
  </r>
  <r>
    <n v="29"/>
    <x v="2"/>
    <x v="1"/>
    <n v="0"/>
    <s v="Research &amp; Development"/>
    <n v="2"/>
    <x v="1"/>
    <n v="2"/>
    <x v="0"/>
    <x v="3"/>
    <x v="0"/>
    <n v="5056"/>
    <x v="0"/>
    <s v="Yes"/>
    <n v="15"/>
    <n v="3"/>
    <n v="3"/>
    <n v="10"/>
    <n v="2"/>
    <n v="10"/>
    <n v="7"/>
  </r>
  <r>
    <n v="38"/>
    <x v="1"/>
    <x v="1"/>
    <n v="0"/>
    <s v="Human Resources"/>
    <n v="3"/>
    <x v="1"/>
    <n v="4"/>
    <x v="1"/>
    <x v="8"/>
    <x v="2"/>
    <n v="2844"/>
    <x v="0"/>
    <s v="No"/>
    <n v="13"/>
    <n v="3"/>
    <n v="4"/>
    <n v="7"/>
    <n v="4"/>
    <n v="7"/>
    <n v="6"/>
  </r>
  <r>
    <n v="28"/>
    <x v="2"/>
    <x v="1"/>
    <n v="0"/>
    <s v="Research &amp; Development"/>
    <n v="3"/>
    <x v="1"/>
    <n v="2"/>
    <x v="1"/>
    <x v="1"/>
    <x v="2"/>
    <n v="2703"/>
    <x v="0"/>
    <s v="Yes"/>
    <n v="14"/>
    <n v="3"/>
    <n v="4"/>
    <n v="3"/>
    <n v="3"/>
    <n v="3"/>
    <n v="1"/>
  </r>
  <r>
    <n v="18"/>
    <x v="2"/>
    <x v="0"/>
    <n v="1"/>
    <s v="Research &amp; Development"/>
    <n v="3"/>
    <x v="1"/>
    <n v="3"/>
    <x v="1"/>
    <x v="2"/>
    <x v="2"/>
    <n v="1904"/>
    <x v="0"/>
    <s v="No"/>
    <n v="12"/>
    <n v="3"/>
    <n v="4"/>
    <n v="0"/>
    <n v="3"/>
    <n v="0"/>
    <n v="0"/>
  </r>
  <r>
    <n v="33"/>
    <x v="1"/>
    <x v="0"/>
    <n v="1"/>
    <s v="Sales"/>
    <n v="1"/>
    <x v="0"/>
    <n v="3"/>
    <x v="0"/>
    <x v="0"/>
    <x v="3"/>
    <n v="8224"/>
    <x v="1"/>
    <s v="Yes"/>
    <n v="17"/>
    <n v="3"/>
    <n v="1"/>
    <n v="6"/>
    <n v="3"/>
    <n v="5"/>
    <n v="2"/>
  </r>
  <r>
    <n v="41"/>
    <x v="0"/>
    <x v="1"/>
    <n v="0"/>
    <s v="Research &amp; Development"/>
    <n v="2"/>
    <x v="1"/>
    <n v="3"/>
    <x v="1"/>
    <x v="2"/>
    <x v="0"/>
    <n v="4766"/>
    <x v="0"/>
    <s v="Yes"/>
    <n v="11"/>
    <n v="3"/>
    <n v="1"/>
    <n v="6"/>
    <n v="3"/>
    <n v="1"/>
    <n v="0"/>
  </r>
  <r>
    <n v="31"/>
    <x v="1"/>
    <x v="0"/>
    <n v="1"/>
    <s v="Research &amp; Development"/>
    <n v="3"/>
    <x v="1"/>
    <n v="3"/>
    <x v="1"/>
    <x v="2"/>
    <x v="2"/>
    <n v="2610"/>
    <x v="0"/>
    <s v="No"/>
    <n v="12"/>
    <n v="3"/>
    <n v="3"/>
    <n v="2"/>
    <n v="2"/>
    <n v="2"/>
    <n v="2"/>
  </r>
  <r>
    <n v="37"/>
    <x v="1"/>
    <x v="1"/>
    <n v="0"/>
    <s v="Research &amp; Development"/>
    <n v="3"/>
    <x v="0"/>
    <n v="2"/>
    <x v="0"/>
    <x v="4"/>
    <x v="0"/>
    <n v="5731"/>
    <x v="0"/>
    <s v="No"/>
    <n v="13"/>
    <n v="3"/>
    <n v="3"/>
    <n v="9"/>
    <n v="3"/>
    <n v="6"/>
    <n v="2"/>
  </r>
  <r>
    <n v="27"/>
    <x v="2"/>
    <x v="1"/>
    <n v="0"/>
    <s v="Research &amp; Development"/>
    <n v="4"/>
    <x v="1"/>
    <n v="2"/>
    <x v="1"/>
    <x v="1"/>
    <x v="2"/>
    <n v="2539"/>
    <x v="0"/>
    <s v="No"/>
    <n v="13"/>
    <n v="3"/>
    <n v="3"/>
    <n v="4"/>
    <n v="3"/>
    <n v="4"/>
    <n v="2"/>
  </r>
  <r>
    <n v="34"/>
    <x v="1"/>
    <x v="1"/>
    <n v="0"/>
    <s v="Sales"/>
    <n v="2"/>
    <x v="0"/>
    <n v="3"/>
    <x v="0"/>
    <x v="0"/>
    <x v="2"/>
    <n v="5714"/>
    <x v="0"/>
    <s v="No"/>
    <n v="20"/>
    <n v="4"/>
    <n v="1"/>
    <n v="6"/>
    <n v="2"/>
    <n v="6"/>
    <n v="5"/>
  </r>
  <r>
    <n v="35"/>
    <x v="1"/>
    <x v="1"/>
    <n v="0"/>
    <s v="Human Resources"/>
    <n v="3"/>
    <x v="1"/>
    <n v="3"/>
    <x v="1"/>
    <x v="8"/>
    <x v="2"/>
    <n v="4323"/>
    <x v="0"/>
    <s v="No"/>
    <n v="17"/>
    <n v="3"/>
    <n v="2"/>
    <n v="6"/>
    <n v="1"/>
    <n v="5"/>
    <n v="4"/>
  </r>
  <r>
    <n v="29"/>
    <x v="2"/>
    <x v="0"/>
    <n v="1"/>
    <s v="Sales"/>
    <n v="4"/>
    <x v="0"/>
    <n v="2"/>
    <x v="2"/>
    <x v="0"/>
    <x v="3"/>
    <n v="7336"/>
    <x v="1"/>
    <s v="No"/>
    <n v="13"/>
    <n v="3"/>
    <n v="1"/>
    <n v="11"/>
    <n v="1"/>
    <n v="11"/>
    <n v="8"/>
  </r>
  <r>
    <n v="40"/>
    <x v="1"/>
    <x v="1"/>
    <n v="0"/>
    <s v="Research &amp; Development"/>
    <n v="2"/>
    <x v="0"/>
    <n v="3"/>
    <x v="2"/>
    <x v="7"/>
    <x v="2"/>
    <n v="13499"/>
    <x v="1"/>
    <s v="No"/>
    <n v="17"/>
    <n v="3"/>
    <n v="3"/>
    <n v="20"/>
    <n v="2"/>
    <n v="18"/>
    <n v="7"/>
  </r>
  <r>
    <n v="42"/>
    <x v="0"/>
    <x v="0"/>
    <n v="1"/>
    <s v="Sales"/>
    <n v="3"/>
    <x v="1"/>
    <n v="3"/>
    <x v="3"/>
    <x v="0"/>
    <x v="3"/>
    <n v="13758"/>
    <x v="1"/>
    <s v="Yes"/>
    <n v="12"/>
    <n v="3"/>
    <n v="2"/>
    <n v="22"/>
    <n v="2"/>
    <n v="21"/>
    <n v="9"/>
  </r>
  <r>
    <n v="42"/>
    <x v="0"/>
    <x v="1"/>
    <n v="0"/>
    <s v="Sales"/>
    <n v="2"/>
    <x v="1"/>
    <n v="3"/>
    <x v="0"/>
    <x v="0"/>
    <x v="3"/>
    <n v="5155"/>
    <x v="0"/>
    <s v="No"/>
    <n v="13"/>
    <n v="3"/>
    <n v="4"/>
    <n v="9"/>
    <n v="4"/>
    <n v="6"/>
    <n v="4"/>
  </r>
  <r>
    <n v="35"/>
    <x v="1"/>
    <x v="1"/>
    <n v="0"/>
    <s v="Research &amp; Development"/>
    <n v="4"/>
    <x v="1"/>
    <n v="2"/>
    <x v="1"/>
    <x v="2"/>
    <x v="2"/>
    <n v="2258"/>
    <x v="0"/>
    <s v="No"/>
    <n v="12"/>
    <n v="3"/>
    <n v="2"/>
    <n v="10"/>
    <n v="3"/>
    <n v="8"/>
    <n v="0"/>
  </r>
  <r>
    <n v="24"/>
    <x v="2"/>
    <x v="1"/>
    <n v="0"/>
    <s v="Research &amp; Development"/>
    <n v="4"/>
    <x v="1"/>
    <n v="3"/>
    <x v="1"/>
    <x v="2"/>
    <x v="1"/>
    <n v="3597"/>
    <x v="0"/>
    <s v="No"/>
    <n v="22"/>
    <n v="4"/>
    <n v="4"/>
    <n v="6"/>
    <n v="3"/>
    <n v="4"/>
    <n v="3"/>
  </r>
  <r>
    <n v="28"/>
    <x v="2"/>
    <x v="0"/>
    <n v="1"/>
    <s v="Research &amp; Development"/>
    <n v="3"/>
    <x v="0"/>
    <n v="3"/>
    <x v="1"/>
    <x v="2"/>
    <x v="0"/>
    <n v="2515"/>
    <x v="0"/>
    <s v="Yes"/>
    <n v="11"/>
    <n v="3"/>
    <n v="4"/>
    <n v="1"/>
    <n v="2"/>
    <n v="1"/>
    <n v="1"/>
  </r>
  <r>
    <n v="26"/>
    <x v="2"/>
    <x v="1"/>
    <n v="0"/>
    <s v="Research &amp; Development"/>
    <n v="1"/>
    <x v="1"/>
    <n v="4"/>
    <x v="1"/>
    <x v="2"/>
    <x v="0"/>
    <n v="4420"/>
    <x v="0"/>
    <s v="No"/>
    <n v="22"/>
    <n v="4"/>
    <n v="2"/>
    <n v="8"/>
    <n v="3"/>
    <n v="8"/>
    <n v="7"/>
  </r>
  <r>
    <n v="30"/>
    <x v="2"/>
    <x v="1"/>
    <n v="0"/>
    <s v="Sales"/>
    <n v="3"/>
    <x v="1"/>
    <n v="2"/>
    <x v="0"/>
    <x v="0"/>
    <x v="2"/>
    <n v="6578"/>
    <x v="0"/>
    <s v="No"/>
    <n v="18"/>
    <n v="3"/>
    <n v="1"/>
    <n v="10"/>
    <n v="3"/>
    <n v="10"/>
    <n v="3"/>
  </r>
  <r>
    <n v="40"/>
    <x v="1"/>
    <x v="1"/>
    <n v="0"/>
    <s v="Research &amp; Development"/>
    <n v="3"/>
    <x v="0"/>
    <n v="2"/>
    <x v="0"/>
    <x v="1"/>
    <x v="0"/>
    <n v="4422"/>
    <x v="0"/>
    <s v="Yes"/>
    <n v="13"/>
    <n v="3"/>
    <n v="4"/>
    <n v="16"/>
    <n v="1"/>
    <n v="1"/>
    <n v="1"/>
  </r>
  <r>
    <n v="35"/>
    <x v="1"/>
    <x v="1"/>
    <n v="0"/>
    <s v="Research &amp; Development"/>
    <n v="3"/>
    <x v="1"/>
    <n v="2"/>
    <x v="2"/>
    <x v="3"/>
    <x v="1"/>
    <n v="10274"/>
    <x v="1"/>
    <s v="No"/>
    <n v="18"/>
    <n v="3"/>
    <n v="2"/>
    <n v="15"/>
    <n v="4"/>
    <n v="7"/>
    <n v="7"/>
  </r>
  <r>
    <n v="34"/>
    <x v="1"/>
    <x v="1"/>
    <n v="0"/>
    <s v="Research &amp; Development"/>
    <n v="4"/>
    <x v="1"/>
    <n v="2"/>
    <x v="0"/>
    <x v="4"/>
    <x v="3"/>
    <n v="5343"/>
    <x v="0"/>
    <s v="No"/>
    <n v="20"/>
    <n v="4"/>
    <n v="3"/>
    <n v="14"/>
    <n v="3"/>
    <n v="13"/>
    <n v="9"/>
  </r>
  <r>
    <n v="35"/>
    <x v="1"/>
    <x v="1"/>
    <n v="0"/>
    <s v="Research &amp; Development"/>
    <n v="4"/>
    <x v="1"/>
    <n v="2"/>
    <x v="1"/>
    <x v="2"/>
    <x v="0"/>
    <n v="2376"/>
    <x v="0"/>
    <s v="No"/>
    <n v="13"/>
    <n v="3"/>
    <n v="2"/>
    <n v="2"/>
    <n v="4"/>
    <n v="2"/>
    <n v="2"/>
  </r>
  <r>
    <n v="43"/>
    <x v="0"/>
    <x v="0"/>
    <n v="1"/>
    <s v="Sales"/>
    <n v="1"/>
    <x v="0"/>
    <n v="1"/>
    <x v="0"/>
    <x v="0"/>
    <x v="2"/>
    <n v="5346"/>
    <x v="0"/>
    <s v="No"/>
    <n v="13"/>
    <n v="3"/>
    <n v="2"/>
    <n v="7"/>
    <n v="2"/>
    <n v="4"/>
    <n v="3"/>
  </r>
  <r>
    <n v="32"/>
    <x v="1"/>
    <x v="1"/>
    <n v="0"/>
    <s v="Sales"/>
    <n v="3"/>
    <x v="0"/>
    <n v="3"/>
    <x v="1"/>
    <x v="6"/>
    <x v="3"/>
    <n v="2827"/>
    <x v="0"/>
    <s v="No"/>
    <n v="12"/>
    <n v="3"/>
    <n v="3"/>
    <n v="1"/>
    <n v="3"/>
    <n v="1"/>
    <n v="0"/>
  </r>
  <r>
    <n v="56"/>
    <x v="0"/>
    <x v="1"/>
    <n v="0"/>
    <s v="Research &amp; Development"/>
    <n v="4"/>
    <x v="0"/>
    <n v="3"/>
    <x v="4"/>
    <x v="5"/>
    <x v="3"/>
    <n v="19943"/>
    <x v="2"/>
    <s v="No"/>
    <n v="13"/>
    <n v="3"/>
    <n v="4"/>
    <n v="28"/>
    <n v="3"/>
    <n v="5"/>
    <n v="2"/>
  </r>
  <r>
    <n v="29"/>
    <x v="2"/>
    <x v="1"/>
    <n v="0"/>
    <s v="Research &amp; Development"/>
    <n v="2"/>
    <x v="0"/>
    <n v="3"/>
    <x v="1"/>
    <x v="2"/>
    <x v="0"/>
    <n v="3131"/>
    <x v="0"/>
    <s v="No"/>
    <n v="13"/>
    <n v="3"/>
    <n v="1"/>
    <n v="10"/>
    <n v="3"/>
    <n v="10"/>
    <n v="8"/>
  </r>
  <r>
    <n v="19"/>
    <x v="2"/>
    <x v="1"/>
    <n v="0"/>
    <s v="Research &amp; Development"/>
    <n v="3"/>
    <x v="1"/>
    <n v="3"/>
    <x v="1"/>
    <x v="1"/>
    <x v="3"/>
    <n v="2552"/>
    <x v="0"/>
    <s v="No"/>
    <n v="25"/>
    <n v="4"/>
    <n v="3"/>
    <n v="1"/>
    <n v="3"/>
    <n v="1"/>
    <n v="1"/>
  </r>
  <r>
    <n v="45"/>
    <x v="0"/>
    <x v="1"/>
    <n v="0"/>
    <s v="Research &amp; Development"/>
    <n v="1"/>
    <x v="0"/>
    <n v="3"/>
    <x v="1"/>
    <x v="1"/>
    <x v="2"/>
    <n v="4477"/>
    <x v="0"/>
    <s v="Yes"/>
    <n v="19"/>
    <n v="3"/>
    <n v="3"/>
    <n v="7"/>
    <n v="2"/>
    <n v="3"/>
    <n v="2"/>
  </r>
  <r>
    <n v="37"/>
    <x v="1"/>
    <x v="1"/>
    <n v="0"/>
    <s v="Research &amp; Development"/>
    <n v="4"/>
    <x v="0"/>
    <n v="2"/>
    <x v="0"/>
    <x v="3"/>
    <x v="0"/>
    <n v="6474"/>
    <x v="0"/>
    <s v="No"/>
    <n v="13"/>
    <n v="3"/>
    <n v="2"/>
    <n v="14"/>
    <n v="2"/>
    <n v="14"/>
    <n v="8"/>
  </r>
  <r>
    <n v="20"/>
    <x v="2"/>
    <x v="1"/>
    <n v="0"/>
    <s v="Research &amp; Development"/>
    <n v="1"/>
    <x v="1"/>
    <n v="2"/>
    <x v="1"/>
    <x v="2"/>
    <x v="2"/>
    <n v="3033"/>
    <x v="0"/>
    <s v="No"/>
    <n v="12"/>
    <n v="3"/>
    <n v="1"/>
    <n v="2"/>
    <n v="2"/>
    <n v="2"/>
    <n v="2"/>
  </r>
  <r>
    <n v="44"/>
    <x v="0"/>
    <x v="0"/>
    <n v="1"/>
    <s v="Research &amp; Development"/>
    <n v="3"/>
    <x v="1"/>
    <n v="3"/>
    <x v="1"/>
    <x v="1"/>
    <x v="2"/>
    <n v="2936"/>
    <x v="0"/>
    <s v="Yes"/>
    <n v="11"/>
    <n v="3"/>
    <n v="3"/>
    <n v="6"/>
    <n v="3"/>
    <n v="6"/>
    <n v="4"/>
  </r>
  <r>
    <n v="53"/>
    <x v="0"/>
    <x v="1"/>
    <n v="0"/>
    <s v="Research &amp; Development"/>
    <n v="4"/>
    <x v="0"/>
    <n v="3"/>
    <x v="4"/>
    <x v="5"/>
    <x v="2"/>
    <n v="18606"/>
    <x v="2"/>
    <s v="No"/>
    <n v="18"/>
    <n v="3"/>
    <n v="2"/>
    <n v="26"/>
    <n v="3"/>
    <n v="7"/>
    <n v="7"/>
  </r>
  <r>
    <n v="29"/>
    <x v="2"/>
    <x v="1"/>
    <n v="0"/>
    <s v="Research &amp; Development"/>
    <n v="2"/>
    <x v="0"/>
    <n v="1"/>
    <x v="1"/>
    <x v="1"/>
    <x v="0"/>
    <n v="2168"/>
    <x v="0"/>
    <s v="Yes"/>
    <n v="18"/>
    <n v="3"/>
    <n v="1"/>
    <n v="6"/>
    <n v="2"/>
    <n v="5"/>
    <n v="4"/>
  </r>
  <r>
    <n v="22"/>
    <x v="2"/>
    <x v="0"/>
    <n v="1"/>
    <s v="Research &amp; Development"/>
    <n v="3"/>
    <x v="1"/>
    <n v="2"/>
    <x v="1"/>
    <x v="1"/>
    <x v="0"/>
    <n v="2853"/>
    <x v="0"/>
    <s v="Yes"/>
    <n v="11"/>
    <n v="3"/>
    <n v="2"/>
    <n v="1"/>
    <n v="3"/>
    <n v="0"/>
    <n v="0"/>
  </r>
  <r>
    <n v="46"/>
    <x v="0"/>
    <x v="1"/>
    <n v="0"/>
    <s v="Sales"/>
    <n v="3"/>
    <x v="0"/>
    <n v="3"/>
    <x v="3"/>
    <x v="5"/>
    <x v="3"/>
    <n v="17048"/>
    <x v="2"/>
    <s v="No"/>
    <n v="23"/>
    <n v="4"/>
    <n v="1"/>
    <n v="28"/>
    <n v="3"/>
    <n v="26"/>
    <n v="15"/>
  </r>
  <r>
    <n v="44"/>
    <x v="0"/>
    <x v="1"/>
    <n v="0"/>
    <s v="Research &amp; Development"/>
    <n v="4"/>
    <x v="1"/>
    <n v="1"/>
    <x v="1"/>
    <x v="1"/>
    <x v="2"/>
    <n v="2290"/>
    <x v="0"/>
    <s v="No"/>
    <n v="13"/>
    <n v="3"/>
    <n v="4"/>
    <n v="6"/>
    <n v="3"/>
    <n v="0"/>
    <n v="0"/>
  </r>
  <r>
    <n v="33"/>
    <x v="1"/>
    <x v="1"/>
    <n v="0"/>
    <s v="Human Resources"/>
    <n v="2"/>
    <x v="1"/>
    <n v="3"/>
    <x v="1"/>
    <x v="8"/>
    <x v="2"/>
    <n v="3600"/>
    <x v="0"/>
    <s v="No"/>
    <n v="13"/>
    <n v="3"/>
    <n v="4"/>
    <n v="5"/>
    <n v="3"/>
    <n v="5"/>
    <n v="4"/>
  </r>
  <r>
    <n v="41"/>
    <x v="0"/>
    <x v="0"/>
    <n v="1"/>
    <s v="Research &amp; Development"/>
    <n v="1"/>
    <x v="1"/>
    <n v="2"/>
    <x v="1"/>
    <x v="1"/>
    <x v="3"/>
    <n v="2107"/>
    <x v="0"/>
    <s v="No"/>
    <n v="17"/>
    <n v="3"/>
    <n v="1"/>
    <n v="5"/>
    <n v="1"/>
    <n v="1"/>
    <n v="0"/>
  </r>
  <r>
    <n v="30"/>
    <x v="2"/>
    <x v="1"/>
    <n v="0"/>
    <s v="Sales"/>
    <n v="3"/>
    <x v="1"/>
    <n v="3"/>
    <x v="0"/>
    <x v="0"/>
    <x v="3"/>
    <n v="4115"/>
    <x v="0"/>
    <s v="No"/>
    <n v="19"/>
    <n v="3"/>
    <n v="3"/>
    <n v="8"/>
    <n v="3"/>
    <n v="4"/>
    <n v="3"/>
  </r>
  <r>
    <n v="40"/>
    <x v="1"/>
    <x v="1"/>
    <n v="0"/>
    <s v="Sales"/>
    <n v="2"/>
    <x v="1"/>
    <n v="3"/>
    <x v="0"/>
    <x v="0"/>
    <x v="1"/>
    <n v="4327"/>
    <x v="0"/>
    <s v="No"/>
    <n v="12"/>
    <n v="3"/>
    <n v="4"/>
    <n v="5"/>
    <n v="3"/>
    <n v="0"/>
    <n v="0"/>
  </r>
  <r>
    <n v="50"/>
    <x v="0"/>
    <x v="1"/>
    <n v="0"/>
    <s v="Research &amp; Development"/>
    <n v="4"/>
    <x v="0"/>
    <n v="3"/>
    <x v="3"/>
    <x v="5"/>
    <x v="3"/>
    <n v="17856"/>
    <x v="2"/>
    <s v="No"/>
    <n v="22"/>
    <n v="4"/>
    <n v="3"/>
    <n v="32"/>
    <n v="3"/>
    <n v="2"/>
    <n v="2"/>
  </r>
  <r>
    <n v="28"/>
    <x v="2"/>
    <x v="1"/>
    <n v="0"/>
    <s v="Research &amp; Development"/>
    <n v="4"/>
    <x v="1"/>
    <n v="2"/>
    <x v="1"/>
    <x v="2"/>
    <x v="3"/>
    <n v="3196"/>
    <x v="0"/>
    <s v="No"/>
    <n v="12"/>
    <n v="3"/>
    <n v="3"/>
    <n v="6"/>
    <n v="3"/>
    <n v="6"/>
    <n v="5"/>
  </r>
  <r>
    <n v="46"/>
    <x v="0"/>
    <x v="1"/>
    <n v="0"/>
    <s v="Research &amp; Development"/>
    <n v="4"/>
    <x v="1"/>
    <n v="3"/>
    <x v="4"/>
    <x v="7"/>
    <x v="1"/>
    <n v="19081"/>
    <x v="2"/>
    <s v="No"/>
    <n v="11"/>
    <n v="3"/>
    <n v="1"/>
    <n v="25"/>
    <n v="3"/>
    <n v="4"/>
    <n v="2"/>
  </r>
  <r>
    <n v="35"/>
    <x v="1"/>
    <x v="1"/>
    <n v="0"/>
    <s v="Sales"/>
    <n v="3"/>
    <x v="1"/>
    <n v="3"/>
    <x v="0"/>
    <x v="0"/>
    <x v="3"/>
    <n v="8966"/>
    <x v="1"/>
    <s v="Yes"/>
    <n v="15"/>
    <n v="3"/>
    <n v="4"/>
    <n v="15"/>
    <n v="3"/>
    <n v="7"/>
    <n v="7"/>
  </r>
  <r>
    <n v="24"/>
    <x v="2"/>
    <x v="0"/>
    <n v="1"/>
    <s v="Research &amp; Development"/>
    <n v="4"/>
    <x v="0"/>
    <n v="3"/>
    <x v="1"/>
    <x v="2"/>
    <x v="1"/>
    <n v="2210"/>
    <x v="0"/>
    <s v="No"/>
    <n v="13"/>
    <n v="3"/>
    <n v="1"/>
    <n v="1"/>
    <n v="1"/>
    <n v="1"/>
    <n v="0"/>
  </r>
  <r>
    <n v="33"/>
    <x v="1"/>
    <x v="1"/>
    <n v="0"/>
    <s v="Sales"/>
    <n v="2"/>
    <x v="0"/>
    <n v="3"/>
    <x v="0"/>
    <x v="0"/>
    <x v="2"/>
    <n v="4539"/>
    <x v="0"/>
    <s v="No"/>
    <n v="12"/>
    <n v="3"/>
    <n v="1"/>
    <n v="10"/>
    <n v="2"/>
    <n v="10"/>
    <n v="7"/>
  </r>
  <r>
    <n v="36"/>
    <x v="1"/>
    <x v="1"/>
    <n v="0"/>
    <s v="Research &amp; Development"/>
    <n v="3"/>
    <x v="1"/>
    <n v="1"/>
    <x v="1"/>
    <x v="2"/>
    <x v="2"/>
    <n v="2741"/>
    <x v="0"/>
    <s v="No"/>
    <n v="14"/>
    <n v="3"/>
    <n v="3"/>
    <n v="7"/>
    <n v="3"/>
    <n v="7"/>
    <n v="7"/>
  </r>
  <r>
    <n v="30"/>
    <x v="2"/>
    <x v="1"/>
    <n v="0"/>
    <s v="Research &amp; Development"/>
    <n v="3"/>
    <x v="1"/>
    <n v="3"/>
    <x v="0"/>
    <x v="2"/>
    <x v="2"/>
    <n v="3491"/>
    <x v="0"/>
    <s v="No"/>
    <n v="13"/>
    <n v="3"/>
    <n v="1"/>
    <n v="10"/>
    <n v="2"/>
    <n v="10"/>
    <n v="7"/>
  </r>
  <r>
    <n v="44"/>
    <x v="0"/>
    <x v="1"/>
    <n v="0"/>
    <s v="Research &amp; Development"/>
    <n v="4"/>
    <x v="1"/>
    <n v="3"/>
    <x v="0"/>
    <x v="1"/>
    <x v="0"/>
    <n v="4541"/>
    <x v="0"/>
    <s v="No"/>
    <n v="25"/>
    <n v="4"/>
    <n v="2"/>
    <n v="20"/>
    <n v="3"/>
    <n v="20"/>
    <n v="11"/>
  </r>
  <r>
    <n v="20"/>
    <x v="2"/>
    <x v="1"/>
    <n v="0"/>
    <s v="Sales"/>
    <n v="3"/>
    <x v="1"/>
    <n v="4"/>
    <x v="1"/>
    <x v="6"/>
    <x v="0"/>
    <n v="2678"/>
    <x v="0"/>
    <s v="No"/>
    <n v="17"/>
    <n v="3"/>
    <n v="4"/>
    <n v="2"/>
    <n v="3"/>
    <n v="2"/>
    <n v="1"/>
  </r>
  <r>
    <n v="46"/>
    <x v="0"/>
    <x v="1"/>
    <n v="0"/>
    <s v="Research &amp; Development"/>
    <n v="4"/>
    <x v="1"/>
    <n v="3"/>
    <x v="0"/>
    <x v="3"/>
    <x v="0"/>
    <n v="7379"/>
    <x v="1"/>
    <s v="No"/>
    <n v="11"/>
    <n v="3"/>
    <n v="3"/>
    <n v="12"/>
    <n v="2"/>
    <n v="6"/>
    <n v="3"/>
  </r>
  <r>
    <n v="42"/>
    <x v="0"/>
    <x v="1"/>
    <n v="0"/>
    <s v="Human Resources"/>
    <n v="4"/>
    <x v="1"/>
    <n v="4"/>
    <x v="0"/>
    <x v="8"/>
    <x v="3"/>
    <n v="6272"/>
    <x v="0"/>
    <s v="No"/>
    <n v="16"/>
    <n v="3"/>
    <n v="1"/>
    <n v="10"/>
    <n v="4"/>
    <n v="4"/>
    <n v="3"/>
  </r>
  <r>
    <n v="60"/>
    <x v="0"/>
    <x v="1"/>
    <n v="0"/>
    <s v="Sales"/>
    <n v="2"/>
    <x v="1"/>
    <n v="4"/>
    <x v="0"/>
    <x v="0"/>
    <x v="0"/>
    <n v="5220"/>
    <x v="0"/>
    <s v="Yes"/>
    <n v="18"/>
    <n v="3"/>
    <n v="2"/>
    <n v="12"/>
    <n v="3"/>
    <n v="11"/>
    <n v="7"/>
  </r>
  <r>
    <n v="32"/>
    <x v="1"/>
    <x v="1"/>
    <n v="0"/>
    <s v="Research &amp; Development"/>
    <n v="3"/>
    <x v="0"/>
    <n v="2"/>
    <x v="1"/>
    <x v="2"/>
    <x v="1"/>
    <n v="2743"/>
    <x v="0"/>
    <s v="No"/>
    <n v="20"/>
    <n v="4"/>
    <n v="3"/>
    <n v="2"/>
    <n v="3"/>
    <n v="2"/>
    <n v="2"/>
  </r>
  <r>
    <n v="32"/>
    <x v="1"/>
    <x v="1"/>
    <n v="0"/>
    <s v="Research &amp; Development"/>
    <n v="4"/>
    <x v="0"/>
    <n v="3"/>
    <x v="0"/>
    <x v="1"/>
    <x v="2"/>
    <n v="4998"/>
    <x v="0"/>
    <s v="Yes"/>
    <n v="14"/>
    <n v="3"/>
    <n v="4"/>
    <n v="10"/>
    <n v="3"/>
    <n v="8"/>
    <n v="7"/>
  </r>
  <r>
    <n v="36"/>
    <x v="1"/>
    <x v="1"/>
    <n v="0"/>
    <s v="Research &amp; Development"/>
    <n v="3"/>
    <x v="0"/>
    <n v="1"/>
    <x v="2"/>
    <x v="3"/>
    <x v="3"/>
    <n v="10252"/>
    <x v="1"/>
    <s v="Yes"/>
    <n v="21"/>
    <n v="4"/>
    <n v="3"/>
    <n v="17"/>
    <n v="3"/>
    <n v="7"/>
    <n v="7"/>
  </r>
  <r>
    <n v="33"/>
    <x v="1"/>
    <x v="1"/>
    <n v="0"/>
    <s v="Research &amp; Development"/>
    <n v="1"/>
    <x v="1"/>
    <n v="3"/>
    <x v="1"/>
    <x v="1"/>
    <x v="0"/>
    <n v="2781"/>
    <x v="0"/>
    <s v="No"/>
    <n v="13"/>
    <n v="3"/>
    <n v="2"/>
    <n v="15"/>
    <n v="3"/>
    <n v="14"/>
    <n v="10"/>
  </r>
  <r>
    <n v="40"/>
    <x v="1"/>
    <x v="1"/>
    <n v="0"/>
    <s v="Sales"/>
    <n v="2"/>
    <x v="0"/>
    <n v="2"/>
    <x v="0"/>
    <x v="0"/>
    <x v="1"/>
    <n v="6852"/>
    <x v="0"/>
    <s v="No"/>
    <n v="12"/>
    <n v="3"/>
    <n v="2"/>
    <n v="7"/>
    <n v="4"/>
    <n v="5"/>
    <n v="1"/>
  </r>
  <r>
    <n v="25"/>
    <x v="2"/>
    <x v="1"/>
    <n v="0"/>
    <s v="Sales"/>
    <n v="3"/>
    <x v="1"/>
    <n v="3"/>
    <x v="0"/>
    <x v="0"/>
    <x v="0"/>
    <n v="4950"/>
    <x v="0"/>
    <s v="No"/>
    <n v="14"/>
    <n v="3"/>
    <n v="2"/>
    <n v="5"/>
    <n v="3"/>
    <n v="4"/>
    <n v="3"/>
  </r>
  <r>
    <n v="30"/>
    <x v="2"/>
    <x v="1"/>
    <n v="0"/>
    <s v="Research &amp; Development"/>
    <n v="4"/>
    <x v="1"/>
    <n v="3"/>
    <x v="1"/>
    <x v="1"/>
    <x v="1"/>
    <n v="3579"/>
    <x v="0"/>
    <s v="Yes"/>
    <n v="21"/>
    <n v="4"/>
    <n v="1"/>
    <n v="12"/>
    <n v="3"/>
    <n v="11"/>
    <n v="9"/>
  </r>
  <r>
    <n v="42"/>
    <x v="0"/>
    <x v="1"/>
    <n v="0"/>
    <s v="Research &amp; Development"/>
    <n v="1"/>
    <x v="0"/>
    <n v="3"/>
    <x v="2"/>
    <x v="7"/>
    <x v="3"/>
    <n v="13191"/>
    <x v="1"/>
    <s v="Yes"/>
    <n v="17"/>
    <n v="3"/>
    <n v="3"/>
    <n v="20"/>
    <n v="3"/>
    <n v="1"/>
    <n v="0"/>
  </r>
  <r>
    <n v="35"/>
    <x v="1"/>
    <x v="1"/>
    <n v="0"/>
    <s v="Sales"/>
    <n v="3"/>
    <x v="0"/>
    <n v="2"/>
    <x v="2"/>
    <x v="0"/>
    <x v="0"/>
    <n v="10377"/>
    <x v="1"/>
    <s v="Yes"/>
    <n v="11"/>
    <n v="3"/>
    <n v="2"/>
    <n v="16"/>
    <n v="2"/>
    <n v="13"/>
    <n v="2"/>
  </r>
  <r>
    <n v="27"/>
    <x v="2"/>
    <x v="1"/>
    <n v="0"/>
    <s v="Research &amp; Development"/>
    <n v="1"/>
    <x v="1"/>
    <n v="3"/>
    <x v="1"/>
    <x v="1"/>
    <x v="3"/>
    <n v="2235"/>
    <x v="0"/>
    <s v="Yes"/>
    <n v="14"/>
    <n v="3"/>
    <n v="4"/>
    <n v="9"/>
    <n v="2"/>
    <n v="9"/>
    <n v="7"/>
  </r>
  <r>
    <n v="54"/>
    <x v="0"/>
    <x v="1"/>
    <n v="0"/>
    <s v="Research &amp; Development"/>
    <n v="4"/>
    <x v="0"/>
    <n v="3"/>
    <x v="2"/>
    <x v="3"/>
    <x v="2"/>
    <n v="10502"/>
    <x v="1"/>
    <s v="No"/>
    <n v="17"/>
    <n v="3"/>
    <n v="1"/>
    <n v="33"/>
    <n v="1"/>
    <n v="5"/>
    <n v="4"/>
  </r>
  <r>
    <n v="44"/>
    <x v="0"/>
    <x v="1"/>
    <n v="0"/>
    <s v="Research &amp; Development"/>
    <n v="1"/>
    <x v="0"/>
    <n v="4"/>
    <x v="1"/>
    <x v="1"/>
    <x v="0"/>
    <n v="2011"/>
    <x v="0"/>
    <s v="No"/>
    <n v="13"/>
    <n v="3"/>
    <n v="4"/>
    <n v="10"/>
    <n v="3"/>
    <n v="10"/>
    <n v="5"/>
  </r>
  <r>
    <n v="19"/>
    <x v="2"/>
    <x v="0"/>
    <n v="1"/>
    <s v="Research &amp; Development"/>
    <n v="1"/>
    <x v="0"/>
    <n v="2"/>
    <x v="1"/>
    <x v="1"/>
    <x v="1"/>
    <n v="1859"/>
    <x v="0"/>
    <s v="Yes"/>
    <n v="25"/>
    <n v="4"/>
    <n v="2"/>
    <n v="1"/>
    <n v="4"/>
    <n v="1"/>
    <n v="1"/>
  </r>
  <r>
    <n v="29"/>
    <x v="2"/>
    <x v="1"/>
    <n v="0"/>
    <s v="Research &amp; Development"/>
    <n v="1"/>
    <x v="0"/>
    <n v="3"/>
    <x v="1"/>
    <x v="1"/>
    <x v="0"/>
    <n v="3760"/>
    <x v="0"/>
    <s v="No"/>
    <n v="15"/>
    <n v="3"/>
    <n v="1"/>
    <n v="3"/>
    <n v="3"/>
    <n v="3"/>
    <n v="2"/>
  </r>
  <r>
    <n v="54"/>
    <x v="0"/>
    <x v="1"/>
    <n v="0"/>
    <s v="Research &amp; Development"/>
    <n v="4"/>
    <x v="1"/>
    <n v="3"/>
    <x v="3"/>
    <x v="7"/>
    <x v="0"/>
    <n v="17779"/>
    <x v="2"/>
    <s v="No"/>
    <n v="14"/>
    <n v="3"/>
    <n v="1"/>
    <n v="36"/>
    <n v="3"/>
    <n v="10"/>
    <n v="9"/>
  </r>
  <r>
    <n v="31"/>
    <x v="1"/>
    <x v="1"/>
    <n v="0"/>
    <s v="Research &amp; Development"/>
    <n v="3"/>
    <x v="1"/>
    <n v="3"/>
    <x v="0"/>
    <x v="4"/>
    <x v="3"/>
    <n v="6833"/>
    <x v="0"/>
    <s v="Yes"/>
    <n v="12"/>
    <n v="3"/>
    <n v="4"/>
    <n v="6"/>
    <n v="2"/>
    <n v="6"/>
    <n v="5"/>
  </r>
  <r>
    <n v="31"/>
    <x v="1"/>
    <x v="1"/>
    <n v="0"/>
    <s v="Research &amp; Development"/>
    <n v="3"/>
    <x v="0"/>
    <n v="2"/>
    <x v="0"/>
    <x v="4"/>
    <x v="3"/>
    <n v="6812"/>
    <x v="0"/>
    <s v="No"/>
    <n v="19"/>
    <n v="3"/>
    <n v="2"/>
    <n v="10"/>
    <n v="3"/>
    <n v="10"/>
    <n v="9"/>
  </r>
  <r>
    <n v="59"/>
    <x v="0"/>
    <x v="1"/>
    <n v="0"/>
    <s v="Sales"/>
    <n v="3"/>
    <x v="0"/>
    <n v="2"/>
    <x v="0"/>
    <x v="0"/>
    <x v="0"/>
    <n v="5171"/>
    <x v="0"/>
    <s v="No"/>
    <n v="17"/>
    <n v="3"/>
    <n v="4"/>
    <n v="13"/>
    <n v="3"/>
    <n v="6"/>
    <n v="1"/>
  </r>
  <r>
    <n v="43"/>
    <x v="0"/>
    <x v="1"/>
    <n v="0"/>
    <s v="Research &amp; Development"/>
    <n v="3"/>
    <x v="1"/>
    <n v="1"/>
    <x v="4"/>
    <x v="7"/>
    <x v="0"/>
    <n v="19740"/>
    <x v="2"/>
    <s v="No"/>
    <n v="14"/>
    <n v="3"/>
    <n v="2"/>
    <n v="25"/>
    <n v="3"/>
    <n v="8"/>
    <n v="7"/>
  </r>
  <r>
    <n v="49"/>
    <x v="0"/>
    <x v="1"/>
    <n v="0"/>
    <s v="Research &amp; Development"/>
    <n v="1"/>
    <x v="1"/>
    <n v="2"/>
    <x v="4"/>
    <x v="5"/>
    <x v="2"/>
    <n v="18711"/>
    <x v="2"/>
    <s v="No"/>
    <n v="13"/>
    <n v="3"/>
    <n v="3"/>
    <n v="23"/>
    <n v="4"/>
    <n v="1"/>
    <n v="0"/>
  </r>
  <r>
    <n v="36"/>
    <x v="1"/>
    <x v="1"/>
    <n v="0"/>
    <s v="Research &amp; Development"/>
    <n v="3"/>
    <x v="1"/>
    <n v="3"/>
    <x v="1"/>
    <x v="1"/>
    <x v="1"/>
    <n v="3692"/>
    <x v="0"/>
    <s v="No"/>
    <n v="12"/>
    <n v="3"/>
    <n v="3"/>
    <n v="12"/>
    <n v="2"/>
    <n v="11"/>
    <n v="10"/>
  </r>
  <r>
    <n v="48"/>
    <x v="0"/>
    <x v="1"/>
    <n v="0"/>
    <s v="Research &amp; Development"/>
    <n v="4"/>
    <x v="1"/>
    <n v="4"/>
    <x v="1"/>
    <x v="2"/>
    <x v="1"/>
    <n v="2559"/>
    <x v="0"/>
    <s v="No"/>
    <n v="11"/>
    <n v="3"/>
    <n v="3"/>
    <n v="7"/>
    <n v="2"/>
    <n v="1"/>
    <n v="0"/>
  </r>
  <r>
    <n v="27"/>
    <x v="2"/>
    <x v="1"/>
    <n v="0"/>
    <s v="Research &amp; Development"/>
    <n v="1"/>
    <x v="1"/>
    <n v="3"/>
    <x v="1"/>
    <x v="1"/>
    <x v="2"/>
    <n v="2517"/>
    <x v="0"/>
    <s v="No"/>
    <n v="11"/>
    <n v="3"/>
    <n v="2"/>
    <n v="5"/>
    <n v="3"/>
    <n v="5"/>
    <n v="3"/>
  </r>
  <r>
    <n v="29"/>
    <x v="2"/>
    <x v="1"/>
    <n v="0"/>
    <s v="Research &amp; Development"/>
    <n v="3"/>
    <x v="1"/>
    <n v="3"/>
    <x v="0"/>
    <x v="4"/>
    <x v="0"/>
    <n v="6623"/>
    <x v="0"/>
    <s v="Yes"/>
    <n v="11"/>
    <n v="3"/>
    <n v="2"/>
    <n v="6"/>
    <n v="3"/>
    <n v="6"/>
    <n v="0"/>
  </r>
  <r>
    <n v="48"/>
    <x v="0"/>
    <x v="1"/>
    <n v="0"/>
    <s v="Research &amp; Development"/>
    <n v="4"/>
    <x v="1"/>
    <n v="2"/>
    <x v="4"/>
    <x v="7"/>
    <x v="0"/>
    <n v="18265"/>
    <x v="2"/>
    <s v="No"/>
    <n v="12"/>
    <n v="3"/>
    <n v="3"/>
    <n v="25"/>
    <n v="4"/>
    <n v="1"/>
    <n v="0"/>
  </r>
  <r>
    <n v="29"/>
    <x v="2"/>
    <x v="1"/>
    <n v="0"/>
    <s v="Research &amp; Development"/>
    <n v="4"/>
    <x v="0"/>
    <n v="2"/>
    <x v="3"/>
    <x v="7"/>
    <x v="0"/>
    <n v="16124"/>
    <x v="2"/>
    <s v="No"/>
    <n v="14"/>
    <n v="3"/>
    <n v="2"/>
    <n v="9"/>
    <n v="2"/>
    <n v="7"/>
    <n v="7"/>
  </r>
  <r>
    <n v="34"/>
    <x v="1"/>
    <x v="1"/>
    <n v="0"/>
    <s v="Research &amp; Development"/>
    <n v="3"/>
    <x v="0"/>
    <n v="4"/>
    <x v="1"/>
    <x v="1"/>
    <x v="2"/>
    <n v="2585"/>
    <x v="0"/>
    <s v="No"/>
    <n v="17"/>
    <n v="3"/>
    <n v="4"/>
    <n v="2"/>
    <n v="2"/>
    <n v="1"/>
    <n v="0"/>
  </r>
  <r>
    <n v="44"/>
    <x v="0"/>
    <x v="1"/>
    <n v="0"/>
    <s v="Sales"/>
    <n v="2"/>
    <x v="1"/>
    <n v="3"/>
    <x v="4"/>
    <x v="5"/>
    <x v="1"/>
    <n v="18213"/>
    <x v="2"/>
    <s v="No"/>
    <n v="11"/>
    <n v="3"/>
    <n v="3"/>
    <n v="26"/>
    <n v="3"/>
    <n v="22"/>
    <n v="9"/>
  </r>
  <r>
    <n v="33"/>
    <x v="1"/>
    <x v="1"/>
    <n v="0"/>
    <s v="Sales"/>
    <n v="4"/>
    <x v="1"/>
    <n v="4"/>
    <x v="2"/>
    <x v="0"/>
    <x v="2"/>
    <n v="8380"/>
    <x v="1"/>
    <s v="Yes"/>
    <n v="14"/>
    <n v="3"/>
    <n v="4"/>
    <n v="10"/>
    <n v="3"/>
    <n v="9"/>
    <n v="8"/>
  </r>
  <r>
    <n v="19"/>
    <x v="2"/>
    <x v="1"/>
    <n v="0"/>
    <s v="Research &amp; Development"/>
    <n v="2"/>
    <x v="0"/>
    <n v="4"/>
    <x v="1"/>
    <x v="1"/>
    <x v="0"/>
    <n v="2994"/>
    <x v="0"/>
    <s v="Yes"/>
    <n v="12"/>
    <n v="3"/>
    <n v="4"/>
    <n v="1"/>
    <n v="3"/>
    <n v="1"/>
    <n v="0"/>
  </r>
  <r>
    <n v="23"/>
    <x v="2"/>
    <x v="1"/>
    <n v="0"/>
    <s v="Research &amp; Development"/>
    <n v="4"/>
    <x v="1"/>
    <n v="3"/>
    <x v="1"/>
    <x v="1"/>
    <x v="2"/>
    <n v="1223"/>
    <x v="0"/>
    <s v="No"/>
    <n v="22"/>
    <n v="4"/>
    <n v="4"/>
    <n v="1"/>
    <n v="3"/>
    <n v="1"/>
    <n v="0"/>
  </r>
  <r>
    <n v="25"/>
    <x v="2"/>
    <x v="0"/>
    <n v="1"/>
    <s v="Sales"/>
    <n v="3"/>
    <x v="1"/>
    <n v="1"/>
    <x v="1"/>
    <x v="6"/>
    <x v="0"/>
    <n v="1118"/>
    <x v="0"/>
    <s v="Yes"/>
    <n v="14"/>
    <n v="3"/>
    <n v="4"/>
    <n v="1"/>
    <n v="3"/>
    <n v="1"/>
    <n v="0"/>
  </r>
  <r>
    <n v="26"/>
    <x v="2"/>
    <x v="1"/>
    <n v="0"/>
    <s v="Research &amp; Development"/>
    <n v="3"/>
    <x v="1"/>
    <n v="3"/>
    <x v="1"/>
    <x v="1"/>
    <x v="0"/>
    <n v="2875"/>
    <x v="0"/>
    <s v="Yes"/>
    <n v="20"/>
    <n v="4"/>
    <n v="2"/>
    <n v="8"/>
    <n v="2"/>
    <n v="8"/>
    <n v="5"/>
  </r>
  <r>
    <n v="45"/>
    <x v="0"/>
    <x v="0"/>
    <n v="1"/>
    <s v="Sales"/>
    <n v="1"/>
    <x v="0"/>
    <n v="1"/>
    <x v="4"/>
    <x v="5"/>
    <x v="1"/>
    <n v="18824"/>
    <x v="2"/>
    <s v="Yes"/>
    <n v="16"/>
    <n v="3"/>
    <n v="1"/>
    <n v="26"/>
    <n v="3"/>
    <n v="24"/>
    <n v="10"/>
  </r>
  <r>
    <n v="55"/>
    <x v="0"/>
    <x v="1"/>
    <n v="0"/>
    <s v="Research &amp; Development"/>
    <n v="4"/>
    <x v="1"/>
    <n v="2"/>
    <x v="3"/>
    <x v="4"/>
    <x v="1"/>
    <n v="13577"/>
    <x v="1"/>
    <s v="Yes"/>
    <n v="15"/>
    <n v="3"/>
    <n v="4"/>
    <n v="34"/>
    <n v="3"/>
    <n v="33"/>
    <n v="9"/>
  </r>
  <r>
    <n v="21"/>
    <x v="2"/>
    <x v="0"/>
    <n v="1"/>
    <s v="Research &amp; Development"/>
    <n v="1"/>
    <x v="0"/>
    <n v="2"/>
    <x v="1"/>
    <x v="2"/>
    <x v="2"/>
    <n v="2625"/>
    <x v="0"/>
    <s v="No"/>
    <n v="20"/>
    <n v="4"/>
    <n v="3"/>
    <n v="2"/>
    <n v="1"/>
    <n v="2"/>
    <n v="2"/>
  </r>
  <r>
    <n v="46"/>
    <x v="0"/>
    <x v="1"/>
    <n v="0"/>
    <s v="Sales"/>
    <n v="4"/>
    <x v="0"/>
    <n v="2"/>
    <x v="4"/>
    <x v="5"/>
    <x v="1"/>
    <n v="18789"/>
    <x v="2"/>
    <s v="No"/>
    <n v="14"/>
    <n v="3"/>
    <n v="3"/>
    <n v="26"/>
    <n v="3"/>
    <n v="11"/>
    <n v="4"/>
  </r>
  <r>
    <n v="34"/>
    <x v="1"/>
    <x v="1"/>
    <n v="0"/>
    <s v="Sales"/>
    <n v="3"/>
    <x v="0"/>
    <n v="3"/>
    <x v="0"/>
    <x v="0"/>
    <x v="3"/>
    <n v="4538"/>
    <x v="0"/>
    <s v="Yes"/>
    <n v="12"/>
    <n v="3"/>
    <n v="4"/>
    <n v="4"/>
    <n v="3"/>
    <n v="3"/>
    <n v="2"/>
  </r>
  <r>
    <n v="51"/>
    <x v="0"/>
    <x v="1"/>
    <n v="0"/>
    <s v="Sales"/>
    <n v="4"/>
    <x v="1"/>
    <n v="3"/>
    <x v="4"/>
    <x v="5"/>
    <x v="1"/>
    <n v="19847"/>
    <x v="2"/>
    <s v="Yes"/>
    <n v="24"/>
    <n v="4"/>
    <n v="1"/>
    <n v="31"/>
    <n v="2"/>
    <n v="29"/>
    <n v="10"/>
  </r>
  <r>
    <n v="59"/>
    <x v="0"/>
    <x v="1"/>
    <n v="0"/>
    <s v="Research &amp; Development"/>
    <n v="4"/>
    <x v="1"/>
    <n v="3"/>
    <x v="2"/>
    <x v="3"/>
    <x v="0"/>
    <n v="10512"/>
    <x v="1"/>
    <s v="No"/>
    <n v="12"/>
    <n v="3"/>
    <n v="4"/>
    <n v="25"/>
    <n v="2"/>
    <n v="9"/>
    <n v="7"/>
  </r>
  <r>
    <n v="34"/>
    <x v="1"/>
    <x v="1"/>
    <n v="0"/>
    <s v="Research &amp; Development"/>
    <n v="3"/>
    <x v="0"/>
    <n v="3"/>
    <x v="0"/>
    <x v="2"/>
    <x v="1"/>
    <n v="4444"/>
    <x v="0"/>
    <s v="No"/>
    <n v="13"/>
    <n v="3"/>
    <n v="3"/>
    <n v="15"/>
    <n v="4"/>
    <n v="11"/>
    <n v="8"/>
  </r>
  <r>
    <n v="28"/>
    <x v="2"/>
    <x v="1"/>
    <n v="0"/>
    <s v="Research &amp; Development"/>
    <n v="4"/>
    <x v="1"/>
    <n v="3"/>
    <x v="1"/>
    <x v="2"/>
    <x v="2"/>
    <n v="2154"/>
    <x v="0"/>
    <s v="Yes"/>
    <n v="11"/>
    <n v="3"/>
    <n v="3"/>
    <n v="5"/>
    <n v="2"/>
    <n v="4"/>
    <n v="2"/>
  </r>
  <r>
    <n v="44"/>
    <x v="0"/>
    <x v="1"/>
    <n v="0"/>
    <s v="Research &amp; Development"/>
    <n v="3"/>
    <x v="1"/>
    <n v="4"/>
    <x v="4"/>
    <x v="5"/>
    <x v="3"/>
    <n v="19190"/>
    <x v="2"/>
    <s v="No"/>
    <n v="14"/>
    <n v="3"/>
    <n v="4"/>
    <n v="26"/>
    <n v="2"/>
    <n v="25"/>
    <n v="9"/>
  </r>
  <r>
    <n v="34"/>
    <x v="1"/>
    <x v="1"/>
    <n v="0"/>
    <s v="Human Resources"/>
    <n v="3"/>
    <x v="1"/>
    <n v="2"/>
    <x v="0"/>
    <x v="8"/>
    <x v="1"/>
    <n v="4490"/>
    <x v="0"/>
    <s v="No"/>
    <n v="11"/>
    <n v="3"/>
    <n v="4"/>
    <n v="14"/>
    <n v="4"/>
    <n v="10"/>
    <n v="9"/>
  </r>
  <r>
    <n v="35"/>
    <x v="1"/>
    <x v="1"/>
    <n v="0"/>
    <s v="Research &amp; Development"/>
    <n v="3"/>
    <x v="1"/>
    <n v="3"/>
    <x v="1"/>
    <x v="1"/>
    <x v="2"/>
    <n v="3506"/>
    <x v="0"/>
    <s v="Yes"/>
    <n v="14"/>
    <n v="3"/>
    <n v="4"/>
    <n v="4"/>
    <n v="3"/>
    <n v="3"/>
    <n v="2"/>
  </r>
  <r>
    <n v="42"/>
    <x v="0"/>
    <x v="1"/>
    <n v="0"/>
    <s v="Research &amp; Development"/>
    <n v="2"/>
    <x v="0"/>
    <n v="4"/>
    <x v="0"/>
    <x v="1"/>
    <x v="1"/>
    <n v="2372"/>
    <x v="0"/>
    <s v="Yes"/>
    <n v="16"/>
    <n v="3"/>
    <n v="4"/>
    <n v="18"/>
    <n v="3"/>
    <n v="1"/>
    <n v="0"/>
  </r>
  <r>
    <n v="43"/>
    <x v="0"/>
    <x v="1"/>
    <n v="0"/>
    <s v="Sales"/>
    <n v="4"/>
    <x v="0"/>
    <n v="2"/>
    <x v="2"/>
    <x v="0"/>
    <x v="0"/>
    <n v="10231"/>
    <x v="1"/>
    <s v="No"/>
    <n v="14"/>
    <n v="3"/>
    <n v="4"/>
    <n v="23"/>
    <n v="4"/>
    <n v="21"/>
    <n v="7"/>
  </r>
  <r>
    <n v="36"/>
    <x v="1"/>
    <x v="1"/>
    <n v="0"/>
    <s v="Research &amp; Development"/>
    <n v="3"/>
    <x v="0"/>
    <n v="3"/>
    <x v="0"/>
    <x v="3"/>
    <x v="1"/>
    <n v="5410"/>
    <x v="0"/>
    <s v="Yes"/>
    <n v="11"/>
    <n v="3"/>
    <n v="4"/>
    <n v="18"/>
    <n v="3"/>
    <n v="16"/>
    <n v="14"/>
  </r>
  <r>
    <n v="44"/>
    <x v="0"/>
    <x v="0"/>
    <n v="1"/>
    <s v="Research &amp; Development"/>
    <n v="1"/>
    <x v="0"/>
    <n v="3"/>
    <x v="2"/>
    <x v="4"/>
    <x v="0"/>
    <n v="7978"/>
    <x v="1"/>
    <s v="No"/>
    <n v="11"/>
    <n v="3"/>
    <n v="4"/>
    <n v="10"/>
    <n v="3"/>
    <n v="10"/>
    <n v="7"/>
  </r>
  <r>
    <n v="28"/>
    <x v="2"/>
    <x v="1"/>
    <n v="0"/>
    <s v="Research &amp; Development"/>
    <n v="4"/>
    <x v="1"/>
    <n v="2"/>
    <x v="1"/>
    <x v="2"/>
    <x v="0"/>
    <n v="3867"/>
    <x v="0"/>
    <s v="Yes"/>
    <n v="12"/>
    <n v="3"/>
    <n v="2"/>
    <n v="2"/>
    <n v="3"/>
    <n v="2"/>
    <n v="2"/>
  </r>
  <r>
    <n v="51"/>
    <x v="0"/>
    <x v="1"/>
    <n v="0"/>
    <s v="Research &amp; Development"/>
    <n v="2"/>
    <x v="0"/>
    <n v="2"/>
    <x v="1"/>
    <x v="2"/>
    <x v="2"/>
    <n v="2838"/>
    <x v="0"/>
    <s v="No"/>
    <n v="14"/>
    <n v="3"/>
    <n v="2"/>
    <n v="8"/>
    <n v="2"/>
    <n v="7"/>
    <n v="0"/>
  </r>
  <r>
    <n v="30"/>
    <x v="2"/>
    <x v="1"/>
    <n v="0"/>
    <s v="Research &amp; Development"/>
    <n v="3"/>
    <x v="0"/>
    <n v="3"/>
    <x v="0"/>
    <x v="3"/>
    <x v="2"/>
    <n v="4695"/>
    <x v="0"/>
    <s v="Yes"/>
    <n v="18"/>
    <n v="3"/>
    <n v="3"/>
    <n v="10"/>
    <n v="3"/>
    <n v="8"/>
    <n v="4"/>
  </r>
  <r>
    <n v="29"/>
    <x v="2"/>
    <x v="0"/>
    <n v="1"/>
    <s v="Research &amp; Development"/>
    <n v="2"/>
    <x v="0"/>
    <n v="3"/>
    <x v="1"/>
    <x v="2"/>
    <x v="2"/>
    <n v="3339"/>
    <x v="0"/>
    <s v="Yes"/>
    <n v="13"/>
    <n v="3"/>
    <n v="1"/>
    <n v="10"/>
    <n v="3"/>
    <n v="7"/>
    <n v="7"/>
  </r>
  <r>
    <n v="28"/>
    <x v="2"/>
    <x v="1"/>
    <n v="0"/>
    <s v="Research &amp; Development"/>
    <n v="4"/>
    <x v="1"/>
    <n v="3"/>
    <x v="1"/>
    <x v="1"/>
    <x v="3"/>
    <n v="2080"/>
    <x v="0"/>
    <s v="No"/>
    <n v="11"/>
    <n v="3"/>
    <n v="2"/>
    <n v="5"/>
    <n v="2"/>
    <n v="3"/>
    <n v="2"/>
  </r>
  <r>
    <n v="25"/>
    <x v="2"/>
    <x v="1"/>
    <n v="0"/>
    <s v="Research &amp; Development"/>
    <n v="4"/>
    <x v="0"/>
    <n v="3"/>
    <x v="1"/>
    <x v="1"/>
    <x v="1"/>
    <n v="2096"/>
    <x v="0"/>
    <s v="No"/>
    <n v="18"/>
    <n v="3"/>
    <n v="4"/>
    <n v="2"/>
    <n v="2"/>
    <n v="2"/>
    <n v="2"/>
  </r>
  <r>
    <n v="32"/>
    <x v="1"/>
    <x v="1"/>
    <n v="0"/>
    <s v="Sales"/>
    <n v="3"/>
    <x v="1"/>
    <n v="4"/>
    <x v="0"/>
    <x v="0"/>
    <x v="0"/>
    <n v="6209"/>
    <x v="0"/>
    <s v="No"/>
    <n v="15"/>
    <n v="3"/>
    <n v="3"/>
    <n v="10"/>
    <n v="4"/>
    <n v="10"/>
    <n v="7"/>
  </r>
  <r>
    <n v="45"/>
    <x v="0"/>
    <x v="1"/>
    <n v="0"/>
    <s v="Research &amp; Development"/>
    <n v="2"/>
    <x v="0"/>
    <n v="3"/>
    <x v="4"/>
    <x v="5"/>
    <x v="1"/>
    <n v="18061"/>
    <x v="2"/>
    <s v="No"/>
    <n v="22"/>
    <n v="4"/>
    <n v="3"/>
    <n v="22"/>
    <n v="3"/>
    <n v="0"/>
    <n v="0"/>
  </r>
  <r>
    <n v="39"/>
    <x v="1"/>
    <x v="1"/>
    <n v="0"/>
    <s v="Research &amp; Development"/>
    <n v="3"/>
    <x v="0"/>
    <n v="2"/>
    <x v="3"/>
    <x v="5"/>
    <x v="1"/>
    <n v="17123"/>
    <x v="2"/>
    <s v="Yes"/>
    <n v="13"/>
    <n v="3"/>
    <n v="4"/>
    <n v="21"/>
    <n v="3"/>
    <n v="19"/>
    <n v="9"/>
  </r>
  <r>
    <n v="58"/>
    <x v="0"/>
    <x v="1"/>
    <n v="0"/>
    <s v="Research &amp; Development"/>
    <n v="1"/>
    <x v="1"/>
    <n v="3"/>
    <x v="1"/>
    <x v="1"/>
    <x v="2"/>
    <n v="2372"/>
    <x v="0"/>
    <s v="No"/>
    <n v="12"/>
    <n v="3"/>
    <n v="4"/>
    <n v="2"/>
    <n v="3"/>
    <n v="2"/>
    <n v="2"/>
  </r>
  <r>
    <n v="32"/>
    <x v="1"/>
    <x v="0"/>
    <n v="1"/>
    <s v="Research &amp; Development"/>
    <n v="4"/>
    <x v="1"/>
    <n v="3"/>
    <x v="0"/>
    <x v="2"/>
    <x v="2"/>
    <n v="4883"/>
    <x v="0"/>
    <s v="No"/>
    <n v="18"/>
    <n v="3"/>
    <n v="1"/>
    <n v="10"/>
    <n v="3"/>
    <n v="10"/>
    <n v="4"/>
  </r>
  <r>
    <n v="39"/>
    <x v="1"/>
    <x v="0"/>
    <n v="1"/>
    <s v="Research &amp; Development"/>
    <n v="3"/>
    <x v="1"/>
    <n v="3"/>
    <x v="1"/>
    <x v="1"/>
    <x v="3"/>
    <n v="3904"/>
    <x v="0"/>
    <s v="No"/>
    <n v="13"/>
    <n v="3"/>
    <n v="1"/>
    <n v="6"/>
    <n v="3"/>
    <n v="5"/>
    <n v="2"/>
  </r>
  <r>
    <n v="30"/>
    <x v="2"/>
    <x v="1"/>
    <n v="0"/>
    <s v="Research &amp; Development"/>
    <n v="1"/>
    <x v="0"/>
    <n v="2"/>
    <x v="0"/>
    <x v="2"/>
    <x v="0"/>
    <n v="4627"/>
    <x v="0"/>
    <s v="No"/>
    <n v="12"/>
    <n v="3"/>
    <n v="1"/>
    <n v="10"/>
    <n v="3"/>
    <n v="9"/>
    <n v="2"/>
  </r>
  <r>
    <n v="36"/>
    <x v="1"/>
    <x v="1"/>
    <n v="0"/>
    <s v="Research &amp; Development"/>
    <n v="4"/>
    <x v="0"/>
    <n v="3"/>
    <x v="2"/>
    <x v="4"/>
    <x v="2"/>
    <n v="7094"/>
    <x v="1"/>
    <s v="No"/>
    <n v="12"/>
    <n v="3"/>
    <n v="1"/>
    <n v="10"/>
    <n v="3"/>
    <n v="7"/>
    <n v="7"/>
  </r>
  <r>
    <n v="46"/>
    <x v="0"/>
    <x v="1"/>
    <n v="0"/>
    <s v="Human Resources"/>
    <n v="4"/>
    <x v="0"/>
    <n v="3"/>
    <x v="1"/>
    <x v="8"/>
    <x v="3"/>
    <n v="3423"/>
    <x v="0"/>
    <s v="No"/>
    <n v="12"/>
    <n v="3"/>
    <n v="3"/>
    <n v="10"/>
    <n v="4"/>
    <n v="7"/>
    <n v="6"/>
  </r>
  <r>
    <n v="28"/>
    <x v="2"/>
    <x v="1"/>
    <n v="0"/>
    <s v="Research &amp; Development"/>
    <n v="3"/>
    <x v="0"/>
    <n v="1"/>
    <x v="0"/>
    <x v="2"/>
    <x v="0"/>
    <n v="6674"/>
    <x v="0"/>
    <s v="No"/>
    <n v="11"/>
    <n v="3"/>
    <n v="1"/>
    <n v="10"/>
    <n v="3"/>
    <n v="9"/>
    <n v="8"/>
  </r>
  <r>
    <n v="50"/>
    <x v="0"/>
    <x v="1"/>
    <n v="0"/>
    <s v="Research &amp; Development"/>
    <n v="4"/>
    <x v="0"/>
    <n v="3"/>
    <x v="3"/>
    <x v="7"/>
    <x v="3"/>
    <n v="16880"/>
    <x v="2"/>
    <s v="Yes"/>
    <n v="11"/>
    <n v="3"/>
    <n v="2"/>
    <n v="25"/>
    <n v="3"/>
    <n v="3"/>
    <n v="2"/>
  </r>
  <r>
    <n v="40"/>
    <x v="1"/>
    <x v="0"/>
    <n v="1"/>
    <s v="Sales"/>
    <n v="4"/>
    <x v="1"/>
    <n v="2"/>
    <x v="2"/>
    <x v="0"/>
    <x v="1"/>
    <n v="9094"/>
    <x v="1"/>
    <s v="Yes"/>
    <n v="12"/>
    <n v="3"/>
    <n v="3"/>
    <n v="9"/>
    <n v="3"/>
    <n v="5"/>
    <n v="4"/>
  </r>
  <r>
    <n v="52"/>
    <x v="0"/>
    <x v="0"/>
    <n v="1"/>
    <s v="Sales"/>
    <n v="2"/>
    <x v="1"/>
    <n v="3"/>
    <x v="2"/>
    <x v="0"/>
    <x v="1"/>
    <n v="8446"/>
    <x v="1"/>
    <s v="Yes"/>
    <n v="19"/>
    <n v="3"/>
    <n v="3"/>
    <n v="10"/>
    <n v="2"/>
    <n v="8"/>
    <n v="7"/>
  </r>
  <r>
    <n v="30"/>
    <x v="2"/>
    <x v="1"/>
    <n v="0"/>
    <s v="Research &amp; Development"/>
    <n v="2"/>
    <x v="0"/>
    <n v="3"/>
    <x v="2"/>
    <x v="5"/>
    <x v="3"/>
    <n v="11916"/>
    <x v="1"/>
    <s v="Yes"/>
    <n v="23"/>
    <n v="4"/>
    <n v="4"/>
    <n v="9"/>
    <n v="3"/>
    <n v="9"/>
    <n v="1"/>
  </r>
  <r>
    <n v="39"/>
    <x v="1"/>
    <x v="1"/>
    <n v="0"/>
    <s v="Research &amp; Development"/>
    <n v="1"/>
    <x v="1"/>
    <n v="3"/>
    <x v="0"/>
    <x v="3"/>
    <x v="2"/>
    <n v="4534"/>
    <x v="0"/>
    <s v="No"/>
    <n v="11"/>
    <n v="3"/>
    <n v="1"/>
    <n v="9"/>
    <n v="3"/>
    <n v="8"/>
    <n v="7"/>
  </r>
  <r>
    <n v="31"/>
    <x v="1"/>
    <x v="1"/>
    <n v="0"/>
    <s v="Sales"/>
    <n v="4"/>
    <x v="0"/>
    <n v="3"/>
    <x v="2"/>
    <x v="0"/>
    <x v="2"/>
    <n v="9852"/>
    <x v="1"/>
    <s v="Yes"/>
    <n v="19"/>
    <n v="3"/>
    <n v="1"/>
    <n v="10"/>
    <n v="2"/>
    <n v="10"/>
    <n v="8"/>
  </r>
  <r>
    <n v="41"/>
    <x v="0"/>
    <x v="1"/>
    <n v="0"/>
    <s v="Sales"/>
    <n v="3"/>
    <x v="1"/>
    <n v="1"/>
    <x v="0"/>
    <x v="0"/>
    <x v="1"/>
    <n v="6151"/>
    <x v="0"/>
    <s v="No"/>
    <n v="13"/>
    <n v="3"/>
    <n v="1"/>
    <n v="19"/>
    <n v="3"/>
    <n v="19"/>
    <n v="2"/>
  </r>
  <r>
    <n v="31"/>
    <x v="1"/>
    <x v="0"/>
    <n v="1"/>
    <s v="Sales"/>
    <n v="4"/>
    <x v="0"/>
    <n v="3"/>
    <x v="1"/>
    <x v="6"/>
    <x v="1"/>
    <n v="2302"/>
    <x v="0"/>
    <s v="Yes"/>
    <n v="11"/>
    <n v="3"/>
    <n v="1"/>
    <n v="3"/>
    <n v="4"/>
    <n v="3"/>
    <n v="2"/>
  </r>
  <r>
    <n v="44"/>
    <x v="0"/>
    <x v="0"/>
    <n v="1"/>
    <s v="Research &amp; Development"/>
    <n v="1"/>
    <x v="1"/>
    <n v="3"/>
    <x v="1"/>
    <x v="2"/>
    <x v="3"/>
    <n v="2362"/>
    <x v="0"/>
    <s v="No"/>
    <n v="12"/>
    <n v="3"/>
    <n v="3"/>
    <n v="10"/>
    <n v="4"/>
    <n v="3"/>
    <n v="2"/>
  </r>
  <r>
    <n v="42"/>
    <x v="0"/>
    <x v="1"/>
    <n v="0"/>
    <s v="Research &amp; Development"/>
    <n v="3"/>
    <x v="1"/>
    <n v="3"/>
    <x v="3"/>
    <x v="5"/>
    <x v="2"/>
    <n v="17861"/>
    <x v="2"/>
    <s v="Yes"/>
    <n v="13"/>
    <n v="3"/>
    <n v="4"/>
    <n v="21"/>
    <n v="2"/>
    <n v="20"/>
    <n v="8"/>
  </r>
  <r>
    <n v="55"/>
    <x v="0"/>
    <x v="1"/>
    <n v="0"/>
    <s v="Research &amp; Development"/>
    <n v="4"/>
    <x v="0"/>
    <n v="1"/>
    <x v="4"/>
    <x v="5"/>
    <x v="2"/>
    <n v="19187"/>
    <x v="2"/>
    <s v="No"/>
    <n v="14"/>
    <n v="3"/>
    <n v="4"/>
    <n v="23"/>
    <n v="3"/>
    <n v="19"/>
    <n v="9"/>
  </r>
  <r>
    <n v="56"/>
    <x v="0"/>
    <x v="1"/>
    <n v="0"/>
    <s v="Human Resources"/>
    <n v="4"/>
    <x v="1"/>
    <n v="3"/>
    <x v="4"/>
    <x v="5"/>
    <x v="1"/>
    <n v="19717"/>
    <x v="2"/>
    <s v="No"/>
    <n v="14"/>
    <n v="3"/>
    <n v="1"/>
    <n v="36"/>
    <n v="3"/>
    <n v="7"/>
    <n v="3"/>
  </r>
  <r>
    <n v="40"/>
    <x v="1"/>
    <x v="1"/>
    <n v="0"/>
    <s v="Research &amp; Development"/>
    <n v="3"/>
    <x v="1"/>
    <n v="3"/>
    <x v="1"/>
    <x v="1"/>
    <x v="2"/>
    <n v="3544"/>
    <x v="0"/>
    <s v="No"/>
    <n v="16"/>
    <n v="3"/>
    <n v="2"/>
    <n v="6"/>
    <n v="3"/>
    <n v="4"/>
    <n v="2"/>
  </r>
  <r>
    <n v="34"/>
    <x v="1"/>
    <x v="1"/>
    <n v="0"/>
    <s v="Research &amp; Development"/>
    <n v="4"/>
    <x v="1"/>
    <n v="3"/>
    <x v="2"/>
    <x v="4"/>
    <x v="0"/>
    <n v="8500"/>
    <x v="1"/>
    <s v="No"/>
    <n v="11"/>
    <n v="3"/>
    <n v="4"/>
    <n v="10"/>
    <n v="2"/>
    <n v="9"/>
    <n v="7"/>
  </r>
  <r>
    <n v="40"/>
    <x v="1"/>
    <x v="1"/>
    <n v="0"/>
    <s v="Research &amp; Development"/>
    <n v="3"/>
    <x v="1"/>
    <n v="3"/>
    <x v="0"/>
    <x v="1"/>
    <x v="0"/>
    <n v="4661"/>
    <x v="0"/>
    <s v="No"/>
    <n v="13"/>
    <n v="3"/>
    <n v="3"/>
    <n v="9"/>
    <n v="3"/>
    <n v="9"/>
    <n v="8"/>
  </r>
  <r>
    <n v="41"/>
    <x v="0"/>
    <x v="1"/>
    <n v="0"/>
    <s v="Sales"/>
    <n v="3"/>
    <x v="0"/>
    <n v="3"/>
    <x v="0"/>
    <x v="0"/>
    <x v="3"/>
    <n v="4103"/>
    <x v="0"/>
    <s v="No"/>
    <n v="17"/>
    <n v="3"/>
    <n v="4"/>
    <n v="10"/>
    <n v="3"/>
    <n v="9"/>
    <n v="3"/>
  </r>
  <r>
    <n v="35"/>
    <x v="1"/>
    <x v="1"/>
    <n v="0"/>
    <s v="Research &amp; Development"/>
    <n v="3"/>
    <x v="1"/>
    <n v="3"/>
    <x v="0"/>
    <x v="1"/>
    <x v="2"/>
    <n v="4249"/>
    <x v="0"/>
    <s v="Yes"/>
    <n v="11"/>
    <n v="3"/>
    <n v="2"/>
    <n v="9"/>
    <n v="3"/>
    <n v="9"/>
    <n v="6"/>
  </r>
  <r>
    <n v="51"/>
    <x v="0"/>
    <x v="1"/>
    <n v="0"/>
    <s v="Human Resources"/>
    <n v="3"/>
    <x v="1"/>
    <n v="3"/>
    <x v="3"/>
    <x v="5"/>
    <x v="1"/>
    <n v="14026"/>
    <x v="1"/>
    <s v="Yes"/>
    <n v="11"/>
    <n v="3"/>
    <n v="2"/>
    <n v="33"/>
    <n v="3"/>
    <n v="33"/>
    <n v="9"/>
  </r>
  <r>
    <n v="38"/>
    <x v="1"/>
    <x v="1"/>
    <n v="0"/>
    <s v="Sales"/>
    <n v="2"/>
    <x v="0"/>
    <n v="3"/>
    <x v="0"/>
    <x v="0"/>
    <x v="3"/>
    <n v="6893"/>
    <x v="0"/>
    <s v="No"/>
    <n v="15"/>
    <n v="3"/>
    <n v="4"/>
    <n v="11"/>
    <n v="3"/>
    <n v="7"/>
    <n v="7"/>
  </r>
  <r>
    <n v="34"/>
    <x v="1"/>
    <x v="1"/>
    <n v="0"/>
    <s v="Sales"/>
    <n v="3"/>
    <x v="0"/>
    <n v="3"/>
    <x v="0"/>
    <x v="0"/>
    <x v="3"/>
    <n v="6125"/>
    <x v="0"/>
    <s v="No"/>
    <n v="12"/>
    <n v="3"/>
    <n v="4"/>
    <n v="10"/>
    <n v="4"/>
    <n v="10"/>
    <n v="8"/>
  </r>
  <r>
    <n v="25"/>
    <x v="2"/>
    <x v="1"/>
    <n v="0"/>
    <s v="Research &amp; Development"/>
    <n v="4"/>
    <x v="1"/>
    <n v="3"/>
    <x v="1"/>
    <x v="2"/>
    <x v="0"/>
    <n v="3669"/>
    <x v="0"/>
    <s v="No"/>
    <n v="11"/>
    <n v="3"/>
    <n v="3"/>
    <n v="7"/>
    <n v="2"/>
    <n v="3"/>
    <n v="2"/>
  </r>
  <r>
    <n v="58"/>
    <x v="0"/>
    <x v="0"/>
    <n v="1"/>
    <s v="Research &amp; Development"/>
    <n v="3"/>
    <x v="0"/>
    <n v="2"/>
    <x v="2"/>
    <x v="3"/>
    <x v="3"/>
    <n v="10008"/>
    <x v="1"/>
    <s v="Yes"/>
    <n v="14"/>
    <n v="3"/>
    <n v="4"/>
    <n v="31"/>
    <n v="2"/>
    <n v="10"/>
    <n v="9"/>
  </r>
  <r>
    <n v="40"/>
    <x v="1"/>
    <x v="1"/>
    <n v="0"/>
    <s v="Research &amp; Development"/>
    <n v="2"/>
    <x v="1"/>
    <n v="3"/>
    <x v="1"/>
    <x v="2"/>
    <x v="1"/>
    <n v="2387"/>
    <x v="0"/>
    <s v="No"/>
    <n v="22"/>
    <n v="4"/>
    <n v="3"/>
    <n v="7"/>
    <n v="3"/>
    <n v="4"/>
    <n v="2"/>
  </r>
  <r>
    <n v="36"/>
    <x v="1"/>
    <x v="1"/>
    <n v="0"/>
    <s v="Sales"/>
    <n v="1"/>
    <x v="0"/>
    <n v="4"/>
    <x v="0"/>
    <x v="0"/>
    <x v="3"/>
    <n v="4639"/>
    <x v="0"/>
    <s v="No"/>
    <n v="16"/>
    <n v="3"/>
    <n v="4"/>
    <n v="17"/>
    <n v="2"/>
    <n v="15"/>
    <n v="7"/>
  </r>
  <r>
    <n v="48"/>
    <x v="0"/>
    <x v="1"/>
    <n v="0"/>
    <s v="Research &amp; Development"/>
    <n v="4"/>
    <x v="1"/>
    <n v="3"/>
    <x v="2"/>
    <x v="3"/>
    <x v="0"/>
    <n v="7898"/>
    <x v="1"/>
    <s v="No"/>
    <n v="11"/>
    <n v="3"/>
    <n v="3"/>
    <n v="11"/>
    <n v="3"/>
    <n v="10"/>
    <n v="9"/>
  </r>
  <r>
    <n v="27"/>
    <x v="2"/>
    <x v="1"/>
    <n v="0"/>
    <s v="Sales"/>
    <n v="3"/>
    <x v="0"/>
    <n v="4"/>
    <x v="1"/>
    <x v="6"/>
    <x v="0"/>
    <n v="2534"/>
    <x v="0"/>
    <s v="No"/>
    <n v="14"/>
    <n v="3"/>
    <n v="2"/>
    <n v="5"/>
    <n v="3"/>
    <n v="1"/>
    <n v="0"/>
  </r>
  <r>
    <n v="51"/>
    <x v="0"/>
    <x v="1"/>
    <n v="0"/>
    <s v="Research &amp; Development"/>
    <n v="4"/>
    <x v="0"/>
    <n v="2"/>
    <x v="3"/>
    <x v="3"/>
    <x v="1"/>
    <n v="13142"/>
    <x v="1"/>
    <s v="No"/>
    <n v="16"/>
    <n v="3"/>
    <n v="2"/>
    <n v="29"/>
    <n v="2"/>
    <n v="5"/>
    <n v="2"/>
  </r>
  <r>
    <n v="18"/>
    <x v="2"/>
    <x v="1"/>
    <n v="0"/>
    <s v="Research &amp; Development"/>
    <n v="4"/>
    <x v="0"/>
    <n v="3"/>
    <x v="1"/>
    <x v="2"/>
    <x v="0"/>
    <n v="1611"/>
    <x v="0"/>
    <s v="No"/>
    <n v="15"/>
    <n v="3"/>
    <n v="3"/>
    <n v="0"/>
    <n v="4"/>
    <n v="0"/>
    <n v="0"/>
  </r>
  <r>
    <n v="35"/>
    <x v="1"/>
    <x v="1"/>
    <n v="0"/>
    <s v="Research &amp; Development"/>
    <n v="4"/>
    <x v="0"/>
    <n v="2"/>
    <x v="0"/>
    <x v="2"/>
    <x v="0"/>
    <n v="5363"/>
    <x v="0"/>
    <s v="No"/>
    <n v="12"/>
    <n v="3"/>
    <n v="2"/>
    <n v="10"/>
    <n v="3"/>
    <n v="9"/>
    <n v="7"/>
  </r>
  <r>
    <n v="27"/>
    <x v="2"/>
    <x v="1"/>
    <n v="0"/>
    <s v="Sales"/>
    <n v="4"/>
    <x v="1"/>
    <n v="1"/>
    <x v="0"/>
    <x v="0"/>
    <x v="0"/>
    <n v="5071"/>
    <x v="0"/>
    <s v="No"/>
    <n v="20"/>
    <n v="4"/>
    <n v="2"/>
    <n v="8"/>
    <n v="3"/>
    <n v="6"/>
    <n v="2"/>
  </r>
  <r>
    <n v="55"/>
    <x v="0"/>
    <x v="0"/>
    <n v="1"/>
    <s v="Sales"/>
    <n v="1"/>
    <x v="1"/>
    <n v="4"/>
    <x v="3"/>
    <x v="0"/>
    <x v="2"/>
    <n v="13695"/>
    <x v="1"/>
    <s v="Yes"/>
    <n v="17"/>
    <n v="3"/>
    <n v="3"/>
    <n v="24"/>
    <n v="2"/>
    <n v="19"/>
    <n v="7"/>
  </r>
  <r>
    <n v="56"/>
    <x v="0"/>
    <x v="1"/>
    <n v="0"/>
    <s v="Research &amp; Development"/>
    <n v="4"/>
    <x v="1"/>
    <n v="3"/>
    <x v="3"/>
    <x v="3"/>
    <x v="1"/>
    <n v="13402"/>
    <x v="1"/>
    <s v="Yes"/>
    <n v="12"/>
    <n v="3"/>
    <n v="1"/>
    <n v="33"/>
    <n v="3"/>
    <n v="19"/>
    <n v="16"/>
  </r>
  <r>
    <n v="34"/>
    <x v="1"/>
    <x v="1"/>
    <n v="0"/>
    <s v="Research &amp; Development"/>
    <n v="1"/>
    <x v="0"/>
    <n v="2"/>
    <x v="1"/>
    <x v="1"/>
    <x v="2"/>
    <n v="2029"/>
    <x v="0"/>
    <s v="No"/>
    <n v="20"/>
    <n v="4"/>
    <n v="3"/>
    <n v="5"/>
    <n v="3"/>
    <n v="5"/>
    <n v="4"/>
  </r>
  <r>
    <n v="40"/>
    <x v="1"/>
    <x v="1"/>
    <n v="0"/>
    <s v="Research &amp; Development"/>
    <n v="2"/>
    <x v="0"/>
    <n v="4"/>
    <x v="0"/>
    <x v="4"/>
    <x v="2"/>
    <n v="6377"/>
    <x v="0"/>
    <s v="No"/>
    <n v="20"/>
    <n v="4"/>
    <n v="2"/>
    <n v="15"/>
    <n v="3"/>
    <n v="12"/>
    <n v="11"/>
  </r>
  <r>
    <n v="34"/>
    <x v="1"/>
    <x v="1"/>
    <n v="0"/>
    <s v="Research &amp; Development"/>
    <n v="2"/>
    <x v="1"/>
    <n v="3"/>
    <x v="0"/>
    <x v="2"/>
    <x v="2"/>
    <n v="5429"/>
    <x v="0"/>
    <s v="No"/>
    <n v="13"/>
    <n v="3"/>
    <n v="1"/>
    <n v="10"/>
    <n v="3"/>
    <n v="8"/>
    <n v="7"/>
  </r>
  <r>
    <n v="31"/>
    <x v="1"/>
    <x v="0"/>
    <n v="1"/>
    <s v="Sales"/>
    <n v="3"/>
    <x v="0"/>
    <n v="2"/>
    <x v="1"/>
    <x v="6"/>
    <x v="0"/>
    <n v="2785"/>
    <x v="0"/>
    <s v="No"/>
    <n v="14"/>
    <n v="3"/>
    <n v="3"/>
    <n v="3"/>
    <n v="4"/>
    <n v="1"/>
    <n v="0"/>
  </r>
  <r>
    <n v="35"/>
    <x v="1"/>
    <x v="0"/>
    <n v="1"/>
    <s v="Sales"/>
    <n v="4"/>
    <x v="0"/>
    <n v="3"/>
    <x v="0"/>
    <x v="0"/>
    <x v="2"/>
    <n v="4614"/>
    <x v="0"/>
    <s v="Yes"/>
    <n v="18"/>
    <n v="3"/>
    <n v="3"/>
    <n v="5"/>
    <n v="2"/>
    <n v="4"/>
    <n v="2"/>
  </r>
  <r>
    <n v="38"/>
    <x v="1"/>
    <x v="1"/>
    <n v="0"/>
    <s v="Research &amp; Development"/>
    <n v="4"/>
    <x v="1"/>
    <n v="4"/>
    <x v="1"/>
    <x v="1"/>
    <x v="2"/>
    <n v="2610"/>
    <x v="0"/>
    <s v="No"/>
    <n v="11"/>
    <n v="3"/>
    <n v="4"/>
    <n v="4"/>
    <n v="3"/>
    <n v="4"/>
    <n v="2"/>
  </r>
  <r>
    <n v="34"/>
    <x v="1"/>
    <x v="1"/>
    <n v="0"/>
    <s v="Research &amp; Development"/>
    <n v="3"/>
    <x v="0"/>
    <n v="3"/>
    <x v="0"/>
    <x v="4"/>
    <x v="0"/>
    <n v="6687"/>
    <x v="0"/>
    <s v="No"/>
    <n v="11"/>
    <n v="3"/>
    <n v="4"/>
    <n v="14"/>
    <n v="4"/>
    <n v="14"/>
    <n v="11"/>
  </r>
  <r>
    <n v="28"/>
    <x v="2"/>
    <x v="1"/>
    <n v="0"/>
    <s v="Sales"/>
    <n v="3"/>
    <x v="1"/>
    <n v="2"/>
    <x v="0"/>
    <x v="0"/>
    <x v="3"/>
    <n v="4724"/>
    <x v="0"/>
    <s v="No"/>
    <n v="11"/>
    <n v="3"/>
    <n v="3"/>
    <n v="5"/>
    <n v="3"/>
    <n v="5"/>
    <n v="3"/>
  </r>
  <r>
    <n v="31"/>
    <x v="1"/>
    <x v="0"/>
    <n v="1"/>
    <s v="Research &amp; Development"/>
    <n v="4"/>
    <x v="1"/>
    <n v="3"/>
    <x v="0"/>
    <x v="3"/>
    <x v="2"/>
    <n v="6179"/>
    <x v="0"/>
    <s v="Yes"/>
    <n v="15"/>
    <n v="3"/>
    <n v="4"/>
    <n v="10"/>
    <n v="2"/>
    <n v="10"/>
    <n v="2"/>
  </r>
  <r>
    <n v="39"/>
    <x v="1"/>
    <x v="1"/>
    <n v="0"/>
    <s v="Sales"/>
    <n v="1"/>
    <x v="1"/>
    <n v="2"/>
    <x v="0"/>
    <x v="0"/>
    <x v="0"/>
    <n v="6120"/>
    <x v="0"/>
    <s v="Yes"/>
    <n v="12"/>
    <n v="3"/>
    <n v="4"/>
    <n v="8"/>
    <n v="4"/>
    <n v="5"/>
    <n v="4"/>
  </r>
  <r>
    <n v="51"/>
    <x v="0"/>
    <x v="1"/>
    <n v="0"/>
    <s v="Sales"/>
    <n v="2"/>
    <x v="1"/>
    <n v="3"/>
    <x v="2"/>
    <x v="0"/>
    <x v="1"/>
    <n v="10596"/>
    <x v="1"/>
    <s v="No"/>
    <n v="11"/>
    <n v="3"/>
    <n v="2"/>
    <n v="14"/>
    <n v="3"/>
    <n v="4"/>
    <n v="2"/>
  </r>
  <r>
    <n v="41"/>
    <x v="0"/>
    <x v="1"/>
    <n v="0"/>
    <s v="Research &amp; Development"/>
    <n v="4"/>
    <x v="0"/>
    <n v="3"/>
    <x v="0"/>
    <x v="1"/>
    <x v="0"/>
    <n v="5467"/>
    <x v="0"/>
    <s v="Yes"/>
    <n v="14"/>
    <n v="3"/>
    <n v="1"/>
    <n v="12"/>
    <n v="2"/>
    <n v="6"/>
    <n v="2"/>
  </r>
  <r>
    <n v="37"/>
    <x v="1"/>
    <x v="1"/>
    <n v="0"/>
    <s v="Research &amp; Development"/>
    <n v="3"/>
    <x v="1"/>
    <n v="3"/>
    <x v="1"/>
    <x v="1"/>
    <x v="2"/>
    <n v="2996"/>
    <x v="0"/>
    <s v="Yes"/>
    <n v="15"/>
    <n v="3"/>
    <n v="4"/>
    <n v="8"/>
    <n v="3"/>
    <n v="6"/>
    <n v="4"/>
  </r>
  <r>
    <n v="33"/>
    <x v="1"/>
    <x v="1"/>
    <n v="0"/>
    <s v="Sales"/>
    <n v="2"/>
    <x v="1"/>
    <n v="3"/>
    <x v="0"/>
    <x v="0"/>
    <x v="0"/>
    <n v="9998"/>
    <x v="1"/>
    <s v="No"/>
    <n v="13"/>
    <n v="3"/>
    <n v="1"/>
    <n v="8"/>
    <n v="4"/>
    <n v="5"/>
    <n v="4"/>
  </r>
  <r>
    <n v="32"/>
    <x v="1"/>
    <x v="1"/>
    <n v="0"/>
    <s v="Sales"/>
    <n v="3"/>
    <x v="1"/>
    <n v="3"/>
    <x v="0"/>
    <x v="0"/>
    <x v="1"/>
    <n v="4078"/>
    <x v="0"/>
    <s v="Yes"/>
    <n v="13"/>
    <n v="3"/>
    <n v="1"/>
    <n v="4"/>
    <n v="2"/>
    <n v="3"/>
    <n v="2"/>
  </r>
  <r>
    <n v="39"/>
    <x v="1"/>
    <x v="1"/>
    <n v="0"/>
    <s v="Research &amp; Development"/>
    <n v="3"/>
    <x v="1"/>
    <n v="3"/>
    <x v="2"/>
    <x v="4"/>
    <x v="2"/>
    <n v="10920"/>
    <x v="1"/>
    <s v="No"/>
    <n v="21"/>
    <n v="4"/>
    <n v="2"/>
    <n v="13"/>
    <n v="3"/>
    <n v="6"/>
    <n v="4"/>
  </r>
  <r>
    <n v="25"/>
    <x v="2"/>
    <x v="1"/>
    <n v="0"/>
    <s v="Sales"/>
    <n v="1"/>
    <x v="1"/>
    <n v="4"/>
    <x v="0"/>
    <x v="0"/>
    <x v="2"/>
    <n v="6232"/>
    <x v="0"/>
    <s v="No"/>
    <n v="11"/>
    <n v="3"/>
    <n v="2"/>
    <n v="6"/>
    <n v="2"/>
    <n v="3"/>
    <n v="2"/>
  </r>
  <r>
    <n v="52"/>
    <x v="0"/>
    <x v="1"/>
    <n v="0"/>
    <s v="Research &amp; Development"/>
    <n v="4"/>
    <x v="0"/>
    <n v="4"/>
    <x v="3"/>
    <x v="3"/>
    <x v="2"/>
    <n v="13247"/>
    <x v="1"/>
    <s v="Yes"/>
    <n v="11"/>
    <n v="3"/>
    <n v="2"/>
    <n v="24"/>
    <n v="2"/>
    <n v="5"/>
    <n v="3"/>
  </r>
  <r>
    <n v="43"/>
    <x v="0"/>
    <x v="1"/>
    <n v="0"/>
    <s v="Research &amp; Development"/>
    <n v="1"/>
    <x v="0"/>
    <n v="2"/>
    <x v="0"/>
    <x v="1"/>
    <x v="2"/>
    <n v="4081"/>
    <x v="0"/>
    <s v="Yes"/>
    <n v="14"/>
    <n v="3"/>
    <n v="1"/>
    <n v="20"/>
    <n v="1"/>
    <n v="20"/>
    <n v="7"/>
  </r>
  <r>
    <n v="27"/>
    <x v="2"/>
    <x v="1"/>
    <n v="0"/>
    <s v="Sales"/>
    <n v="4"/>
    <x v="0"/>
    <n v="2"/>
    <x v="0"/>
    <x v="0"/>
    <x v="0"/>
    <n v="5769"/>
    <x v="0"/>
    <s v="Yes"/>
    <n v="11"/>
    <n v="3"/>
    <n v="4"/>
    <n v="6"/>
    <n v="3"/>
    <n v="6"/>
    <n v="2"/>
  </r>
  <r>
    <n v="27"/>
    <x v="2"/>
    <x v="0"/>
    <n v="1"/>
    <s v="Research &amp; Development"/>
    <n v="4"/>
    <x v="0"/>
    <n v="3"/>
    <x v="1"/>
    <x v="1"/>
    <x v="2"/>
    <n v="2394"/>
    <x v="0"/>
    <s v="Yes"/>
    <n v="13"/>
    <n v="3"/>
    <n v="4"/>
    <n v="8"/>
    <n v="3"/>
    <n v="8"/>
    <n v="2"/>
  </r>
  <r>
    <n v="26"/>
    <x v="2"/>
    <x v="1"/>
    <n v="0"/>
    <s v="Research &amp; Development"/>
    <n v="1"/>
    <x v="1"/>
    <n v="2"/>
    <x v="1"/>
    <x v="1"/>
    <x v="0"/>
    <n v="3904"/>
    <x v="0"/>
    <s v="No"/>
    <n v="12"/>
    <n v="3"/>
    <n v="4"/>
    <n v="5"/>
    <n v="3"/>
    <n v="4"/>
    <n v="3"/>
  </r>
  <r>
    <n v="42"/>
    <x v="0"/>
    <x v="1"/>
    <n v="0"/>
    <s v="Human Resources"/>
    <n v="3"/>
    <x v="0"/>
    <n v="3"/>
    <x v="3"/>
    <x v="5"/>
    <x v="3"/>
    <n v="16799"/>
    <x v="2"/>
    <s v="No"/>
    <n v="14"/>
    <n v="3"/>
    <n v="3"/>
    <n v="21"/>
    <n v="3"/>
    <n v="20"/>
    <n v="7"/>
  </r>
  <r>
    <n v="52"/>
    <x v="0"/>
    <x v="1"/>
    <n v="0"/>
    <s v="Research &amp; Development"/>
    <n v="3"/>
    <x v="0"/>
    <n v="3"/>
    <x v="1"/>
    <x v="2"/>
    <x v="3"/>
    <n v="2950"/>
    <x v="0"/>
    <s v="No"/>
    <n v="13"/>
    <n v="3"/>
    <n v="3"/>
    <n v="12"/>
    <n v="1"/>
    <n v="5"/>
    <n v="4"/>
  </r>
  <r>
    <n v="37"/>
    <x v="1"/>
    <x v="1"/>
    <n v="0"/>
    <s v="Research &amp; Development"/>
    <n v="1"/>
    <x v="0"/>
    <n v="3"/>
    <x v="1"/>
    <x v="2"/>
    <x v="2"/>
    <n v="3629"/>
    <x v="0"/>
    <s v="No"/>
    <n v="18"/>
    <n v="3"/>
    <n v="1"/>
    <n v="8"/>
    <n v="3"/>
    <n v="3"/>
    <n v="2"/>
  </r>
  <r>
    <n v="35"/>
    <x v="1"/>
    <x v="1"/>
    <n v="0"/>
    <s v="Research &amp; Development"/>
    <n v="3"/>
    <x v="1"/>
    <n v="3"/>
    <x v="2"/>
    <x v="3"/>
    <x v="0"/>
    <n v="9362"/>
    <x v="1"/>
    <s v="No"/>
    <n v="11"/>
    <n v="3"/>
    <n v="3"/>
    <n v="10"/>
    <n v="3"/>
    <n v="2"/>
    <n v="2"/>
  </r>
  <r>
    <n v="25"/>
    <x v="2"/>
    <x v="1"/>
    <n v="0"/>
    <s v="Research &amp; Development"/>
    <n v="1"/>
    <x v="1"/>
    <n v="3"/>
    <x v="1"/>
    <x v="2"/>
    <x v="0"/>
    <n v="3229"/>
    <x v="0"/>
    <s v="No"/>
    <n v="11"/>
    <n v="3"/>
    <n v="2"/>
    <n v="7"/>
    <n v="2"/>
    <n v="3"/>
    <n v="2"/>
  </r>
  <r>
    <n v="26"/>
    <x v="2"/>
    <x v="1"/>
    <n v="0"/>
    <s v="Research &amp; Development"/>
    <n v="3"/>
    <x v="1"/>
    <n v="4"/>
    <x v="1"/>
    <x v="2"/>
    <x v="3"/>
    <n v="3578"/>
    <x v="0"/>
    <s v="No"/>
    <n v="12"/>
    <n v="3"/>
    <n v="4"/>
    <n v="8"/>
    <n v="3"/>
    <n v="7"/>
    <n v="7"/>
  </r>
  <r>
    <n v="29"/>
    <x v="2"/>
    <x v="1"/>
    <n v="0"/>
    <s v="Human Resources"/>
    <n v="2"/>
    <x v="1"/>
    <n v="2"/>
    <x v="2"/>
    <x v="8"/>
    <x v="3"/>
    <n v="7988"/>
    <x v="1"/>
    <s v="No"/>
    <n v="13"/>
    <n v="3"/>
    <n v="1"/>
    <n v="10"/>
    <n v="2"/>
    <n v="10"/>
    <n v="9"/>
  </r>
  <r>
    <n v="49"/>
    <x v="0"/>
    <x v="0"/>
    <n v="1"/>
    <s v="Research &amp; Development"/>
    <n v="1"/>
    <x v="1"/>
    <n v="2"/>
    <x v="0"/>
    <x v="2"/>
    <x v="3"/>
    <n v="4284"/>
    <x v="0"/>
    <s v="No"/>
    <n v="20"/>
    <n v="4"/>
    <n v="1"/>
    <n v="20"/>
    <n v="3"/>
    <n v="4"/>
    <n v="3"/>
  </r>
  <r>
    <n v="29"/>
    <x v="2"/>
    <x v="0"/>
    <n v="1"/>
    <s v="Research &amp; Development"/>
    <n v="3"/>
    <x v="0"/>
    <n v="3"/>
    <x v="2"/>
    <x v="4"/>
    <x v="0"/>
    <n v="7553"/>
    <x v="1"/>
    <s v="Yes"/>
    <n v="12"/>
    <n v="3"/>
    <n v="1"/>
    <n v="9"/>
    <n v="3"/>
    <n v="8"/>
    <n v="7"/>
  </r>
  <r>
    <n v="54"/>
    <x v="0"/>
    <x v="1"/>
    <n v="0"/>
    <s v="Research &amp; Development"/>
    <n v="4"/>
    <x v="0"/>
    <n v="3"/>
    <x v="3"/>
    <x v="7"/>
    <x v="0"/>
    <n v="17328"/>
    <x v="2"/>
    <s v="No"/>
    <n v="19"/>
    <n v="3"/>
    <n v="4"/>
    <n v="29"/>
    <n v="2"/>
    <n v="20"/>
    <n v="7"/>
  </r>
  <r>
    <n v="58"/>
    <x v="0"/>
    <x v="1"/>
    <n v="0"/>
    <s v="Research &amp; Development"/>
    <n v="4"/>
    <x v="0"/>
    <n v="3"/>
    <x v="4"/>
    <x v="7"/>
    <x v="3"/>
    <n v="19701"/>
    <x v="2"/>
    <s v="Yes"/>
    <n v="21"/>
    <n v="4"/>
    <n v="3"/>
    <n v="32"/>
    <n v="3"/>
    <n v="9"/>
    <n v="8"/>
  </r>
  <r>
    <n v="55"/>
    <x v="0"/>
    <x v="1"/>
    <n v="0"/>
    <s v="Research &amp; Development"/>
    <n v="2"/>
    <x v="1"/>
    <n v="4"/>
    <x v="3"/>
    <x v="7"/>
    <x v="0"/>
    <n v="14732"/>
    <x v="1"/>
    <s v="No"/>
    <n v="13"/>
    <n v="3"/>
    <n v="4"/>
    <n v="31"/>
    <n v="4"/>
    <n v="7"/>
    <n v="7"/>
  </r>
  <r>
    <n v="36"/>
    <x v="1"/>
    <x v="1"/>
    <n v="0"/>
    <s v="Sales"/>
    <n v="1"/>
    <x v="0"/>
    <n v="3"/>
    <x v="0"/>
    <x v="0"/>
    <x v="1"/>
    <n v="9278"/>
    <x v="1"/>
    <s v="Yes"/>
    <n v="16"/>
    <n v="3"/>
    <n v="4"/>
    <n v="15"/>
    <n v="3"/>
    <n v="5"/>
    <n v="4"/>
  </r>
  <r>
    <n v="31"/>
    <x v="1"/>
    <x v="0"/>
    <n v="1"/>
    <s v="Sales"/>
    <n v="2"/>
    <x v="0"/>
    <n v="1"/>
    <x v="1"/>
    <x v="6"/>
    <x v="2"/>
    <n v="1359"/>
    <x v="0"/>
    <s v="No"/>
    <n v="12"/>
    <n v="3"/>
    <n v="2"/>
    <n v="1"/>
    <n v="3"/>
    <n v="1"/>
    <n v="0"/>
  </r>
  <r>
    <n v="30"/>
    <x v="2"/>
    <x v="1"/>
    <n v="0"/>
    <s v="Sales"/>
    <n v="4"/>
    <x v="0"/>
    <n v="3"/>
    <x v="0"/>
    <x v="0"/>
    <x v="3"/>
    <n v="4779"/>
    <x v="0"/>
    <s v="No"/>
    <n v="14"/>
    <n v="3"/>
    <n v="2"/>
    <n v="8"/>
    <n v="3"/>
    <n v="3"/>
    <n v="2"/>
  </r>
  <r>
    <n v="31"/>
    <x v="1"/>
    <x v="1"/>
    <n v="0"/>
    <s v="Research &amp; Development"/>
    <n v="1"/>
    <x v="0"/>
    <n v="3"/>
    <x v="3"/>
    <x v="7"/>
    <x v="1"/>
    <n v="16422"/>
    <x v="2"/>
    <s v="No"/>
    <n v="11"/>
    <n v="3"/>
    <n v="3"/>
    <n v="9"/>
    <n v="4"/>
    <n v="3"/>
    <n v="2"/>
  </r>
  <r>
    <n v="34"/>
    <x v="1"/>
    <x v="1"/>
    <n v="0"/>
    <s v="Research &amp; Development"/>
    <n v="4"/>
    <x v="1"/>
    <n v="3"/>
    <x v="1"/>
    <x v="1"/>
    <x v="3"/>
    <n v="2996"/>
    <x v="0"/>
    <s v="No"/>
    <n v="14"/>
    <n v="3"/>
    <n v="3"/>
    <n v="10"/>
    <n v="3"/>
    <n v="4"/>
    <n v="3"/>
  </r>
  <r>
    <n v="31"/>
    <x v="1"/>
    <x v="0"/>
    <n v="1"/>
    <s v="Research &amp; Development"/>
    <n v="1"/>
    <x v="0"/>
    <n v="2"/>
    <x v="1"/>
    <x v="1"/>
    <x v="1"/>
    <n v="1261"/>
    <x v="0"/>
    <s v="No"/>
    <n v="12"/>
    <n v="3"/>
    <n v="3"/>
    <n v="1"/>
    <n v="4"/>
    <n v="1"/>
    <n v="0"/>
  </r>
  <r>
    <n v="27"/>
    <x v="2"/>
    <x v="1"/>
    <n v="0"/>
    <s v="Research &amp; Development"/>
    <n v="2"/>
    <x v="1"/>
    <n v="3"/>
    <x v="1"/>
    <x v="2"/>
    <x v="3"/>
    <n v="2099"/>
    <x v="0"/>
    <s v="No"/>
    <n v="14"/>
    <n v="3"/>
    <n v="2"/>
    <n v="6"/>
    <n v="4"/>
    <n v="5"/>
    <n v="0"/>
  </r>
  <r>
    <n v="36"/>
    <x v="1"/>
    <x v="1"/>
    <n v="0"/>
    <s v="Research &amp; Development"/>
    <n v="1"/>
    <x v="1"/>
    <n v="2"/>
    <x v="0"/>
    <x v="2"/>
    <x v="0"/>
    <n v="5810"/>
    <x v="0"/>
    <s v="No"/>
    <n v="16"/>
    <n v="3"/>
    <n v="3"/>
    <n v="10"/>
    <n v="2"/>
    <n v="10"/>
    <n v="4"/>
  </r>
  <r>
    <n v="36"/>
    <x v="1"/>
    <x v="1"/>
    <n v="0"/>
    <s v="Sales"/>
    <n v="3"/>
    <x v="0"/>
    <n v="2"/>
    <x v="0"/>
    <x v="0"/>
    <x v="3"/>
    <n v="5647"/>
    <x v="0"/>
    <s v="No"/>
    <n v="13"/>
    <n v="3"/>
    <n v="1"/>
    <n v="11"/>
    <n v="2"/>
    <n v="3"/>
    <n v="2"/>
  </r>
  <r>
    <n v="47"/>
    <x v="0"/>
    <x v="1"/>
    <n v="0"/>
    <s v="Research &amp; Development"/>
    <n v="1"/>
    <x v="1"/>
    <n v="3"/>
    <x v="1"/>
    <x v="1"/>
    <x v="0"/>
    <n v="3420"/>
    <x v="0"/>
    <s v="No"/>
    <n v="12"/>
    <n v="3"/>
    <n v="3"/>
    <n v="17"/>
    <n v="2"/>
    <n v="6"/>
    <n v="5"/>
  </r>
  <r>
    <n v="25"/>
    <x v="2"/>
    <x v="0"/>
    <n v="1"/>
    <s v="Sales"/>
    <n v="1"/>
    <x v="1"/>
    <n v="2"/>
    <x v="1"/>
    <x v="6"/>
    <x v="3"/>
    <n v="4400"/>
    <x v="0"/>
    <s v="No"/>
    <n v="12"/>
    <n v="3"/>
    <n v="1"/>
    <n v="6"/>
    <n v="3"/>
    <n v="3"/>
    <n v="2"/>
  </r>
  <r>
    <n v="37"/>
    <x v="1"/>
    <x v="1"/>
    <n v="0"/>
    <s v="Research &amp; Development"/>
    <n v="3"/>
    <x v="1"/>
    <n v="4"/>
    <x v="1"/>
    <x v="2"/>
    <x v="2"/>
    <n v="3500"/>
    <x v="0"/>
    <s v="No"/>
    <n v="14"/>
    <n v="3"/>
    <n v="1"/>
    <n v="7"/>
    <n v="1"/>
    <n v="6"/>
    <n v="5"/>
  </r>
  <r>
    <n v="56"/>
    <x v="0"/>
    <x v="1"/>
    <n v="0"/>
    <s v="Research &amp; Development"/>
    <n v="1"/>
    <x v="0"/>
    <n v="3"/>
    <x v="1"/>
    <x v="1"/>
    <x v="3"/>
    <n v="2066"/>
    <x v="0"/>
    <s v="No"/>
    <n v="22"/>
    <n v="4"/>
    <n v="4"/>
    <n v="5"/>
    <n v="4"/>
    <n v="3"/>
    <n v="2"/>
  </r>
  <r>
    <n v="47"/>
    <x v="0"/>
    <x v="1"/>
    <n v="0"/>
    <s v="Research &amp; Development"/>
    <n v="1"/>
    <x v="0"/>
    <n v="3"/>
    <x v="3"/>
    <x v="7"/>
    <x v="2"/>
    <n v="17169"/>
    <x v="2"/>
    <s v="No"/>
    <n v="19"/>
    <n v="3"/>
    <n v="2"/>
    <n v="26"/>
    <n v="4"/>
    <n v="20"/>
    <n v="17"/>
  </r>
  <r>
    <n v="24"/>
    <x v="2"/>
    <x v="1"/>
    <n v="0"/>
    <s v="Sales"/>
    <n v="4"/>
    <x v="0"/>
    <n v="3"/>
    <x v="0"/>
    <x v="0"/>
    <x v="2"/>
    <n v="4162"/>
    <x v="0"/>
    <s v="Yes"/>
    <n v="12"/>
    <n v="3"/>
    <n v="3"/>
    <n v="5"/>
    <n v="3"/>
    <n v="5"/>
    <n v="4"/>
  </r>
  <r>
    <n v="32"/>
    <x v="1"/>
    <x v="1"/>
    <n v="0"/>
    <s v="Sales"/>
    <n v="4"/>
    <x v="1"/>
    <n v="3"/>
    <x v="0"/>
    <x v="0"/>
    <x v="0"/>
    <n v="9204"/>
    <x v="1"/>
    <s v="No"/>
    <n v="12"/>
    <n v="3"/>
    <n v="3"/>
    <n v="7"/>
    <n v="2"/>
    <n v="4"/>
    <n v="3"/>
  </r>
  <r>
    <n v="34"/>
    <x v="1"/>
    <x v="1"/>
    <n v="0"/>
    <s v="Research &amp; Development"/>
    <n v="4"/>
    <x v="0"/>
    <n v="2"/>
    <x v="1"/>
    <x v="2"/>
    <x v="1"/>
    <n v="3294"/>
    <x v="0"/>
    <s v="No"/>
    <n v="17"/>
    <n v="3"/>
    <n v="1"/>
    <n v="7"/>
    <n v="2"/>
    <n v="5"/>
    <n v="4"/>
  </r>
  <r>
    <n v="41"/>
    <x v="0"/>
    <x v="1"/>
    <n v="0"/>
    <s v="Research &amp; Development"/>
    <n v="2"/>
    <x v="1"/>
    <n v="4"/>
    <x v="1"/>
    <x v="1"/>
    <x v="2"/>
    <n v="2127"/>
    <x v="0"/>
    <s v="Yes"/>
    <n v="12"/>
    <n v="3"/>
    <n v="1"/>
    <n v="7"/>
    <n v="2"/>
    <n v="4"/>
    <n v="2"/>
  </r>
  <r>
    <n v="40"/>
    <x v="1"/>
    <x v="1"/>
    <n v="0"/>
    <s v="Research &amp; Development"/>
    <n v="3"/>
    <x v="1"/>
    <n v="3"/>
    <x v="0"/>
    <x v="2"/>
    <x v="2"/>
    <n v="3975"/>
    <x v="0"/>
    <s v="No"/>
    <n v="11"/>
    <n v="3"/>
    <n v="3"/>
    <n v="11"/>
    <n v="4"/>
    <n v="8"/>
    <n v="7"/>
  </r>
  <r>
    <n v="31"/>
    <x v="1"/>
    <x v="1"/>
    <n v="0"/>
    <s v="Sales"/>
    <n v="1"/>
    <x v="1"/>
    <n v="3"/>
    <x v="2"/>
    <x v="0"/>
    <x v="0"/>
    <n v="10793"/>
    <x v="1"/>
    <s v="No"/>
    <n v="18"/>
    <n v="3"/>
    <n v="1"/>
    <n v="13"/>
    <n v="3"/>
    <n v="13"/>
    <n v="7"/>
  </r>
  <r>
    <n v="46"/>
    <x v="0"/>
    <x v="0"/>
    <n v="1"/>
    <s v="Sales"/>
    <n v="1"/>
    <x v="1"/>
    <n v="3"/>
    <x v="2"/>
    <x v="0"/>
    <x v="0"/>
    <n v="10096"/>
    <x v="1"/>
    <s v="No"/>
    <n v="11"/>
    <n v="3"/>
    <n v="1"/>
    <n v="28"/>
    <n v="4"/>
    <n v="7"/>
    <n v="7"/>
  </r>
  <r>
    <n v="39"/>
    <x v="1"/>
    <x v="0"/>
    <n v="1"/>
    <s v="Research &amp; Development"/>
    <n v="1"/>
    <x v="0"/>
    <n v="2"/>
    <x v="1"/>
    <x v="2"/>
    <x v="3"/>
    <n v="3646"/>
    <x v="0"/>
    <s v="Yes"/>
    <n v="23"/>
    <n v="4"/>
    <n v="2"/>
    <n v="11"/>
    <n v="4"/>
    <n v="1"/>
    <n v="0"/>
  </r>
  <r>
    <n v="31"/>
    <x v="1"/>
    <x v="0"/>
    <n v="1"/>
    <s v="Research &amp; Development"/>
    <n v="3"/>
    <x v="0"/>
    <n v="4"/>
    <x v="2"/>
    <x v="3"/>
    <x v="1"/>
    <n v="7446"/>
    <x v="1"/>
    <s v="No"/>
    <n v="11"/>
    <n v="3"/>
    <n v="1"/>
    <n v="10"/>
    <n v="3"/>
    <n v="10"/>
    <n v="8"/>
  </r>
  <r>
    <n v="45"/>
    <x v="0"/>
    <x v="1"/>
    <n v="0"/>
    <s v="Research &amp; Development"/>
    <n v="2"/>
    <x v="1"/>
    <n v="1"/>
    <x v="2"/>
    <x v="4"/>
    <x v="3"/>
    <n v="10851"/>
    <x v="1"/>
    <s v="Yes"/>
    <n v="18"/>
    <n v="3"/>
    <n v="2"/>
    <n v="24"/>
    <n v="3"/>
    <n v="7"/>
    <n v="7"/>
  </r>
  <r>
    <n v="31"/>
    <x v="1"/>
    <x v="1"/>
    <n v="0"/>
    <s v="Human Resources"/>
    <n v="4"/>
    <x v="0"/>
    <n v="4"/>
    <x v="1"/>
    <x v="8"/>
    <x v="1"/>
    <n v="2109"/>
    <x v="0"/>
    <s v="No"/>
    <n v="18"/>
    <n v="3"/>
    <n v="4"/>
    <n v="8"/>
    <n v="3"/>
    <n v="3"/>
    <n v="2"/>
  </r>
  <r>
    <n v="31"/>
    <x v="1"/>
    <x v="0"/>
    <n v="1"/>
    <s v="Research &amp; Development"/>
    <n v="2"/>
    <x v="1"/>
    <n v="3"/>
    <x v="1"/>
    <x v="2"/>
    <x v="0"/>
    <n v="3722"/>
    <x v="0"/>
    <s v="Yes"/>
    <n v="13"/>
    <n v="3"/>
    <n v="3"/>
    <n v="7"/>
    <n v="1"/>
    <n v="2"/>
    <n v="2"/>
  </r>
  <r>
    <n v="45"/>
    <x v="0"/>
    <x v="1"/>
    <n v="0"/>
    <s v="Research &amp; Development"/>
    <n v="2"/>
    <x v="1"/>
    <n v="3"/>
    <x v="2"/>
    <x v="3"/>
    <x v="0"/>
    <n v="9380"/>
    <x v="1"/>
    <s v="Yes"/>
    <n v="18"/>
    <n v="3"/>
    <n v="4"/>
    <n v="10"/>
    <n v="4"/>
    <n v="3"/>
    <n v="1"/>
  </r>
  <r>
    <n v="48"/>
    <x v="0"/>
    <x v="1"/>
    <n v="0"/>
    <s v="Sales"/>
    <n v="3"/>
    <x v="1"/>
    <n v="3"/>
    <x v="0"/>
    <x v="0"/>
    <x v="3"/>
    <n v="5486"/>
    <x v="0"/>
    <s v="No"/>
    <n v="11"/>
    <n v="3"/>
    <n v="1"/>
    <n v="15"/>
    <n v="3"/>
    <n v="2"/>
    <n v="2"/>
  </r>
  <r>
    <n v="34"/>
    <x v="1"/>
    <x v="0"/>
    <n v="1"/>
    <s v="Human Resources"/>
    <n v="1"/>
    <x v="0"/>
    <n v="3"/>
    <x v="1"/>
    <x v="8"/>
    <x v="2"/>
    <n v="2742"/>
    <x v="0"/>
    <s v="No"/>
    <n v="15"/>
    <n v="3"/>
    <n v="4"/>
    <n v="2"/>
    <n v="3"/>
    <n v="2"/>
    <n v="2"/>
  </r>
  <r>
    <n v="40"/>
    <x v="1"/>
    <x v="1"/>
    <n v="0"/>
    <s v="Research &amp; Development"/>
    <n v="4"/>
    <x v="1"/>
    <n v="2"/>
    <x v="2"/>
    <x v="7"/>
    <x v="1"/>
    <n v="13757"/>
    <x v="1"/>
    <s v="No"/>
    <n v="11"/>
    <n v="3"/>
    <n v="3"/>
    <n v="16"/>
    <n v="3"/>
    <n v="9"/>
    <n v="8"/>
  </r>
  <r>
    <n v="28"/>
    <x v="2"/>
    <x v="1"/>
    <n v="0"/>
    <s v="Sales"/>
    <n v="4"/>
    <x v="1"/>
    <n v="3"/>
    <x v="0"/>
    <x v="0"/>
    <x v="3"/>
    <n v="8463"/>
    <x v="1"/>
    <s v="No"/>
    <n v="18"/>
    <n v="3"/>
    <n v="4"/>
    <n v="6"/>
    <n v="3"/>
    <n v="5"/>
    <n v="4"/>
  </r>
  <r>
    <n v="44"/>
    <x v="0"/>
    <x v="1"/>
    <n v="0"/>
    <s v="Research &amp; Development"/>
    <n v="3"/>
    <x v="1"/>
    <n v="2"/>
    <x v="1"/>
    <x v="2"/>
    <x v="2"/>
    <n v="3162"/>
    <x v="0"/>
    <s v="No"/>
    <n v="14"/>
    <n v="3"/>
    <n v="4"/>
    <n v="7"/>
    <n v="3"/>
    <n v="5"/>
    <n v="2"/>
  </r>
  <r>
    <n v="53"/>
    <x v="0"/>
    <x v="1"/>
    <n v="0"/>
    <s v="Research &amp; Development"/>
    <n v="4"/>
    <x v="1"/>
    <n v="4"/>
    <x v="3"/>
    <x v="7"/>
    <x v="1"/>
    <n v="16598"/>
    <x v="2"/>
    <s v="No"/>
    <n v="12"/>
    <n v="3"/>
    <n v="2"/>
    <n v="35"/>
    <n v="2"/>
    <n v="9"/>
    <n v="8"/>
  </r>
  <r>
    <n v="49"/>
    <x v="0"/>
    <x v="1"/>
    <n v="0"/>
    <s v="Research &amp; Development"/>
    <n v="1"/>
    <x v="1"/>
    <n v="3"/>
    <x v="0"/>
    <x v="4"/>
    <x v="2"/>
    <n v="6651"/>
    <x v="0"/>
    <s v="No"/>
    <n v="14"/>
    <n v="3"/>
    <n v="2"/>
    <n v="20"/>
    <n v="2"/>
    <n v="3"/>
    <n v="2"/>
  </r>
  <r>
    <n v="40"/>
    <x v="1"/>
    <x v="1"/>
    <n v="0"/>
    <s v="Research &amp; Development"/>
    <n v="3"/>
    <x v="1"/>
    <n v="3"/>
    <x v="1"/>
    <x v="1"/>
    <x v="2"/>
    <n v="2345"/>
    <x v="0"/>
    <s v="No"/>
    <n v="14"/>
    <n v="3"/>
    <n v="3"/>
    <n v="8"/>
    <n v="4"/>
    <n v="3"/>
    <n v="1"/>
  </r>
  <r>
    <n v="44"/>
    <x v="0"/>
    <x v="1"/>
    <n v="0"/>
    <s v="Research &amp; Development"/>
    <n v="4"/>
    <x v="1"/>
    <n v="3"/>
    <x v="1"/>
    <x v="1"/>
    <x v="1"/>
    <n v="3420"/>
    <x v="0"/>
    <s v="No"/>
    <n v="13"/>
    <n v="3"/>
    <n v="3"/>
    <n v="6"/>
    <n v="2"/>
    <n v="5"/>
    <n v="2"/>
  </r>
  <r>
    <n v="33"/>
    <x v="1"/>
    <x v="1"/>
    <n v="0"/>
    <s v="Sales"/>
    <n v="4"/>
    <x v="1"/>
    <n v="3"/>
    <x v="0"/>
    <x v="0"/>
    <x v="3"/>
    <n v="4373"/>
    <x v="0"/>
    <s v="No"/>
    <n v="14"/>
    <n v="3"/>
    <n v="1"/>
    <n v="5"/>
    <n v="3"/>
    <n v="4"/>
    <n v="3"/>
  </r>
  <r>
    <n v="34"/>
    <x v="1"/>
    <x v="1"/>
    <n v="0"/>
    <s v="Sales"/>
    <n v="4"/>
    <x v="1"/>
    <n v="1"/>
    <x v="0"/>
    <x v="0"/>
    <x v="3"/>
    <n v="4759"/>
    <x v="0"/>
    <s v="No"/>
    <n v="18"/>
    <n v="3"/>
    <n v="4"/>
    <n v="15"/>
    <n v="3"/>
    <n v="13"/>
    <n v="9"/>
  </r>
  <r>
    <n v="30"/>
    <x v="2"/>
    <x v="1"/>
    <n v="0"/>
    <s v="Sales"/>
    <n v="4"/>
    <x v="1"/>
    <n v="3"/>
    <x v="0"/>
    <x v="0"/>
    <x v="2"/>
    <n v="5301"/>
    <x v="0"/>
    <s v="No"/>
    <n v="15"/>
    <n v="3"/>
    <n v="3"/>
    <n v="4"/>
    <n v="2"/>
    <n v="2"/>
    <n v="1"/>
  </r>
  <r>
    <n v="42"/>
    <x v="0"/>
    <x v="1"/>
    <n v="0"/>
    <s v="Research &amp; Development"/>
    <n v="1"/>
    <x v="0"/>
    <n v="3"/>
    <x v="1"/>
    <x v="2"/>
    <x v="0"/>
    <n v="3673"/>
    <x v="0"/>
    <s v="No"/>
    <n v="13"/>
    <n v="3"/>
    <n v="3"/>
    <n v="12"/>
    <n v="3"/>
    <n v="12"/>
    <n v="9"/>
  </r>
  <r>
    <n v="44"/>
    <x v="0"/>
    <x v="1"/>
    <n v="0"/>
    <s v="Sales"/>
    <n v="1"/>
    <x v="0"/>
    <n v="3"/>
    <x v="0"/>
    <x v="0"/>
    <x v="2"/>
    <n v="4768"/>
    <x v="0"/>
    <s v="No"/>
    <n v="12"/>
    <n v="3"/>
    <n v="3"/>
    <n v="11"/>
    <n v="2"/>
    <n v="1"/>
    <n v="0"/>
  </r>
  <r>
    <n v="30"/>
    <x v="2"/>
    <x v="1"/>
    <n v="0"/>
    <s v="Research &amp; Development"/>
    <n v="3"/>
    <x v="1"/>
    <n v="3"/>
    <x v="1"/>
    <x v="1"/>
    <x v="2"/>
    <n v="1274"/>
    <x v="0"/>
    <s v="No"/>
    <n v="13"/>
    <n v="3"/>
    <n v="2"/>
    <n v="1"/>
    <n v="2"/>
    <n v="1"/>
    <n v="0"/>
  </r>
  <r>
    <n v="57"/>
    <x v="0"/>
    <x v="1"/>
    <n v="0"/>
    <s v="Research &amp; Development"/>
    <n v="2"/>
    <x v="1"/>
    <n v="4"/>
    <x v="0"/>
    <x v="1"/>
    <x v="2"/>
    <n v="4900"/>
    <x v="0"/>
    <s v="No"/>
    <n v="24"/>
    <n v="4"/>
    <n v="1"/>
    <n v="13"/>
    <n v="2"/>
    <n v="12"/>
    <n v="9"/>
  </r>
  <r>
    <n v="49"/>
    <x v="0"/>
    <x v="1"/>
    <n v="0"/>
    <s v="Research &amp; Development"/>
    <n v="3"/>
    <x v="1"/>
    <n v="3"/>
    <x v="2"/>
    <x v="4"/>
    <x v="1"/>
    <n v="10466"/>
    <x v="1"/>
    <s v="No"/>
    <n v="14"/>
    <n v="3"/>
    <n v="2"/>
    <n v="29"/>
    <n v="3"/>
    <n v="8"/>
    <n v="7"/>
  </r>
  <r>
    <n v="34"/>
    <x v="1"/>
    <x v="1"/>
    <n v="0"/>
    <s v="Research &amp; Development"/>
    <n v="2"/>
    <x v="1"/>
    <n v="3"/>
    <x v="3"/>
    <x v="7"/>
    <x v="3"/>
    <n v="17007"/>
    <x v="2"/>
    <s v="No"/>
    <n v="14"/>
    <n v="3"/>
    <n v="4"/>
    <n v="16"/>
    <n v="2"/>
    <n v="14"/>
    <n v="8"/>
  </r>
  <r>
    <n v="28"/>
    <x v="2"/>
    <x v="0"/>
    <n v="1"/>
    <s v="Sales"/>
    <n v="1"/>
    <x v="1"/>
    <n v="3"/>
    <x v="1"/>
    <x v="6"/>
    <x v="2"/>
    <n v="2909"/>
    <x v="0"/>
    <s v="No"/>
    <n v="15"/>
    <n v="3"/>
    <n v="4"/>
    <n v="5"/>
    <n v="4"/>
    <n v="3"/>
    <n v="2"/>
  </r>
  <r>
    <n v="29"/>
    <x v="2"/>
    <x v="0"/>
    <n v="1"/>
    <s v="Sales"/>
    <n v="1"/>
    <x v="0"/>
    <n v="3"/>
    <x v="0"/>
    <x v="0"/>
    <x v="1"/>
    <n v="5765"/>
    <x v="0"/>
    <s v="No"/>
    <n v="11"/>
    <n v="3"/>
    <n v="1"/>
    <n v="7"/>
    <n v="1"/>
    <n v="5"/>
    <n v="3"/>
  </r>
  <r>
    <n v="34"/>
    <x v="1"/>
    <x v="0"/>
    <n v="1"/>
    <s v="Sales"/>
    <n v="1"/>
    <x v="0"/>
    <n v="2"/>
    <x v="0"/>
    <x v="0"/>
    <x v="1"/>
    <n v="4599"/>
    <x v="0"/>
    <s v="Yes"/>
    <n v="23"/>
    <n v="4"/>
    <n v="3"/>
    <n v="16"/>
    <n v="4"/>
    <n v="15"/>
    <n v="9"/>
  </r>
  <r>
    <n v="35"/>
    <x v="1"/>
    <x v="1"/>
    <n v="0"/>
    <s v="Sales"/>
    <n v="4"/>
    <x v="1"/>
    <n v="3"/>
    <x v="1"/>
    <x v="6"/>
    <x v="2"/>
    <n v="2404"/>
    <x v="0"/>
    <s v="No"/>
    <n v="13"/>
    <n v="3"/>
    <n v="1"/>
    <n v="1"/>
    <n v="3"/>
    <n v="1"/>
    <n v="0"/>
  </r>
  <r>
    <n v="24"/>
    <x v="2"/>
    <x v="0"/>
    <n v="1"/>
    <s v="Research &amp; Development"/>
    <n v="2"/>
    <x v="1"/>
    <n v="3"/>
    <x v="1"/>
    <x v="2"/>
    <x v="3"/>
    <n v="3172"/>
    <x v="0"/>
    <s v="Yes"/>
    <n v="11"/>
    <n v="3"/>
    <n v="3"/>
    <n v="4"/>
    <n v="2"/>
    <n v="0"/>
    <n v="0"/>
  </r>
  <r>
    <n v="24"/>
    <x v="2"/>
    <x v="1"/>
    <n v="0"/>
    <s v="Sales"/>
    <n v="4"/>
    <x v="0"/>
    <n v="3"/>
    <x v="1"/>
    <x v="6"/>
    <x v="1"/>
    <n v="2033"/>
    <x v="0"/>
    <s v="No"/>
    <n v="13"/>
    <n v="3"/>
    <n v="3"/>
    <n v="1"/>
    <n v="3"/>
    <n v="1"/>
    <n v="0"/>
  </r>
  <r>
    <n v="44"/>
    <x v="0"/>
    <x v="1"/>
    <n v="0"/>
    <s v="Research &amp; Development"/>
    <n v="2"/>
    <x v="1"/>
    <n v="3"/>
    <x v="2"/>
    <x v="3"/>
    <x v="2"/>
    <n v="10209"/>
    <x v="1"/>
    <s v="Yes"/>
    <n v="18"/>
    <n v="3"/>
    <n v="2"/>
    <n v="16"/>
    <n v="2"/>
    <n v="2"/>
    <n v="2"/>
  </r>
  <r>
    <n v="29"/>
    <x v="2"/>
    <x v="1"/>
    <n v="0"/>
    <s v="Sales"/>
    <n v="3"/>
    <x v="1"/>
    <n v="2"/>
    <x v="0"/>
    <x v="0"/>
    <x v="2"/>
    <n v="8620"/>
    <x v="1"/>
    <s v="No"/>
    <n v="14"/>
    <n v="3"/>
    <n v="3"/>
    <n v="10"/>
    <n v="3"/>
    <n v="10"/>
    <n v="7"/>
  </r>
  <r>
    <n v="30"/>
    <x v="2"/>
    <x v="1"/>
    <n v="0"/>
    <s v="Human Resources"/>
    <n v="3"/>
    <x v="1"/>
    <n v="3"/>
    <x v="1"/>
    <x v="8"/>
    <x v="2"/>
    <n v="2064"/>
    <x v="0"/>
    <s v="No"/>
    <n v="21"/>
    <n v="4"/>
    <n v="1"/>
    <n v="6"/>
    <n v="4"/>
    <n v="5"/>
    <n v="3"/>
  </r>
  <r>
    <n v="55"/>
    <x v="0"/>
    <x v="1"/>
    <n v="0"/>
    <s v="Research &amp; Development"/>
    <n v="4"/>
    <x v="1"/>
    <n v="3"/>
    <x v="0"/>
    <x v="4"/>
    <x v="2"/>
    <n v="4035"/>
    <x v="0"/>
    <s v="Yes"/>
    <n v="16"/>
    <n v="3"/>
    <n v="2"/>
    <n v="4"/>
    <n v="3"/>
    <n v="3"/>
    <n v="2"/>
  </r>
  <r>
    <n v="33"/>
    <x v="1"/>
    <x v="1"/>
    <n v="0"/>
    <s v="Research &amp; Development"/>
    <n v="1"/>
    <x v="0"/>
    <n v="2"/>
    <x v="1"/>
    <x v="2"/>
    <x v="1"/>
    <n v="3838"/>
    <x v="0"/>
    <s v="No"/>
    <n v="11"/>
    <n v="3"/>
    <n v="4"/>
    <n v="8"/>
    <n v="3"/>
    <n v="5"/>
    <n v="4"/>
  </r>
  <r>
    <n v="47"/>
    <x v="0"/>
    <x v="1"/>
    <n v="0"/>
    <s v="Sales"/>
    <n v="3"/>
    <x v="0"/>
    <n v="3"/>
    <x v="0"/>
    <x v="0"/>
    <x v="2"/>
    <n v="4591"/>
    <x v="0"/>
    <s v="Yes"/>
    <n v="17"/>
    <n v="3"/>
    <n v="3"/>
    <n v="11"/>
    <n v="2"/>
    <n v="5"/>
    <n v="4"/>
  </r>
  <r>
    <n v="28"/>
    <x v="2"/>
    <x v="0"/>
    <n v="1"/>
    <s v="Research &amp; Development"/>
    <n v="3"/>
    <x v="1"/>
    <n v="2"/>
    <x v="1"/>
    <x v="2"/>
    <x v="3"/>
    <n v="2561"/>
    <x v="0"/>
    <s v="No"/>
    <n v="11"/>
    <n v="3"/>
    <n v="3"/>
    <n v="8"/>
    <n v="2"/>
    <n v="0"/>
    <n v="0"/>
  </r>
  <r>
    <n v="28"/>
    <x v="2"/>
    <x v="1"/>
    <n v="0"/>
    <s v="Research &amp; Development"/>
    <n v="1"/>
    <x v="1"/>
    <n v="2"/>
    <x v="1"/>
    <x v="1"/>
    <x v="2"/>
    <n v="1563"/>
    <x v="0"/>
    <s v="No"/>
    <n v="14"/>
    <n v="3"/>
    <n v="4"/>
    <n v="1"/>
    <n v="1"/>
    <n v="1"/>
    <n v="0"/>
  </r>
  <r>
    <n v="28"/>
    <x v="2"/>
    <x v="1"/>
    <n v="0"/>
    <s v="Sales"/>
    <n v="3"/>
    <x v="1"/>
    <n v="3"/>
    <x v="0"/>
    <x v="0"/>
    <x v="3"/>
    <n v="4898"/>
    <x v="0"/>
    <s v="No"/>
    <n v="14"/>
    <n v="3"/>
    <n v="4"/>
    <n v="5"/>
    <n v="3"/>
    <n v="4"/>
    <n v="2"/>
  </r>
  <r>
    <n v="49"/>
    <x v="0"/>
    <x v="1"/>
    <n v="0"/>
    <s v="Research &amp; Development"/>
    <n v="3"/>
    <x v="0"/>
    <n v="2"/>
    <x v="0"/>
    <x v="2"/>
    <x v="3"/>
    <n v="4789"/>
    <x v="0"/>
    <s v="No"/>
    <n v="25"/>
    <n v="4"/>
    <n v="1"/>
    <n v="10"/>
    <n v="3"/>
    <n v="3"/>
    <n v="2"/>
  </r>
  <r>
    <n v="29"/>
    <x v="2"/>
    <x v="1"/>
    <n v="0"/>
    <s v="Research &amp; Development"/>
    <n v="4"/>
    <x v="0"/>
    <n v="3"/>
    <x v="1"/>
    <x v="2"/>
    <x v="1"/>
    <n v="3180"/>
    <x v="0"/>
    <s v="No"/>
    <n v="13"/>
    <n v="3"/>
    <n v="3"/>
    <n v="4"/>
    <n v="3"/>
    <n v="3"/>
    <n v="2"/>
  </r>
  <r>
    <n v="28"/>
    <x v="2"/>
    <x v="1"/>
    <n v="0"/>
    <s v="Research &amp; Development"/>
    <n v="3"/>
    <x v="1"/>
    <n v="1"/>
    <x v="0"/>
    <x v="3"/>
    <x v="1"/>
    <n v="6549"/>
    <x v="0"/>
    <s v="No"/>
    <n v="14"/>
    <n v="3"/>
    <n v="2"/>
    <n v="8"/>
    <n v="2"/>
    <n v="8"/>
    <n v="6"/>
  </r>
  <r>
    <n v="33"/>
    <x v="1"/>
    <x v="1"/>
    <n v="0"/>
    <s v="Research &amp; Development"/>
    <n v="4"/>
    <x v="1"/>
    <n v="3"/>
    <x v="0"/>
    <x v="4"/>
    <x v="2"/>
    <n v="6388"/>
    <x v="0"/>
    <s v="Yes"/>
    <n v="17"/>
    <n v="3"/>
    <n v="1"/>
    <n v="14"/>
    <n v="3"/>
    <n v="0"/>
    <n v="0"/>
  </r>
  <r>
    <n v="32"/>
    <x v="1"/>
    <x v="1"/>
    <n v="0"/>
    <s v="Research &amp; Development"/>
    <n v="3"/>
    <x v="1"/>
    <n v="3"/>
    <x v="2"/>
    <x v="5"/>
    <x v="0"/>
    <n v="11244"/>
    <x v="1"/>
    <s v="No"/>
    <n v="25"/>
    <n v="4"/>
    <n v="2"/>
    <n v="10"/>
    <n v="4"/>
    <n v="5"/>
    <n v="2"/>
  </r>
  <r>
    <n v="54"/>
    <x v="0"/>
    <x v="1"/>
    <n v="0"/>
    <s v="Research &amp; Development"/>
    <n v="2"/>
    <x v="0"/>
    <n v="3"/>
    <x v="3"/>
    <x v="5"/>
    <x v="0"/>
    <n v="16032"/>
    <x v="2"/>
    <s v="No"/>
    <n v="20"/>
    <n v="4"/>
    <n v="1"/>
    <n v="26"/>
    <n v="3"/>
    <n v="14"/>
    <n v="9"/>
  </r>
  <r>
    <n v="29"/>
    <x v="2"/>
    <x v="0"/>
    <n v="1"/>
    <s v="Research &amp; Development"/>
    <n v="1"/>
    <x v="1"/>
    <n v="2"/>
    <x v="1"/>
    <x v="1"/>
    <x v="3"/>
    <n v="2362"/>
    <x v="0"/>
    <s v="No"/>
    <n v="13"/>
    <n v="3"/>
    <n v="3"/>
    <n v="11"/>
    <n v="1"/>
    <n v="9"/>
    <n v="7"/>
  </r>
  <r>
    <n v="44"/>
    <x v="0"/>
    <x v="1"/>
    <n v="0"/>
    <s v="Research &amp; Development"/>
    <n v="4"/>
    <x v="1"/>
    <n v="3"/>
    <x v="3"/>
    <x v="7"/>
    <x v="3"/>
    <n v="16328"/>
    <x v="2"/>
    <s v="No"/>
    <n v="13"/>
    <n v="3"/>
    <n v="3"/>
    <n v="24"/>
    <n v="4"/>
    <n v="20"/>
    <n v="6"/>
  </r>
  <r>
    <n v="39"/>
    <x v="1"/>
    <x v="1"/>
    <n v="0"/>
    <s v="Research &amp; Development"/>
    <n v="2"/>
    <x v="0"/>
    <n v="3"/>
    <x v="2"/>
    <x v="3"/>
    <x v="1"/>
    <n v="8376"/>
    <x v="1"/>
    <s v="No"/>
    <n v="18"/>
    <n v="3"/>
    <n v="4"/>
    <n v="9"/>
    <n v="3"/>
    <n v="2"/>
    <n v="0"/>
  </r>
  <r>
    <n v="46"/>
    <x v="0"/>
    <x v="1"/>
    <n v="0"/>
    <s v="Sales"/>
    <n v="3"/>
    <x v="0"/>
    <n v="3"/>
    <x v="3"/>
    <x v="5"/>
    <x v="1"/>
    <n v="16606"/>
    <x v="2"/>
    <s v="No"/>
    <n v="12"/>
    <n v="3"/>
    <n v="4"/>
    <n v="23"/>
    <n v="4"/>
    <n v="13"/>
    <n v="12"/>
  </r>
  <r>
    <n v="35"/>
    <x v="1"/>
    <x v="1"/>
    <n v="0"/>
    <s v="Research &amp; Development"/>
    <n v="4"/>
    <x v="0"/>
    <n v="2"/>
    <x v="2"/>
    <x v="4"/>
    <x v="1"/>
    <n v="8606"/>
    <x v="1"/>
    <s v="No"/>
    <n v="19"/>
    <n v="3"/>
    <n v="4"/>
    <n v="11"/>
    <n v="1"/>
    <n v="11"/>
    <n v="8"/>
  </r>
  <r>
    <n v="23"/>
    <x v="2"/>
    <x v="1"/>
    <n v="0"/>
    <s v="Research &amp; Development"/>
    <n v="1"/>
    <x v="1"/>
    <n v="3"/>
    <x v="0"/>
    <x v="2"/>
    <x v="2"/>
    <n v="2272"/>
    <x v="0"/>
    <s v="No"/>
    <n v="14"/>
    <n v="3"/>
    <n v="2"/>
    <n v="5"/>
    <n v="3"/>
    <n v="4"/>
    <n v="3"/>
  </r>
  <r>
    <n v="40"/>
    <x v="1"/>
    <x v="0"/>
    <n v="1"/>
    <s v="Research &amp; Development"/>
    <n v="4"/>
    <x v="1"/>
    <n v="3"/>
    <x v="1"/>
    <x v="2"/>
    <x v="3"/>
    <n v="2018"/>
    <x v="0"/>
    <s v="No"/>
    <n v="14"/>
    <n v="3"/>
    <n v="2"/>
    <n v="15"/>
    <n v="1"/>
    <n v="5"/>
    <n v="4"/>
  </r>
  <r>
    <n v="34"/>
    <x v="1"/>
    <x v="1"/>
    <n v="0"/>
    <s v="Sales"/>
    <n v="4"/>
    <x v="1"/>
    <n v="2"/>
    <x v="2"/>
    <x v="0"/>
    <x v="2"/>
    <n v="7083"/>
    <x v="1"/>
    <s v="Yes"/>
    <n v="14"/>
    <n v="3"/>
    <n v="4"/>
    <n v="10"/>
    <n v="3"/>
    <n v="10"/>
    <n v="9"/>
  </r>
  <r>
    <n v="31"/>
    <x v="1"/>
    <x v="0"/>
    <n v="1"/>
    <s v="Research &amp; Development"/>
    <n v="4"/>
    <x v="0"/>
    <n v="3"/>
    <x v="1"/>
    <x v="1"/>
    <x v="2"/>
    <n v="4084"/>
    <x v="0"/>
    <s v="No"/>
    <n v="12"/>
    <n v="3"/>
    <n v="1"/>
    <n v="7"/>
    <n v="1"/>
    <n v="7"/>
    <n v="2"/>
  </r>
  <r>
    <n v="50"/>
    <x v="0"/>
    <x v="1"/>
    <n v="0"/>
    <s v="Research &amp; Development"/>
    <n v="3"/>
    <x v="1"/>
    <n v="1"/>
    <x v="3"/>
    <x v="7"/>
    <x v="0"/>
    <n v="14411"/>
    <x v="1"/>
    <s v="Yes"/>
    <n v="13"/>
    <n v="3"/>
    <n v="4"/>
    <n v="32"/>
    <n v="3"/>
    <n v="32"/>
    <n v="6"/>
  </r>
  <r>
    <n v="34"/>
    <x v="1"/>
    <x v="1"/>
    <n v="0"/>
    <s v="Sales"/>
    <n v="2"/>
    <x v="1"/>
    <n v="3"/>
    <x v="1"/>
    <x v="6"/>
    <x v="2"/>
    <n v="2308"/>
    <x v="0"/>
    <s v="Yes"/>
    <n v="25"/>
    <n v="4"/>
    <n v="2"/>
    <n v="12"/>
    <n v="3"/>
    <n v="11"/>
    <n v="10"/>
  </r>
  <r>
    <n v="42"/>
    <x v="0"/>
    <x v="1"/>
    <n v="0"/>
    <s v="Research &amp; Development"/>
    <n v="3"/>
    <x v="1"/>
    <n v="2"/>
    <x v="1"/>
    <x v="2"/>
    <x v="1"/>
    <n v="4841"/>
    <x v="0"/>
    <s v="No"/>
    <n v="14"/>
    <n v="3"/>
    <n v="2"/>
    <n v="4"/>
    <n v="3"/>
    <n v="1"/>
    <n v="0"/>
  </r>
  <r>
    <n v="37"/>
    <x v="1"/>
    <x v="1"/>
    <n v="0"/>
    <s v="Research &amp; Development"/>
    <n v="1"/>
    <x v="1"/>
    <n v="3"/>
    <x v="0"/>
    <x v="1"/>
    <x v="0"/>
    <n v="4285"/>
    <x v="0"/>
    <s v="No"/>
    <n v="17"/>
    <n v="3"/>
    <n v="1"/>
    <n v="10"/>
    <n v="3"/>
    <n v="10"/>
    <n v="8"/>
  </r>
  <r>
    <n v="29"/>
    <x v="2"/>
    <x v="1"/>
    <n v="0"/>
    <s v="Research &amp; Development"/>
    <n v="3"/>
    <x v="0"/>
    <n v="1"/>
    <x v="0"/>
    <x v="4"/>
    <x v="3"/>
    <n v="9715"/>
    <x v="1"/>
    <s v="No"/>
    <n v="13"/>
    <n v="3"/>
    <n v="3"/>
    <n v="9"/>
    <n v="3"/>
    <n v="7"/>
    <n v="7"/>
  </r>
  <r>
    <n v="33"/>
    <x v="1"/>
    <x v="1"/>
    <n v="0"/>
    <s v="Research &amp; Development"/>
    <n v="4"/>
    <x v="1"/>
    <n v="2"/>
    <x v="0"/>
    <x v="3"/>
    <x v="1"/>
    <n v="4320"/>
    <x v="0"/>
    <s v="No"/>
    <n v="13"/>
    <n v="3"/>
    <n v="4"/>
    <n v="5"/>
    <n v="3"/>
    <n v="5"/>
    <n v="3"/>
  </r>
  <r>
    <n v="45"/>
    <x v="0"/>
    <x v="1"/>
    <n v="0"/>
    <s v="Research &amp; Development"/>
    <n v="4"/>
    <x v="1"/>
    <n v="3"/>
    <x v="1"/>
    <x v="1"/>
    <x v="0"/>
    <n v="2132"/>
    <x v="0"/>
    <s v="No"/>
    <n v="20"/>
    <n v="4"/>
    <n v="4"/>
    <n v="8"/>
    <n v="3"/>
    <n v="5"/>
    <n v="4"/>
  </r>
  <r>
    <n v="42"/>
    <x v="0"/>
    <x v="1"/>
    <n v="0"/>
    <s v="Research &amp; Development"/>
    <n v="4"/>
    <x v="1"/>
    <n v="3"/>
    <x v="2"/>
    <x v="4"/>
    <x v="0"/>
    <n v="10124"/>
    <x v="1"/>
    <s v="Yes"/>
    <n v="14"/>
    <n v="3"/>
    <n v="3"/>
    <n v="24"/>
    <n v="1"/>
    <n v="20"/>
    <n v="8"/>
  </r>
  <r>
    <n v="40"/>
    <x v="1"/>
    <x v="1"/>
    <n v="0"/>
    <s v="Sales"/>
    <n v="1"/>
    <x v="1"/>
    <n v="3"/>
    <x v="0"/>
    <x v="0"/>
    <x v="3"/>
    <n v="5473"/>
    <x v="0"/>
    <s v="No"/>
    <n v="12"/>
    <n v="3"/>
    <n v="4"/>
    <n v="9"/>
    <n v="4"/>
    <n v="8"/>
    <n v="4"/>
  </r>
  <r>
    <n v="33"/>
    <x v="1"/>
    <x v="1"/>
    <n v="0"/>
    <s v="Research &amp; Development"/>
    <n v="2"/>
    <x v="1"/>
    <n v="3"/>
    <x v="0"/>
    <x v="2"/>
    <x v="2"/>
    <n v="5207"/>
    <x v="0"/>
    <s v="Yes"/>
    <n v="12"/>
    <n v="3"/>
    <n v="2"/>
    <n v="15"/>
    <n v="3"/>
    <n v="15"/>
    <n v="14"/>
  </r>
  <r>
    <n v="40"/>
    <x v="1"/>
    <x v="1"/>
    <n v="0"/>
    <s v="Human Resources"/>
    <n v="3"/>
    <x v="1"/>
    <n v="3"/>
    <x v="3"/>
    <x v="5"/>
    <x v="0"/>
    <n v="16437"/>
    <x v="2"/>
    <s v="Yes"/>
    <n v="21"/>
    <n v="4"/>
    <n v="4"/>
    <n v="21"/>
    <n v="3"/>
    <n v="21"/>
    <n v="7"/>
  </r>
  <r>
    <n v="24"/>
    <x v="2"/>
    <x v="1"/>
    <n v="0"/>
    <s v="Research &amp; Development"/>
    <n v="3"/>
    <x v="1"/>
    <n v="2"/>
    <x v="1"/>
    <x v="2"/>
    <x v="3"/>
    <n v="2296"/>
    <x v="0"/>
    <s v="No"/>
    <n v="14"/>
    <n v="3"/>
    <n v="2"/>
    <n v="2"/>
    <n v="3"/>
    <n v="1"/>
    <n v="1"/>
  </r>
  <r>
    <n v="40"/>
    <x v="1"/>
    <x v="1"/>
    <n v="0"/>
    <s v="Research &amp; Development"/>
    <n v="4"/>
    <x v="1"/>
    <n v="3"/>
    <x v="0"/>
    <x v="4"/>
    <x v="0"/>
    <n v="4069"/>
    <x v="0"/>
    <s v="Yes"/>
    <n v="18"/>
    <n v="3"/>
    <n v="3"/>
    <n v="8"/>
    <n v="3"/>
    <n v="2"/>
    <n v="2"/>
  </r>
  <r>
    <n v="45"/>
    <x v="0"/>
    <x v="1"/>
    <n v="0"/>
    <s v="Research &amp; Development"/>
    <n v="1"/>
    <x v="1"/>
    <n v="3"/>
    <x v="2"/>
    <x v="4"/>
    <x v="1"/>
    <n v="7441"/>
    <x v="1"/>
    <s v="No"/>
    <n v="12"/>
    <n v="3"/>
    <n v="1"/>
    <n v="10"/>
    <n v="3"/>
    <n v="10"/>
    <n v="8"/>
  </r>
  <r>
    <n v="35"/>
    <x v="1"/>
    <x v="1"/>
    <n v="0"/>
    <s v="Sales"/>
    <n v="2"/>
    <x v="0"/>
    <n v="2"/>
    <x v="1"/>
    <x v="6"/>
    <x v="2"/>
    <n v="2430"/>
    <x v="0"/>
    <s v="No"/>
    <n v="23"/>
    <n v="4"/>
    <n v="1"/>
    <n v="6"/>
    <n v="3"/>
    <n v="5"/>
    <n v="3"/>
  </r>
  <r>
    <n v="32"/>
    <x v="1"/>
    <x v="1"/>
    <n v="0"/>
    <s v="Research &amp; Development"/>
    <n v="4"/>
    <x v="0"/>
    <n v="2"/>
    <x v="0"/>
    <x v="1"/>
    <x v="1"/>
    <n v="5878"/>
    <x v="0"/>
    <s v="No"/>
    <n v="12"/>
    <n v="3"/>
    <n v="1"/>
    <n v="12"/>
    <n v="3"/>
    <n v="7"/>
    <n v="1"/>
  </r>
  <r>
    <n v="36"/>
    <x v="1"/>
    <x v="1"/>
    <n v="0"/>
    <s v="Sales"/>
    <n v="3"/>
    <x v="1"/>
    <n v="3"/>
    <x v="1"/>
    <x v="6"/>
    <x v="0"/>
    <n v="2644"/>
    <x v="0"/>
    <s v="Yes"/>
    <n v="21"/>
    <n v="4"/>
    <n v="4"/>
    <n v="7"/>
    <n v="2"/>
    <n v="3"/>
    <n v="2"/>
  </r>
  <r>
    <n v="48"/>
    <x v="0"/>
    <x v="1"/>
    <n v="0"/>
    <s v="Sales"/>
    <n v="3"/>
    <x v="0"/>
    <n v="3"/>
    <x v="0"/>
    <x v="0"/>
    <x v="2"/>
    <n v="6439"/>
    <x v="0"/>
    <s v="No"/>
    <n v="14"/>
    <n v="3"/>
    <n v="3"/>
    <n v="18"/>
    <n v="3"/>
    <n v="8"/>
    <n v="7"/>
  </r>
  <r>
    <n v="29"/>
    <x v="2"/>
    <x v="1"/>
    <n v="0"/>
    <s v="Research &amp; Development"/>
    <n v="3"/>
    <x v="1"/>
    <n v="4"/>
    <x v="1"/>
    <x v="1"/>
    <x v="2"/>
    <n v="2451"/>
    <x v="0"/>
    <s v="No"/>
    <n v="18"/>
    <n v="3"/>
    <n v="1"/>
    <n v="5"/>
    <n v="2"/>
    <n v="1"/>
    <n v="0"/>
  </r>
  <r>
    <n v="33"/>
    <x v="1"/>
    <x v="1"/>
    <n v="0"/>
    <s v="Sales"/>
    <n v="1"/>
    <x v="1"/>
    <n v="3"/>
    <x v="0"/>
    <x v="0"/>
    <x v="3"/>
    <n v="6392"/>
    <x v="0"/>
    <s v="No"/>
    <n v="13"/>
    <n v="3"/>
    <n v="4"/>
    <n v="8"/>
    <n v="1"/>
    <n v="2"/>
    <n v="2"/>
  </r>
  <r>
    <n v="30"/>
    <x v="2"/>
    <x v="0"/>
    <n v="1"/>
    <s v="Sales"/>
    <n v="2"/>
    <x v="1"/>
    <n v="2"/>
    <x v="0"/>
    <x v="0"/>
    <x v="3"/>
    <n v="9714"/>
    <x v="1"/>
    <s v="No"/>
    <n v="11"/>
    <n v="3"/>
    <n v="4"/>
    <n v="10"/>
    <n v="3"/>
    <n v="10"/>
    <n v="8"/>
  </r>
  <r>
    <n v="38"/>
    <x v="1"/>
    <x v="1"/>
    <n v="0"/>
    <s v="Human Resources"/>
    <n v="3"/>
    <x v="1"/>
    <n v="3"/>
    <x v="0"/>
    <x v="8"/>
    <x v="2"/>
    <n v="6077"/>
    <x v="0"/>
    <s v="No"/>
    <n v="11"/>
    <n v="3"/>
    <n v="3"/>
    <n v="10"/>
    <n v="3"/>
    <n v="6"/>
    <n v="3"/>
  </r>
  <r>
    <n v="35"/>
    <x v="1"/>
    <x v="1"/>
    <n v="0"/>
    <s v="Research &amp; Development"/>
    <n v="4"/>
    <x v="1"/>
    <n v="2"/>
    <x v="1"/>
    <x v="2"/>
    <x v="3"/>
    <n v="2450"/>
    <x v="0"/>
    <s v="No"/>
    <n v="19"/>
    <n v="3"/>
    <n v="2"/>
    <n v="3"/>
    <n v="3"/>
    <n v="3"/>
    <n v="0"/>
  </r>
  <r>
    <n v="30"/>
    <x v="2"/>
    <x v="1"/>
    <n v="0"/>
    <s v="Sales"/>
    <n v="3"/>
    <x v="1"/>
    <n v="3"/>
    <x v="2"/>
    <x v="0"/>
    <x v="1"/>
    <n v="9250"/>
    <x v="1"/>
    <s v="No"/>
    <n v="12"/>
    <n v="3"/>
    <n v="2"/>
    <n v="9"/>
    <n v="3"/>
    <n v="4"/>
    <n v="2"/>
  </r>
  <r>
    <n v="35"/>
    <x v="1"/>
    <x v="0"/>
    <n v="1"/>
    <s v="Research &amp; Development"/>
    <n v="1"/>
    <x v="0"/>
    <n v="3"/>
    <x v="1"/>
    <x v="2"/>
    <x v="3"/>
    <n v="2074"/>
    <x v="0"/>
    <s v="Yes"/>
    <n v="12"/>
    <n v="3"/>
    <n v="4"/>
    <n v="1"/>
    <n v="3"/>
    <n v="1"/>
    <n v="0"/>
  </r>
  <r>
    <n v="53"/>
    <x v="0"/>
    <x v="0"/>
    <n v="1"/>
    <s v="Research &amp; Development"/>
    <n v="3"/>
    <x v="0"/>
    <n v="2"/>
    <x v="2"/>
    <x v="3"/>
    <x v="0"/>
    <n v="10169"/>
    <x v="1"/>
    <s v="No"/>
    <n v="16"/>
    <n v="3"/>
    <n v="2"/>
    <n v="34"/>
    <n v="3"/>
    <n v="33"/>
    <n v="7"/>
  </r>
  <r>
    <n v="38"/>
    <x v="1"/>
    <x v="0"/>
    <n v="1"/>
    <s v="Research &amp; Development"/>
    <n v="3"/>
    <x v="1"/>
    <n v="3"/>
    <x v="0"/>
    <x v="3"/>
    <x v="1"/>
    <n v="4855"/>
    <x v="0"/>
    <s v="No"/>
    <n v="11"/>
    <n v="3"/>
    <n v="1"/>
    <n v="7"/>
    <n v="3"/>
    <n v="5"/>
    <n v="2"/>
  </r>
  <r>
    <n v="32"/>
    <x v="1"/>
    <x v="1"/>
    <n v="0"/>
    <s v="Research &amp; Development"/>
    <n v="4"/>
    <x v="1"/>
    <n v="3"/>
    <x v="0"/>
    <x v="1"/>
    <x v="3"/>
    <n v="4087"/>
    <x v="0"/>
    <s v="No"/>
    <n v="14"/>
    <n v="3"/>
    <n v="2"/>
    <n v="9"/>
    <n v="2"/>
    <n v="6"/>
    <n v="5"/>
  </r>
  <r>
    <n v="48"/>
    <x v="0"/>
    <x v="1"/>
    <n v="0"/>
    <s v="Research &amp; Development"/>
    <n v="3"/>
    <x v="0"/>
    <n v="3"/>
    <x v="1"/>
    <x v="1"/>
    <x v="3"/>
    <n v="2367"/>
    <x v="0"/>
    <s v="No"/>
    <n v="12"/>
    <n v="3"/>
    <n v="4"/>
    <n v="10"/>
    <n v="2"/>
    <n v="8"/>
    <n v="2"/>
  </r>
  <r>
    <n v="34"/>
    <x v="1"/>
    <x v="1"/>
    <n v="0"/>
    <s v="Research &amp; Development"/>
    <n v="1"/>
    <x v="1"/>
    <n v="3"/>
    <x v="1"/>
    <x v="1"/>
    <x v="0"/>
    <n v="2972"/>
    <x v="0"/>
    <s v="No"/>
    <n v="13"/>
    <n v="3"/>
    <n v="3"/>
    <n v="1"/>
    <n v="1"/>
    <n v="1"/>
    <n v="0"/>
  </r>
  <r>
    <n v="55"/>
    <x v="0"/>
    <x v="1"/>
    <n v="0"/>
    <s v="Sales"/>
    <n v="3"/>
    <x v="1"/>
    <n v="2"/>
    <x v="4"/>
    <x v="5"/>
    <x v="0"/>
    <n v="19586"/>
    <x v="2"/>
    <s v="No"/>
    <n v="21"/>
    <n v="4"/>
    <n v="3"/>
    <n v="36"/>
    <n v="3"/>
    <n v="36"/>
    <n v="6"/>
  </r>
  <r>
    <n v="34"/>
    <x v="1"/>
    <x v="1"/>
    <n v="0"/>
    <s v="Research &amp; Development"/>
    <n v="2"/>
    <x v="1"/>
    <n v="3"/>
    <x v="0"/>
    <x v="1"/>
    <x v="0"/>
    <n v="5484"/>
    <x v="0"/>
    <s v="No"/>
    <n v="17"/>
    <n v="3"/>
    <n v="2"/>
    <n v="9"/>
    <n v="2"/>
    <n v="2"/>
    <n v="2"/>
  </r>
  <r>
    <n v="26"/>
    <x v="2"/>
    <x v="1"/>
    <n v="0"/>
    <s v="Research &amp; Development"/>
    <n v="1"/>
    <x v="0"/>
    <n v="3"/>
    <x v="1"/>
    <x v="1"/>
    <x v="0"/>
    <n v="2061"/>
    <x v="0"/>
    <s v="No"/>
    <n v="21"/>
    <n v="4"/>
    <n v="1"/>
    <n v="1"/>
    <n v="3"/>
    <n v="1"/>
    <n v="0"/>
  </r>
  <r>
    <n v="38"/>
    <x v="1"/>
    <x v="1"/>
    <n v="0"/>
    <s v="Sales"/>
    <n v="3"/>
    <x v="1"/>
    <n v="3"/>
    <x v="0"/>
    <x v="0"/>
    <x v="1"/>
    <n v="9924"/>
    <x v="1"/>
    <s v="No"/>
    <n v="11"/>
    <n v="3"/>
    <n v="4"/>
    <n v="10"/>
    <n v="3"/>
    <n v="9"/>
    <n v="8"/>
  </r>
  <r>
    <n v="38"/>
    <x v="1"/>
    <x v="1"/>
    <n v="0"/>
    <s v="Sales"/>
    <n v="2"/>
    <x v="0"/>
    <n v="3"/>
    <x v="0"/>
    <x v="0"/>
    <x v="1"/>
    <n v="4198"/>
    <x v="0"/>
    <s v="No"/>
    <n v="12"/>
    <n v="3"/>
    <n v="2"/>
    <n v="8"/>
    <n v="4"/>
    <n v="3"/>
    <n v="2"/>
  </r>
  <r>
    <n v="36"/>
    <x v="1"/>
    <x v="1"/>
    <n v="0"/>
    <s v="Sales"/>
    <n v="2"/>
    <x v="0"/>
    <n v="3"/>
    <x v="0"/>
    <x v="0"/>
    <x v="2"/>
    <n v="6815"/>
    <x v="0"/>
    <s v="No"/>
    <n v="13"/>
    <n v="3"/>
    <n v="1"/>
    <n v="15"/>
    <n v="3"/>
    <n v="1"/>
    <n v="0"/>
  </r>
  <r>
    <n v="29"/>
    <x v="2"/>
    <x v="1"/>
    <n v="0"/>
    <s v="Research &amp; Development"/>
    <n v="2"/>
    <x v="1"/>
    <n v="3"/>
    <x v="1"/>
    <x v="2"/>
    <x v="3"/>
    <n v="4723"/>
    <x v="0"/>
    <s v="Yes"/>
    <n v="18"/>
    <n v="3"/>
    <n v="4"/>
    <n v="10"/>
    <n v="3"/>
    <n v="10"/>
    <n v="9"/>
  </r>
  <r>
    <n v="35"/>
    <x v="1"/>
    <x v="1"/>
    <n v="0"/>
    <s v="Research &amp; Development"/>
    <n v="1"/>
    <x v="0"/>
    <n v="3"/>
    <x v="0"/>
    <x v="4"/>
    <x v="2"/>
    <n v="6142"/>
    <x v="0"/>
    <s v="Yes"/>
    <n v="16"/>
    <n v="3"/>
    <n v="3"/>
    <n v="10"/>
    <n v="3"/>
    <n v="5"/>
    <n v="2"/>
  </r>
  <r>
    <n v="39"/>
    <x v="1"/>
    <x v="1"/>
    <n v="0"/>
    <s v="Sales"/>
    <n v="4"/>
    <x v="1"/>
    <n v="4"/>
    <x v="2"/>
    <x v="0"/>
    <x v="2"/>
    <n v="8237"/>
    <x v="1"/>
    <s v="No"/>
    <n v="11"/>
    <n v="3"/>
    <n v="1"/>
    <n v="11"/>
    <n v="3"/>
    <n v="7"/>
    <n v="6"/>
  </r>
  <r>
    <n v="29"/>
    <x v="2"/>
    <x v="1"/>
    <n v="0"/>
    <s v="Research &amp; Development"/>
    <n v="1"/>
    <x v="1"/>
    <n v="3"/>
    <x v="0"/>
    <x v="4"/>
    <x v="0"/>
    <n v="8853"/>
    <x v="1"/>
    <s v="No"/>
    <n v="19"/>
    <n v="3"/>
    <n v="4"/>
    <n v="6"/>
    <n v="4"/>
    <n v="6"/>
    <n v="4"/>
  </r>
  <r>
    <n v="50"/>
    <x v="0"/>
    <x v="1"/>
    <n v="0"/>
    <s v="Sales"/>
    <n v="3"/>
    <x v="1"/>
    <n v="3"/>
    <x v="4"/>
    <x v="5"/>
    <x v="2"/>
    <n v="19331"/>
    <x v="2"/>
    <s v="Yes"/>
    <n v="16"/>
    <n v="3"/>
    <n v="3"/>
    <n v="27"/>
    <n v="3"/>
    <n v="1"/>
    <n v="0"/>
  </r>
  <r>
    <n v="23"/>
    <x v="2"/>
    <x v="1"/>
    <n v="0"/>
    <s v="Research &amp; Development"/>
    <n v="4"/>
    <x v="1"/>
    <n v="4"/>
    <x v="1"/>
    <x v="1"/>
    <x v="2"/>
    <n v="2073"/>
    <x v="0"/>
    <s v="No"/>
    <n v="16"/>
    <n v="3"/>
    <n v="4"/>
    <n v="4"/>
    <n v="3"/>
    <n v="2"/>
    <n v="2"/>
  </r>
  <r>
    <n v="36"/>
    <x v="1"/>
    <x v="1"/>
    <n v="0"/>
    <s v="Research &amp; Development"/>
    <n v="1"/>
    <x v="1"/>
    <n v="4"/>
    <x v="0"/>
    <x v="2"/>
    <x v="3"/>
    <n v="5562"/>
    <x v="0"/>
    <s v="Yes"/>
    <n v="13"/>
    <n v="3"/>
    <n v="4"/>
    <n v="9"/>
    <n v="3"/>
    <n v="3"/>
    <n v="2"/>
  </r>
  <r>
    <n v="42"/>
    <x v="0"/>
    <x v="1"/>
    <n v="0"/>
    <s v="Research &amp; Development"/>
    <n v="4"/>
    <x v="1"/>
    <n v="2"/>
    <x v="4"/>
    <x v="5"/>
    <x v="0"/>
    <n v="19613"/>
    <x v="2"/>
    <s v="No"/>
    <n v="22"/>
    <n v="4"/>
    <n v="4"/>
    <n v="24"/>
    <n v="3"/>
    <n v="1"/>
    <n v="0"/>
  </r>
  <r>
    <n v="35"/>
    <x v="1"/>
    <x v="1"/>
    <n v="0"/>
    <s v="Research &amp; Development"/>
    <n v="2"/>
    <x v="1"/>
    <n v="4"/>
    <x v="0"/>
    <x v="2"/>
    <x v="2"/>
    <n v="3407"/>
    <x v="0"/>
    <s v="No"/>
    <n v="17"/>
    <n v="3"/>
    <n v="4"/>
    <n v="10"/>
    <n v="2"/>
    <n v="10"/>
    <n v="9"/>
  </r>
  <r>
    <n v="34"/>
    <x v="1"/>
    <x v="1"/>
    <n v="0"/>
    <s v="Research &amp; Development"/>
    <n v="4"/>
    <x v="1"/>
    <n v="2"/>
    <x v="0"/>
    <x v="4"/>
    <x v="2"/>
    <n v="5063"/>
    <x v="0"/>
    <s v="No"/>
    <n v="14"/>
    <n v="3"/>
    <n v="2"/>
    <n v="8"/>
    <n v="2"/>
    <n v="8"/>
    <n v="2"/>
  </r>
  <r>
    <n v="40"/>
    <x v="1"/>
    <x v="1"/>
    <n v="0"/>
    <s v="Sales"/>
    <n v="4"/>
    <x v="0"/>
    <n v="3"/>
    <x v="0"/>
    <x v="0"/>
    <x v="3"/>
    <n v="4639"/>
    <x v="0"/>
    <s v="No"/>
    <n v="15"/>
    <n v="3"/>
    <n v="3"/>
    <n v="5"/>
    <n v="3"/>
    <n v="5"/>
    <n v="4"/>
  </r>
  <r>
    <n v="43"/>
    <x v="0"/>
    <x v="1"/>
    <n v="0"/>
    <s v="Research &amp; Development"/>
    <n v="4"/>
    <x v="1"/>
    <n v="4"/>
    <x v="1"/>
    <x v="2"/>
    <x v="1"/>
    <n v="4876"/>
    <x v="0"/>
    <s v="No"/>
    <n v="12"/>
    <n v="3"/>
    <n v="3"/>
    <n v="8"/>
    <n v="3"/>
    <n v="6"/>
    <n v="4"/>
  </r>
  <r>
    <n v="35"/>
    <x v="1"/>
    <x v="1"/>
    <n v="0"/>
    <s v="Research &amp; Development"/>
    <n v="3"/>
    <x v="1"/>
    <n v="2"/>
    <x v="1"/>
    <x v="2"/>
    <x v="0"/>
    <n v="2690"/>
    <x v="0"/>
    <s v="No"/>
    <n v="18"/>
    <n v="3"/>
    <n v="4"/>
    <n v="1"/>
    <n v="2"/>
    <n v="1"/>
    <n v="0"/>
  </r>
  <r>
    <n v="46"/>
    <x v="0"/>
    <x v="1"/>
    <n v="0"/>
    <s v="Sales"/>
    <n v="4"/>
    <x v="1"/>
    <n v="4"/>
    <x v="3"/>
    <x v="5"/>
    <x v="3"/>
    <n v="17567"/>
    <x v="2"/>
    <s v="No"/>
    <n v="15"/>
    <n v="3"/>
    <n v="2"/>
    <n v="27"/>
    <n v="1"/>
    <n v="26"/>
    <n v="0"/>
  </r>
  <r>
    <n v="28"/>
    <x v="2"/>
    <x v="0"/>
    <n v="1"/>
    <s v="Research &amp; Development"/>
    <n v="3"/>
    <x v="1"/>
    <n v="3"/>
    <x v="1"/>
    <x v="2"/>
    <x v="1"/>
    <n v="2408"/>
    <x v="0"/>
    <s v="Yes"/>
    <n v="17"/>
    <n v="3"/>
    <n v="3"/>
    <n v="1"/>
    <n v="3"/>
    <n v="1"/>
    <n v="1"/>
  </r>
  <r>
    <n v="22"/>
    <x v="2"/>
    <x v="1"/>
    <n v="0"/>
    <s v="Research &amp; Development"/>
    <n v="2"/>
    <x v="0"/>
    <n v="2"/>
    <x v="1"/>
    <x v="1"/>
    <x v="2"/>
    <n v="2814"/>
    <x v="0"/>
    <s v="Yes"/>
    <n v="14"/>
    <n v="3"/>
    <n v="2"/>
    <n v="4"/>
    <n v="2"/>
    <n v="4"/>
    <n v="2"/>
  </r>
  <r>
    <n v="50"/>
    <x v="0"/>
    <x v="1"/>
    <n v="0"/>
    <s v="Research &amp; Development"/>
    <n v="2"/>
    <x v="1"/>
    <n v="3"/>
    <x v="3"/>
    <x v="4"/>
    <x v="2"/>
    <n v="11245"/>
    <x v="1"/>
    <s v="Yes"/>
    <n v="15"/>
    <n v="3"/>
    <n v="3"/>
    <n v="32"/>
    <n v="3"/>
    <n v="30"/>
    <n v="8"/>
  </r>
  <r>
    <n v="32"/>
    <x v="1"/>
    <x v="1"/>
    <n v="0"/>
    <s v="Research &amp; Development"/>
    <n v="2"/>
    <x v="0"/>
    <n v="4"/>
    <x v="1"/>
    <x v="1"/>
    <x v="0"/>
    <n v="3312"/>
    <x v="0"/>
    <s v="No"/>
    <n v="17"/>
    <n v="3"/>
    <n v="4"/>
    <n v="6"/>
    <n v="3"/>
    <n v="3"/>
    <n v="2"/>
  </r>
  <r>
    <n v="44"/>
    <x v="0"/>
    <x v="1"/>
    <n v="0"/>
    <s v="Research &amp; Development"/>
    <n v="2"/>
    <x v="0"/>
    <n v="3"/>
    <x v="4"/>
    <x v="7"/>
    <x v="0"/>
    <n v="19049"/>
    <x v="2"/>
    <s v="Yes"/>
    <n v="14"/>
    <n v="3"/>
    <n v="4"/>
    <n v="23"/>
    <n v="2"/>
    <n v="22"/>
    <n v="7"/>
  </r>
  <r>
    <n v="30"/>
    <x v="2"/>
    <x v="1"/>
    <n v="0"/>
    <s v="Research &amp; Development"/>
    <n v="2"/>
    <x v="1"/>
    <n v="2"/>
    <x v="1"/>
    <x v="1"/>
    <x v="1"/>
    <n v="2141"/>
    <x v="0"/>
    <s v="No"/>
    <n v="12"/>
    <n v="3"/>
    <n v="2"/>
    <n v="6"/>
    <n v="2"/>
    <n v="6"/>
    <n v="4"/>
  </r>
  <r>
    <n v="45"/>
    <x v="0"/>
    <x v="1"/>
    <n v="0"/>
    <s v="Research &amp; Development"/>
    <n v="3"/>
    <x v="0"/>
    <n v="1"/>
    <x v="0"/>
    <x v="2"/>
    <x v="3"/>
    <n v="5769"/>
    <x v="0"/>
    <s v="Yes"/>
    <n v="14"/>
    <n v="3"/>
    <n v="1"/>
    <n v="10"/>
    <n v="3"/>
    <n v="10"/>
    <n v="7"/>
  </r>
  <r>
    <n v="45"/>
    <x v="0"/>
    <x v="1"/>
    <n v="0"/>
    <s v="Sales"/>
    <n v="1"/>
    <x v="1"/>
    <n v="2"/>
    <x v="0"/>
    <x v="0"/>
    <x v="3"/>
    <n v="4385"/>
    <x v="0"/>
    <s v="No"/>
    <n v="15"/>
    <n v="3"/>
    <n v="1"/>
    <n v="10"/>
    <n v="3"/>
    <n v="10"/>
    <n v="7"/>
  </r>
  <r>
    <n v="31"/>
    <x v="1"/>
    <x v="1"/>
    <n v="0"/>
    <s v="Sales"/>
    <n v="4"/>
    <x v="1"/>
    <n v="3"/>
    <x v="0"/>
    <x v="0"/>
    <x v="3"/>
    <n v="5332"/>
    <x v="0"/>
    <s v="No"/>
    <n v="13"/>
    <n v="3"/>
    <n v="4"/>
    <n v="10"/>
    <n v="3"/>
    <n v="5"/>
    <n v="2"/>
  </r>
  <r>
    <n v="36"/>
    <x v="1"/>
    <x v="1"/>
    <n v="0"/>
    <s v="Research &amp; Development"/>
    <n v="3"/>
    <x v="0"/>
    <n v="3"/>
    <x v="0"/>
    <x v="3"/>
    <x v="2"/>
    <n v="4663"/>
    <x v="0"/>
    <s v="Yes"/>
    <n v="12"/>
    <n v="3"/>
    <n v="2"/>
    <n v="7"/>
    <n v="3"/>
    <n v="3"/>
    <n v="2"/>
  </r>
  <r>
    <n v="34"/>
    <x v="1"/>
    <x v="1"/>
    <n v="0"/>
    <s v="Research &amp; Development"/>
    <n v="3"/>
    <x v="1"/>
    <n v="4"/>
    <x v="0"/>
    <x v="3"/>
    <x v="0"/>
    <n v="4724"/>
    <x v="0"/>
    <s v="No"/>
    <n v="13"/>
    <n v="3"/>
    <n v="1"/>
    <n v="9"/>
    <n v="3"/>
    <n v="9"/>
    <n v="7"/>
  </r>
  <r>
    <n v="49"/>
    <x v="0"/>
    <x v="1"/>
    <n v="0"/>
    <s v="Research &amp; Development"/>
    <n v="3"/>
    <x v="0"/>
    <n v="3"/>
    <x v="1"/>
    <x v="2"/>
    <x v="3"/>
    <n v="3211"/>
    <x v="0"/>
    <s v="No"/>
    <n v="14"/>
    <n v="3"/>
    <n v="4"/>
    <n v="10"/>
    <n v="2"/>
    <n v="9"/>
    <n v="6"/>
  </r>
  <r>
    <n v="39"/>
    <x v="1"/>
    <x v="1"/>
    <n v="0"/>
    <s v="Research &amp; Development"/>
    <n v="2"/>
    <x v="1"/>
    <n v="3"/>
    <x v="0"/>
    <x v="3"/>
    <x v="3"/>
    <n v="5377"/>
    <x v="0"/>
    <s v="No"/>
    <n v="13"/>
    <n v="3"/>
    <n v="4"/>
    <n v="10"/>
    <n v="3"/>
    <n v="7"/>
    <n v="7"/>
  </r>
  <r>
    <n v="27"/>
    <x v="2"/>
    <x v="1"/>
    <n v="0"/>
    <s v="Research &amp; Development"/>
    <n v="4"/>
    <x v="1"/>
    <n v="2"/>
    <x v="1"/>
    <x v="2"/>
    <x v="3"/>
    <n v="4066"/>
    <x v="0"/>
    <s v="No"/>
    <n v="11"/>
    <n v="3"/>
    <n v="1"/>
    <n v="7"/>
    <n v="3"/>
    <n v="7"/>
    <n v="7"/>
  </r>
  <r>
    <n v="35"/>
    <x v="1"/>
    <x v="1"/>
    <n v="0"/>
    <s v="Research &amp; Development"/>
    <n v="2"/>
    <x v="1"/>
    <n v="4"/>
    <x v="0"/>
    <x v="1"/>
    <x v="3"/>
    <n v="5208"/>
    <x v="0"/>
    <s v="No"/>
    <n v="11"/>
    <n v="3"/>
    <n v="4"/>
    <n v="16"/>
    <n v="3"/>
    <n v="16"/>
    <n v="15"/>
  </r>
  <r>
    <n v="28"/>
    <x v="2"/>
    <x v="1"/>
    <n v="0"/>
    <s v="Research &amp; Development"/>
    <n v="2"/>
    <x v="0"/>
    <n v="1"/>
    <x v="0"/>
    <x v="3"/>
    <x v="3"/>
    <n v="4877"/>
    <x v="0"/>
    <s v="No"/>
    <n v="21"/>
    <n v="4"/>
    <n v="2"/>
    <n v="6"/>
    <n v="2"/>
    <n v="5"/>
    <n v="3"/>
  </r>
  <r>
    <n v="21"/>
    <x v="2"/>
    <x v="1"/>
    <n v="0"/>
    <s v="Research &amp; Development"/>
    <n v="3"/>
    <x v="1"/>
    <n v="3"/>
    <x v="1"/>
    <x v="1"/>
    <x v="0"/>
    <n v="3117"/>
    <x v="0"/>
    <s v="No"/>
    <n v="18"/>
    <n v="3"/>
    <n v="3"/>
    <n v="3"/>
    <n v="3"/>
    <n v="2"/>
    <n v="2"/>
  </r>
  <r>
    <n v="18"/>
    <x v="2"/>
    <x v="0"/>
    <n v="1"/>
    <s v="Sales"/>
    <n v="2"/>
    <x v="0"/>
    <n v="3"/>
    <x v="1"/>
    <x v="6"/>
    <x v="0"/>
    <n v="1569"/>
    <x v="0"/>
    <s v="Yes"/>
    <n v="12"/>
    <n v="3"/>
    <n v="3"/>
    <n v="0"/>
    <n v="4"/>
    <n v="0"/>
    <n v="0"/>
  </r>
  <r>
    <n v="47"/>
    <x v="0"/>
    <x v="1"/>
    <n v="0"/>
    <s v="Human Resources"/>
    <n v="4"/>
    <x v="0"/>
    <n v="3"/>
    <x v="4"/>
    <x v="5"/>
    <x v="2"/>
    <n v="19658"/>
    <x v="2"/>
    <s v="No"/>
    <n v="11"/>
    <n v="3"/>
    <n v="3"/>
    <n v="27"/>
    <n v="3"/>
    <n v="5"/>
    <n v="2"/>
  </r>
  <r>
    <n v="39"/>
    <x v="1"/>
    <x v="1"/>
    <n v="0"/>
    <s v="Research &amp; Development"/>
    <n v="3"/>
    <x v="1"/>
    <n v="2"/>
    <x v="0"/>
    <x v="2"/>
    <x v="2"/>
    <n v="3069"/>
    <x v="0"/>
    <s v="No"/>
    <n v="15"/>
    <n v="3"/>
    <n v="4"/>
    <n v="11"/>
    <n v="3"/>
    <n v="10"/>
    <n v="8"/>
  </r>
  <r>
    <n v="40"/>
    <x v="1"/>
    <x v="1"/>
    <n v="0"/>
    <s v="Research &amp; Development"/>
    <n v="1"/>
    <x v="0"/>
    <n v="2"/>
    <x v="2"/>
    <x v="3"/>
    <x v="2"/>
    <n v="10435"/>
    <x v="1"/>
    <s v="No"/>
    <n v="13"/>
    <n v="3"/>
    <n v="4"/>
    <n v="18"/>
    <n v="3"/>
    <n v="18"/>
    <n v="15"/>
  </r>
  <r>
    <n v="35"/>
    <x v="1"/>
    <x v="1"/>
    <n v="0"/>
    <s v="Research &amp; Development"/>
    <n v="3"/>
    <x v="0"/>
    <n v="3"/>
    <x v="0"/>
    <x v="4"/>
    <x v="2"/>
    <n v="4148"/>
    <x v="0"/>
    <s v="No"/>
    <n v="12"/>
    <n v="3"/>
    <n v="4"/>
    <n v="15"/>
    <n v="3"/>
    <n v="14"/>
    <n v="11"/>
  </r>
  <r>
    <n v="37"/>
    <x v="1"/>
    <x v="1"/>
    <n v="0"/>
    <s v="Research &amp; Development"/>
    <n v="3"/>
    <x v="1"/>
    <n v="3"/>
    <x v="0"/>
    <x v="3"/>
    <x v="2"/>
    <n v="5768"/>
    <x v="0"/>
    <s v="No"/>
    <n v="17"/>
    <n v="3"/>
    <n v="1"/>
    <n v="9"/>
    <n v="2"/>
    <n v="4"/>
    <n v="3"/>
  </r>
  <r>
    <n v="39"/>
    <x v="1"/>
    <x v="1"/>
    <n v="0"/>
    <s v="Research &amp; Development"/>
    <n v="1"/>
    <x v="0"/>
    <n v="3"/>
    <x v="0"/>
    <x v="3"/>
    <x v="2"/>
    <n v="5042"/>
    <x v="0"/>
    <s v="No"/>
    <n v="13"/>
    <n v="3"/>
    <n v="4"/>
    <n v="10"/>
    <n v="1"/>
    <n v="9"/>
    <n v="2"/>
  </r>
  <r>
    <n v="45"/>
    <x v="0"/>
    <x v="1"/>
    <n v="0"/>
    <s v="Research &amp; Development"/>
    <n v="4"/>
    <x v="0"/>
    <n v="2"/>
    <x v="0"/>
    <x v="3"/>
    <x v="0"/>
    <n v="5770"/>
    <x v="0"/>
    <s v="No"/>
    <n v="19"/>
    <n v="3"/>
    <n v="1"/>
    <n v="10"/>
    <n v="3"/>
    <n v="10"/>
    <n v="7"/>
  </r>
  <r>
    <n v="38"/>
    <x v="1"/>
    <x v="1"/>
    <n v="0"/>
    <s v="Research &amp; Development"/>
    <n v="4"/>
    <x v="0"/>
    <n v="2"/>
    <x v="2"/>
    <x v="3"/>
    <x v="2"/>
    <n v="7756"/>
    <x v="1"/>
    <s v="Yes"/>
    <n v="19"/>
    <n v="3"/>
    <n v="4"/>
    <n v="10"/>
    <n v="4"/>
    <n v="5"/>
    <n v="4"/>
  </r>
  <r>
    <n v="35"/>
    <x v="1"/>
    <x v="0"/>
    <n v="1"/>
    <s v="Sales"/>
    <n v="4"/>
    <x v="1"/>
    <n v="2"/>
    <x v="2"/>
    <x v="0"/>
    <x v="3"/>
    <n v="10306"/>
    <x v="1"/>
    <s v="No"/>
    <n v="17"/>
    <n v="3"/>
    <n v="3"/>
    <n v="15"/>
    <n v="3"/>
    <n v="13"/>
    <n v="12"/>
  </r>
  <r>
    <n v="37"/>
    <x v="1"/>
    <x v="1"/>
    <n v="0"/>
    <s v="Research &amp; Development"/>
    <n v="2"/>
    <x v="0"/>
    <n v="3"/>
    <x v="1"/>
    <x v="1"/>
    <x v="1"/>
    <n v="3936"/>
    <x v="0"/>
    <s v="No"/>
    <n v="11"/>
    <n v="3"/>
    <n v="1"/>
    <n v="8"/>
    <n v="1"/>
    <n v="8"/>
    <n v="4"/>
  </r>
  <r>
    <n v="40"/>
    <x v="1"/>
    <x v="1"/>
    <n v="0"/>
    <s v="Research &amp; Development"/>
    <n v="3"/>
    <x v="0"/>
    <n v="3"/>
    <x v="2"/>
    <x v="3"/>
    <x v="0"/>
    <n v="7945"/>
    <x v="1"/>
    <s v="Yes"/>
    <n v="15"/>
    <n v="3"/>
    <n v="4"/>
    <n v="18"/>
    <n v="2"/>
    <n v="4"/>
    <n v="2"/>
  </r>
  <r>
    <n v="44"/>
    <x v="0"/>
    <x v="1"/>
    <n v="0"/>
    <s v="Human Resources"/>
    <n v="1"/>
    <x v="1"/>
    <n v="3"/>
    <x v="0"/>
    <x v="8"/>
    <x v="0"/>
    <n v="5743"/>
    <x v="0"/>
    <s v="Yes"/>
    <n v="11"/>
    <n v="3"/>
    <n v="3"/>
    <n v="14"/>
    <n v="3"/>
    <n v="10"/>
    <n v="7"/>
  </r>
  <r>
    <n v="48"/>
    <x v="0"/>
    <x v="1"/>
    <n v="0"/>
    <s v="Research &amp; Development"/>
    <n v="3"/>
    <x v="1"/>
    <n v="2"/>
    <x v="3"/>
    <x v="5"/>
    <x v="0"/>
    <n v="15202"/>
    <x v="2"/>
    <s v="No"/>
    <n v="25"/>
    <n v="4"/>
    <n v="2"/>
    <n v="23"/>
    <n v="3"/>
    <n v="2"/>
    <n v="2"/>
  </r>
  <r>
    <n v="35"/>
    <x v="1"/>
    <x v="0"/>
    <n v="1"/>
    <s v="Sales"/>
    <n v="1"/>
    <x v="1"/>
    <n v="1"/>
    <x v="0"/>
    <x v="0"/>
    <x v="0"/>
    <n v="5440"/>
    <x v="0"/>
    <s v="Yes"/>
    <n v="14"/>
    <n v="3"/>
    <n v="4"/>
    <n v="7"/>
    <n v="2"/>
    <n v="2"/>
    <n v="2"/>
  </r>
  <r>
    <n v="24"/>
    <x v="2"/>
    <x v="1"/>
    <n v="0"/>
    <s v="Research &amp; Development"/>
    <n v="1"/>
    <x v="0"/>
    <n v="3"/>
    <x v="1"/>
    <x v="1"/>
    <x v="0"/>
    <n v="3760"/>
    <x v="0"/>
    <s v="Yes"/>
    <n v="13"/>
    <n v="3"/>
    <n v="3"/>
    <n v="6"/>
    <n v="3"/>
    <n v="6"/>
    <n v="3"/>
  </r>
  <r>
    <n v="27"/>
    <x v="2"/>
    <x v="1"/>
    <n v="0"/>
    <s v="Research &amp; Development"/>
    <n v="2"/>
    <x v="0"/>
    <n v="4"/>
    <x v="1"/>
    <x v="1"/>
    <x v="2"/>
    <n v="3517"/>
    <x v="0"/>
    <s v="No"/>
    <n v="17"/>
    <n v="3"/>
    <n v="1"/>
    <n v="5"/>
    <n v="3"/>
    <n v="3"/>
    <n v="2"/>
  </r>
  <r>
    <n v="27"/>
    <x v="2"/>
    <x v="1"/>
    <n v="0"/>
    <s v="Research &amp; Development"/>
    <n v="4"/>
    <x v="1"/>
    <n v="3"/>
    <x v="1"/>
    <x v="1"/>
    <x v="0"/>
    <n v="2580"/>
    <x v="0"/>
    <s v="No"/>
    <n v="13"/>
    <n v="3"/>
    <n v="3"/>
    <n v="6"/>
    <n v="2"/>
    <n v="4"/>
    <n v="2"/>
  </r>
  <r>
    <n v="40"/>
    <x v="1"/>
    <x v="0"/>
    <n v="1"/>
    <s v="Research &amp; Development"/>
    <n v="1"/>
    <x v="1"/>
    <n v="3"/>
    <x v="1"/>
    <x v="2"/>
    <x v="3"/>
    <n v="2166"/>
    <x v="0"/>
    <s v="Yes"/>
    <n v="14"/>
    <n v="3"/>
    <n v="2"/>
    <n v="10"/>
    <n v="1"/>
    <n v="4"/>
    <n v="2"/>
  </r>
  <r>
    <n v="29"/>
    <x v="2"/>
    <x v="1"/>
    <n v="0"/>
    <s v="Sales"/>
    <n v="3"/>
    <x v="1"/>
    <n v="2"/>
    <x v="0"/>
    <x v="0"/>
    <x v="2"/>
    <n v="5869"/>
    <x v="0"/>
    <s v="No"/>
    <n v="11"/>
    <n v="3"/>
    <n v="3"/>
    <n v="8"/>
    <n v="3"/>
    <n v="5"/>
    <n v="2"/>
  </r>
  <r>
    <n v="36"/>
    <x v="1"/>
    <x v="1"/>
    <n v="0"/>
    <s v="Research &amp; Development"/>
    <n v="2"/>
    <x v="0"/>
    <n v="3"/>
    <x v="2"/>
    <x v="4"/>
    <x v="3"/>
    <n v="8008"/>
    <x v="1"/>
    <s v="No"/>
    <n v="12"/>
    <n v="3"/>
    <n v="3"/>
    <n v="9"/>
    <n v="3"/>
    <n v="3"/>
    <n v="2"/>
  </r>
  <r>
    <n v="25"/>
    <x v="2"/>
    <x v="1"/>
    <n v="0"/>
    <s v="Research &amp; Development"/>
    <n v="4"/>
    <x v="1"/>
    <n v="4"/>
    <x v="0"/>
    <x v="3"/>
    <x v="2"/>
    <n v="5206"/>
    <x v="0"/>
    <s v="No"/>
    <n v="17"/>
    <n v="3"/>
    <n v="3"/>
    <n v="7"/>
    <n v="3"/>
    <n v="7"/>
    <n v="7"/>
  </r>
  <r>
    <n v="39"/>
    <x v="1"/>
    <x v="1"/>
    <n v="0"/>
    <s v="Research &amp; Development"/>
    <n v="4"/>
    <x v="1"/>
    <n v="3"/>
    <x v="0"/>
    <x v="3"/>
    <x v="1"/>
    <n v="5295"/>
    <x v="0"/>
    <s v="No"/>
    <n v="21"/>
    <n v="4"/>
    <n v="3"/>
    <n v="7"/>
    <n v="3"/>
    <n v="5"/>
    <n v="4"/>
  </r>
  <r>
    <n v="49"/>
    <x v="0"/>
    <x v="1"/>
    <n v="0"/>
    <s v="Research &amp; Development"/>
    <n v="1"/>
    <x v="0"/>
    <n v="3"/>
    <x v="3"/>
    <x v="7"/>
    <x v="1"/>
    <n v="16413"/>
    <x v="2"/>
    <s v="No"/>
    <n v="16"/>
    <n v="3"/>
    <n v="2"/>
    <n v="27"/>
    <n v="3"/>
    <n v="4"/>
    <n v="2"/>
  </r>
  <r>
    <n v="50"/>
    <x v="0"/>
    <x v="1"/>
    <n v="0"/>
    <s v="Research &amp; Development"/>
    <n v="4"/>
    <x v="0"/>
    <n v="2"/>
    <x v="2"/>
    <x v="7"/>
    <x v="3"/>
    <n v="13269"/>
    <x v="1"/>
    <s v="No"/>
    <n v="15"/>
    <n v="3"/>
    <n v="3"/>
    <n v="19"/>
    <n v="3"/>
    <n v="14"/>
    <n v="11"/>
  </r>
  <r>
    <n v="20"/>
    <x v="2"/>
    <x v="1"/>
    <n v="0"/>
    <s v="Sales"/>
    <n v="3"/>
    <x v="0"/>
    <n v="3"/>
    <x v="1"/>
    <x v="6"/>
    <x v="2"/>
    <n v="2783"/>
    <x v="0"/>
    <s v="No"/>
    <n v="19"/>
    <n v="3"/>
    <n v="1"/>
    <n v="2"/>
    <n v="3"/>
    <n v="2"/>
    <n v="2"/>
  </r>
  <r>
    <n v="34"/>
    <x v="1"/>
    <x v="1"/>
    <n v="0"/>
    <s v="Research &amp; Development"/>
    <n v="4"/>
    <x v="0"/>
    <n v="3"/>
    <x v="0"/>
    <x v="1"/>
    <x v="1"/>
    <n v="5433"/>
    <x v="0"/>
    <s v="No"/>
    <n v="12"/>
    <n v="3"/>
    <n v="3"/>
    <n v="11"/>
    <n v="3"/>
    <n v="11"/>
    <n v="8"/>
  </r>
  <r>
    <n v="36"/>
    <x v="1"/>
    <x v="1"/>
    <n v="0"/>
    <s v="Research &amp; Development"/>
    <n v="1"/>
    <x v="1"/>
    <n v="3"/>
    <x v="1"/>
    <x v="2"/>
    <x v="1"/>
    <n v="2013"/>
    <x v="0"/>
    <s v="No"/>
    <n v="11"/>
    <n v="3"/>
    <n v="3"/>
    <n v="15"/>
    <n v="3"/>
    <n v="4"/>
    <n v="3"/>
  </r>
  <r>
    <n v="49"/>
    <x v="0"/>
    <x v="1"/>
    <n v="0"/>
    <s v="Research &amp; Development"/>
    <n v="3"/>
    <x v="0"/>
    <n v="2"/>
    <x v="3"/>
    <x v="4"/>
    <x v="2"/>
    <n v="13966"/>
    <x v="1"/>
    <s v="Yes"/>
    <n v="19"/>
    <n v="3"/>
    <n v="2"/>
    <n v="30"/>
    <n v="3"/>
    <n v="15"/>
    <n v="11"/>
  </r>
  <r>
    <n v="36"/>
    <x v="1"/>
    <x v="1"/>
    <n v="0"/>
    <s v="Research &amp; Development"/>
    <n v="4"/>
    <x v="0"/>
    <n v="2"/>
    <x v="0"/>
    <x v="3"/>
    <x v="2"/>
    <n v="4374"/>
    <x v="0"/>
    <s v="No"/>
    <n v="15"/>
    <n v="3"/>
    <n v="3"/>
    <n v="4"/>
    <n v="3"/>
    <n v="3"/>
    <n v="2"/>
  </r>
  <r>
    <n v="36"/>
    <x v="1"/>
    <x v="1"/>
    <n v="0"/>
    <s v="Research &amp; Development"/>
    <n v="4"/>
    <x v="1"/>
    <n v="4"/>
    <x v="0"/>
    <x v="4"/>
    <x v="3"/>
    <n v="6842"/>
    <x v="0"/>
    <s v="No"/>
    <n v="20"/>
    <n v="4"/>
    <n v="1"/>
    <n v="13"/>
    <n v="3"/>
    <n v="5"/>
    <n v="4"/>
  </r>
  <r>
    <n v="54"/>
    <x v="0"/>
    <x v="1"/>
    <n v="0"/>
    <s v="Research &amp; Development"/>
    <n v="2"/>
    <x v="0"/>
    <n v="3"/>
    <x v="3"/>
    <x v="5"/>
    <x v="2"/>
    <n v="17426"/>
    <x v="2"/>
    <s v="No"/>
    <n v="25"/>
    <n v="4"/>
    <n v="3"/>
    <n v="36"/>
    <n v="3"/>
    <n v="10"/>
    <n v="8"/>
  </r>
  <r>
    <n v="43"/>
    <x v="0"/>
    <x v="1"/>
    <n v="0"/>
    <s v="Research &amp; Development"/>
    <n v="3"/>
    <x v="1"/>
    <n v="2"/>
    <x v="3"/>
    <x v="7"/>
    <x v="2"/>
    <n v="17603"/>
    <x v="2"/>
    <s v="No"/>
    <n v="24"/>
    <n v="4"/>
    <n v="1"/>
    <n v="14"/>
    <n v="3"/>
    <n v="14"/>
    <n v="10"/>
  </r>
  <r>
    <n v="35"/>
    <x v="1"/>
    <x v="0"/>
    <n v="1"/>
    <s v="Sales"/>
    <n v="4"/>
    <x v="1"/>
    <n v="3"/>
    <x v="0"/>
    <x v="0"/>
    <x v="0"/>
    <n v="4581"/>
    <x v="0"/>
    <s v="Yes"/>
    <n v="24"/>
    <n v="4"/>
    <n v="1"/>
    <n v="13"/>
    <n v="4"/>
    <n v="11"/>
    <n v="9"/>
  </r>
  <r>
    <n v="38"/>
    <x v="1"/>
    <x v="1"/>
    <n v="0"/>
    <s v="Research &amp; Development"/>
    <n v="4"/>
    <x v="1"/>
    <n v="3"/>
    <x v="0"/>
    <x v="1"/>
    <x v="0"/>
    <n v="4735"/>
    <x v="0"/>
    <s v="No"/>
    <n v="15"/>
    <n v="3"/>
    <n v="4"/>
    <n v="19"/>
    <n v="4"/>
    <n v="13"/>
    <n v="11"/>
  </r>
  <r>
    <n v="29"/>
    <x v="2"/>
    <x v="1"/>
    <n v="0"/>
    <s v="Sales"/>
    <n v="1"/>
    <x v="1"/>
    <n v="2"/>
    <x v="0"/>
    <x v="0"/>
    <x v="1"/>
    <n v="4187"/>
    <x v="0"/>
    <s v="Yes"/>
    <n v="13"/>
    <n v="3"/>
    <n v="2"/>
    <n v="10"/>
    <n v="2"/>
    <n v="10"/>
    <n v="0"/>
  </r>
  <r>
    <n v="33"/>
    <x v="1"/>
    <x v="1"/>
    <n v="0"/>
    <s v="Sales"/>
    <n v="4"/>
    <x v="1"/>
    <n v="3"/>
    <x v="0"/>
    <x v="0"/>
    <x v="0"/>
    <n v="5505"/>
    <x v="0"/>
    <s v="No"/>
    <n v="14"/>
    <n v="3"/>
    <n v="3"/>
    <n v="6"/>
    <n v="3"/>
    <n v="6"/>
    <n v="2"/>
  </r>
  <r>
    <n v="32"/>
    <x v="1"/>
    <x v="1"/>
    <n v="0"/>
    <s v="Research &amp; Development"/>
    <n v="4"/>
    <x v="1"/>
    <n v="3"/>
    <x v="0"/>
    <x v="1"/>
    <x v="1"/>
    <n v="5470"/>
    <x v="0"/>
    <s v="No"/>
    <n v="13"/>
    <n v="3"/>
    <n v="3"/>
    <n v="10"/>
    <n v="2"/>
    <n v="9"/>
    <n v="5"/>
  </r>
  <r>
    <n v="31"/>
    <x v="1"/>
    <x v="1"/>
    <n v="0"/>
    <s v="Sales"/>
    <n v="1"/>
    <x v="0"/>
    <n v="3"/>
    <x v="0"/>
    <x v="0"/>
    <x v="0"/>
    <n v="5476"/>
    <x v="0"/>
    <s v="No"/>
    <n v="11"/>
    <n v="3"/>
    <n v="1"/>
    <n v="10"/>
    <n v="3"/>
    <n v="10"/>
    <n v="0"/>
  </r>
  <r>
    <n v="49"/>
    <x v="0"/>
    <x v="1"/>
    <n v="0"/>
    <s v="Research &amp; Development"/>
    <n v="4"/>
    <x v="0"/>
    <n v="3"/>
    <x v="1"/>
    <x v="2"/>
    <x v="3"/>
    <n v="2587"/>
    <x v="0"/>
    <s v="Yes"/>
    <n v="16"/>
    <n v="3"/>
    <n v="2"/>
    <n v="17"/>
    <n v="2"/>
    <n v="2"/>
    <n v="2"/>
  </r>
  <r>
    <n v="38"/>
    <x v="1"/>
    <x v="1"/>
    <n v="0"/>
    <s v="Research &amp; Development"/>
    <n v="4"/>
    <x v="0"/>
    <n v="2"/>
    <x v="1"/>
    <x v="2"/>
    <x v="1"/>
    <n v="2440"/>
    <x v="0"/>
    <s v="No"/>
    <n v="22"/>
    <n v="4"/>
    <n v="2"/>
    <n v="4"/>
    <n v="3"/>
    <n v="4"/>
    <n v="3"/>
  </r>
  <r>
    <n v="47"/>
    <x v="0"/>
    <x v="1"/>
    <n v="0"/>
    <s v="Sales"/>
    <n v="2"/>
    <x v="0"/>
    <n v="4"/>
    <x v="3"/>
    <x v="5"/>
    <x v="1"/>
    <n v="15972"/>
    <x v="2"/>
    <s v="No"/>
    <n v="14"/>
    <n v="3"/>
    <n v="3"/>
    <n v="29"/>
    <n v="3"/>
    <n v="3"/>
    <n v="2"/>
  </r>
  <r>
    <n v="49"/>
    <x v="0"/>
    <x v="1"/>
    <n v="0"/>
    <s v="Research &amp; Development"/>
    <n v="3"/>
    <x v="1"/>
    <n v="3"/>
    <x v="3"/>
    <x v="5"/>
    <x v="2"/>
    <n v="15379"/>
    <x v="2"/>
    <s v="No"/>
    <n v="14"/>
    <n v="3"/>
    <n v="1"/>
    <n v="23"/>
    <n v="3"/>
    <n v="8"/>
    <n v="7"/>
  </r>
  <r>
    <n v="41"/>
    <x v="0"/>
    <x v="1"/>
    <n v="0"/>
    <s v="Sales"/>
    <n v="4"/>
    <x v="1"/>
    <n v="3"/>
    <x v="2"/>
    <x v="0"/>
    <x v="2"/>
    <n v="7082"/>
    <x v="1"/>
    <s v="Yes"/>
    <n v="16"/>
    <n v="3"/>
    <n v="4"/>
    <n v="21"/>
    <n v="3"/>
    <n v="2"/>
    <n v="0"/>
  </r>
  <r>
    <n v="20"/>
    <x v="2"/>
    <x v="1"/>
    <n v="0"/>
    <s v="Sales"/>
    <n v="4"/>
    <x v="1"/>
    <n v="3"/>
    <x v="1"/>
    <x v="6"/>
    <x v="3"/>
    <n v="2728"/>
    <x v="0"/>
    <s v="No"/>
    <n v="11"/>
    <n v="3"/>
    <n v="1"/>
    <n v="2"/>
    <n v="3"/>
    <n v="2"/>
    <n v="2"/>
  </r>
  <r>
    <n v="33"/>
    <x v="1"/>
    <x v="1"/>
    <n v="0"/>
    <s v="Sales"/>
    <n v="3"/>
    <x v="0"/>
    <n v="3"/>
    <x v="0"/>
    <x v="0"/>
    <x v="0"/>
    <n v="5368"/>
    <x v="0"/>
    <s v="Yes"/>
    <n v="25"/>
    <n v="4"/>
    <n v="3"/>
    <n v="7"/>
    <n v="3"/>
    <n v="6"/>
    <n v="5"/>
  </r>
  <r>
    <n v="36"/>
    <x v="1"/>
    <x v="1"/>
    <n v="0"/>
    <s v="Research &amp; Development"/>
    <n v="1"/>
    <x v="1"/>
    <n v="3"/>
    <x v="0"/>
    <x v="4"/>
    <x v="2"/>
    <n v="5347"/>
    <x v="0"/>
    <s v="No"/>
    <n v="14"/>
    <n v="3"/>
    <n v="2"/>
    <n v="10"/>
    <n v="2"/>
    <n v="3"/>
    <n v="2"/>
  </r>
  <r>
    <n v="44"/>
    <x v="0"/>
    <x v="1"/>
    <n v="0"/>
    <s v="Human Resources"/>
    <n v="3"/>
    <x v="0"/>
    <n v="3"/>
    <x v="1"/>
    <x v="8"/>
    <x v="0"/>
    <n v="3195"/>
    <x v="0"/>
    <s v="Yes"/>
    <n v="18"/>
    <n v="3"/>
    <n v="1"/>
    <n v="8"/>
    <n v="3"/>
    <n v="2"/>
    <n v="2"/>
  </r>
  <r>
    <n v="23"/>
    <x v="2"/>
    <x v="0"/>
    <n v="1"/>
    <s v="Research &amp; Development"/>
    <n v="4"/>
    <x v="1"/>
    <n v="2"/>
    <x v="1"/>
    <x v="2"/>
    <x v="2"/>
    <n v="3989"/>
    <x v="0"/>
    <s v="Yes"/>
    <n v="11"/>
    <n v="3"/>
    <n v="1"/>
    <n v="5"/>
    <n v="3"/>
    <n v="5"/>
    <n v="4"/>
  </r>
  <r>
    <n v="38"/>
    <x v="1"/>
    <x v="1"/>
    <n v="0"/>
    <s v="Research &amp; Development"/>
    <n v="4"/>
    <x v="0"/>
    <n v="3"/>
    <x v="1"/>
    <x v="2"/>
    <x v="2"/>
    <n v="3306"/>
    <x v="0"/>
    <s v="No"/>
    <n v="19"/>
    <n v="3"/>
    <n v="4"/>
    <n v="7"/>
    <n v="2"/>
    <n v="0"/>
    <n v="0"/>
  </r>
  <r>
    <n v="53"/>
    <x v="0"/>
    <x v="1"/>
    <n v="0"/>
    <s v="Research &amp; Development"/>
    <n v="2"/>
    <x v="1"/>
    <n v="4"/>
    <x v="2"/>
    <x v="4"/>
    <x v="0"/>
    <n v="7005"/>
    <x v="1"/>
    <s v="No"/>
    <n v="15"/>
    <n v="3"/>
    <n v="3"/>
    <n v="11"/>
    <n v="3"/>
    <n v="4"/>
    <n v="3"/>
  </r>
  <r>
    <n v="48"/>
    <x v="0"/>
    <x v="0"/>
    <n v="1"/>
    <s v="Sales"/>
    <n v="4"/>
    <x v="0"/>
    <n v="3"/>
    <x v="1"/>
    <x v="6"/>
    <x v="2"/>
    <n v="2655"/>
    <x v="0"/>
    <s v="Yes"/>
    <n v="11"/>
    <n v="3"/>
    <n v="3"/>
    <n v="19"/>
    <n v="3"/>
    <n v="9"/>
    <n v="7"/>
  </r>
  <r>
    <n v="32"/>
    <x v="1"/>
    <x v="0"/>
    <n v="1"/>
    <s v="Research &amp; Development"/>
    <n v="4"/>
    <x v="1"/>
    <n v="3"/>
    <x v="1"/>
    <x v="2"/>
    <x v="1"/>
    <n v="1393"/>
    <x v="0"/>
    <s v="No"/>
    <n v="12"/>
    <n v="3"/>
    <n v="1"/>
    <n v="1"/>
    <n v="3"/>
    <n v="1"/>
    <n v="0"/>
  </r>
  <r>
    <n v="26"/>
    <x v="2"/>
    <x v="1"/>
    <n v="0"/>
    <s v="Research &amp; Development"/>
    <n v="4"/>
    <x v="1"/>
    <n v="3"/>
    <x v="1"/>
    <x v="2"/>
    <x v="0"/>
    <n v="2570"/>
    <x v="0"/>
    <s v="No"/>
    <n v="20"/>
    <n v="4"/>
    <n v="3"/>
    <n v="7"/>
    <n v="3"/>
    <n v="7"/>
    <n v="7"/>
  </r>
  <r>
    <n v="55"/>
    <x v="0"/>
    <x v="1"/>
    <n v="0"/>
    <s v="Research &amp; Development"/>
    <n v="1"/>
    <x v="1"/>
    <n v="2"/>
    <x v="1"/>
    <x v="1"/>
    <x v="1"/>
    <n v="3537"/>
    <x v="0"/>
    <s v="No"/>
    <n v="12"/>
    <n v="3"/>
    <n v="4"/>
    <n v="8"/>
    <n v="3"/>
    <n v="4"/>
    <n v="2"/>
  </r>
  <r>
    <n v="34"/>
    <x v="1"/>
    <x v="1"/>
    <n v="0"/>
    <s v="Research &amp; Development"/>
    <n v="2"/>
    <x v="1"/>
    <n v="2"/>
    <x v="0"/>
    <x v="2"/>
    <x v="0"/>
    <n v="3986"/>
    <x v="0"/>
    <s v="No"/>
    <n v="14"/>
    <n v="3"/>
    <n v="3"/>
    <n v="15"/>
    <n v="4"/>
    <n v="15"/>
    <n v="10"/>
  </r>
  <r>
    <n v="60"/>
    <x v="0"/>
    <x v="1"/>
    <n v="0"/>
    <s v="Research &amp; Development"/>
    <n v="3"/>
    <x v="1"/>
    <n v="1"/>
    <x v="2"/>
    <x v="4"/>
    <x v="0"/>
    <n v="10883"/>
    <x v="1"/>
    <s v="No"/>
    <n v="20"/>
    <n v="4"/>
    <n v="3"/>
    <n v="19"/>
    <n v="4"/>
    <n v="1"/>
    <n v="0"/>
  </r>
  <r>
    <n v="33"/>
    <x v="1"/>
    <x v="1"/>
    <n v="0"/>
    <s v="Research &amp; Development"/>
    <n v="2"/>
    <x v="1"/>
    <n v="4"/>
    <x v="1"/>
    <x v="2"/>
    <x v="1"/>
    <n v="2028"/>
    <x v="0"/>
    <s v="No"/>
    <n v="18"/>
    <n v="3"/>
    <n v="4"/>
    <n v="14"/>
    <n v="3"/>
    <n v="14"/>
    <n v="11"/>
  </r>
  <r>
    <n v="37"/>
    <x v="1"/>
    <x v="1"/>
    <n v="0"/>
    <s v="Sales"/>
    <n v="3"/>
    <x v="1"/>
    <n v="1"/>
    <x v="0"/>
    <x v="0"/>
    <x v="0"/>
    <n v="9525"/>
    <x v="1"/>
    <s v="No"/>
    <n v="14"/>
    <n v="3"/>
    <n v="3"/>
    <n v="6"/>
    <n v="2"/>
    <n v="6"/>
    <n v="3"/>
  </r>
  <r>
    <n v="34"/>
    <x v="1"/>
    <x v="1"/>
    <n v="0"/>
    <s v="Research &amp; Development"/>
    <n v="2"/>
    <x v="0"/>
    <n v="2"/>
    <x v="1"/>
    <x v="1"/>
    <x v="0"/>
    <n v="2929"/>
    <x v="0"/>
    <s v="No"/>
    <n v="12"/>
    <n v="3"/>
    <n v="2"/>
    <n v="10"/>
    <n v="3"/>
    <n v="10"/>
    <n v="9"/>
  </r>
  <r>
    <n v="23"/>
    <x v="2"/>
    <x v="0"/>
    <n v="1"/>
    <s v="Sales"/>
    <n v="3"/>
    <x v="1"/>
    <n v="3"/>
    <x v="1"/>
    <x v="6"/>
    <x v="0"/>
    <n v="2275"/>
    <x v="0"/>
    <s v="Yes"/>
    <n v="21"/>
    <n v="4"/>
    <n v="2"/>
    <n v="3"/>
    <n v="3"/>
    <n v="3"/>
    <n v="2"/>
  </r>
  <r>
    <n v="44"/>
    <x v="0"/>
    <x v="1"/>
    <n v="0"/>
    <s v="Research &amp; Development"/>
    <n v="3"/>
    <x v="0"/>
    <n v="4"/>
    <x v="2"/>
    <x v="4"/>
    <x v="0"/>
    <n v="7879"/>
    <x v="1"/>
    <s v="Yes"/>
    <n v="19"/>
    <n v="3"/>
    <n v="2"/>
    <n v="9"/>
    <n v="3"/>
    <n v="8"/>
    <n v="7"/>
  </r>
  <r>
    <n v="35"/>
    <x v="1"/>
    <x v="1"/>
    <n v="0"/>
    <s v="Research &amp; Development"/>
    <n v="1"/>
    <x v="1"/>
    <n v="2"/>
    <x v="1"/>
    <x v="1"/>
    <x v="0"/>
    <n v="4930"/>
    <x v="0"/>
    <s v="Yes"/>
    <n v="14"/>
    <n v="3"/>
    <n v="3"/>
    <n v="6"/>
    <n v="4"/>
    <n v="5"/>
    <n v="4"/>
  </r>
  <r>
    <n v="43"/>
    <x v="0"/>
    <x v="1"/>
    <n v="0"/>
    <s v="Sales"/>
    <n v="4"/>
    <x v="1"/>
    <n v="3"/>
    <x v="0"/>
    <x v="0"/>
    <x v="0"/>
    <n v="7847"/>
    <x v="1"/>
    <s v="Yes"/>
    <n v="17"/>
    <n v="3"/>
    <n v="1"/>
    <n v="10"/>
    <n v="3"/>
    <n v="10"/>
    <n v="9"/>
  </r>
  <r>
    <n v="24"/>
    <x v="2"/>
    <x v="1"/>
    <n v="0"/>
    <s v="Research &amp; Development"/>
    <n v="3"/>
    <x v="1"/>
    <n v="4"/>
    <x v="1"/>
    <x v="1"/>
    <x v="2"/>
    <n v="4401"/>
    <x v="0"/>
    <s v="No"/>
    <n v="16"/>
    <n v="3"/>
    <n v="4"/>
    <n v="5"/>
    <n v="3"/>
    <n v="5"/>
    <n v="3"/>
  </r>
  <r>
    <n v="41"/>
    <x v="0"/>
    <x v="1"/>
    <n v="0"/>
    <s v="Sales"/>
    <n v="4"/>
    <x v="1"/>
    <n v="3"/>
    <x v="2"/>
    <x v="0"/>
    <x v="2"/>
    <n v="9241"/>
    <x v="1"/>
    <s v="No"/>
    <n v="12"/>
    <n v="3"/>
    <n v="2"/>
    <n v="10"/>
    <n v="3"/>
    <n v="10"/>
    <n v="8"/>
  </r>
  <r>
    <n v="29"/>
    <x v="2"/>
    <x v="1"/>
    <n v="0"/>
    <s v="Research &amp; Development"/>
    <n v="4"/>
    <x v="0"/>
    <n v="3"/>
    <x v="1"/>
    <x v="2"/>
    <x v="2"/>
    <n v="2974"/>
    <x v="0"/>
    <s v="No"/>
    <n v="17"/>
    <n v="3"/>
    <n v="3"/>
    <n v="9"/>
    <n v="3"/>
    <n v="5"/>
    <n v="3"/>
  </r>
  <r>
    <n v="36"/>
    <x v="1"/>
    <x v="1"/>
    <n v="0"/>
    <s v="Sales"/>
    <n v="3"/>
    <x v="0"/>
    <n v="3"/>
    <x v="0"/>
    <x v="6"/>
    <x v="0"/>
    <n v="4502"/>
    <x v="0"/>
    <s v="No"/>
    <n v="15"/>
    <n v="3"/>
    <n v="3"/>
    <n v="17"/>
    <n v="2"/>
    <n v="13"/>
    <n v="7"/>
  </r>
  <r>
    <n v="45"/>
    <x v="0"/>
    <x v="1"/>
    <n v="0"/>
    <s v="Research &amp; Development"/>
    <n v="3"/>
    <x v="1"/>
    <n v="2"/>
    <x v="2"/>
    <x v="4"/>
    <x v="2"/>
    <n v="10748"/>
    <x v="1"/>
    <s v="No"/>
    <n v="23"/>
    <n v="4"/>
    <n v="4"/>
    <n v="25"/>
    <n v="2"/>
    <n v="23"/>
    <n v="15"/>
  </r>
  <r>
    <n v="24"/>
    <x v="2"/>
    <x v="0"/>
    <n v="1"/>
    <s v="Human Resources"/>
    <n v="4"/>
    <x v="1"/>
    <n v="1"/>
    <x v="1"/>
    <x v="8"/>
    <x v="2"/>
    <n v="1555"/>
    <x v="0"/>
    <s v="No"/>
    <n v="11"/>
    <n v="3"/>
    <n v="3"/>
    <n v="1"/>
    <n v="3"/>
    <n v="1"/>
    <n v="0"/>
  </r>
  <r>
    <n v="47"/>
    <x v="0"/>
    <x v="0"/>
    <n v="1"/>
    <s v="Sales"/>
    <n v="3"/>
    <x v="1"/>
    <n v="1"/>
    <x v="3"/>
    <x v="0"/>
    <x v="2"/>
    <n v="12936"/>
    <x v="1"/>
    <s v="No"/>
    <n v="11"/>
    <n v="3"/>
    <n v="3"/>
    <n v="25"/>
    <n v="1"/>
    <n v="23"/>
    <n v="5"/>
  </r>
  <r>
    <n v="26"/>
    <x v="2"/>
    <x v="1"/>
    <n v="0"/>
    <s v="Research &amp; Development"/>
    <n v="4"/>
    <x v="1"/>
    <n v="1"/>
    <x v="1"/>
    <x v="2"/>
    <x v="2"/>
    <n v="2305"/>
    <x v="0"/>
    <s v="No"/>
    <n v="15"/>
    <n v="3"/>
    <n v="3"/>
    <n v="3"/>
    <n v="4"/>
    <n v="3"/>
    <n v="2"/>
  </r>
  <r>
    <n v="45"/>
    <x v="0"/>
    <x v="1"/>
    <n v="0"/>
    <s v="Research &amp; Development"/>
    <n v="4"/>
    <x v="0"/>
    <n v="2"/>
    <x v="3"/>
    <x v="7"/>
    <x v="1"/>
    <n v="16704"/>
    <x v="2"/>
    <s v="No"/>
    <n v="11"/>
    <n v="3"/>
    <n v="3"/>
    <n v="21"/>
    <n v="3"/>
    <n v="21"/>
    <n v="6"/>
  </r>
  <r>
    <n v="32"/>
    <x v="1"/>
    <x v="1"/>
    <n v="0"/>
    <s v="Research &amp; Development"/>
    <n v="1"/>
    <x v="1"/>
    <n v="3"/>
    <x v="1"/>
    <x v="1"/>
    <x v="2"/>
    <n v="3433"/>
    <x v="0"/>
    <s v="No"/>
    <n v="13"/>
    <n v="3"/>
    <n v="1"/>
    <n v="10"/>
    <n v="2"/>
    <n v="5"/>
    <n v="2"/>
  </r>
  <r>
    <n v="31"/>
    <x v="1"/>
    <x v="1"/>
    <n v="0"/>
    <s v="Research &amp; Development"/>
    <n v="2"/>
    <x v="1"/>
    <n v="3"/>
    <x v="1"/>
    <x v="2"/>
    <x v="2"/>
    <n v="3477"/>
    <x v="0"/>
    <s v="No"/>
    <n v="14"/>
    <n v="3"/>
    <n v="4"/>
    <n v="6"/>
    <n v="4"/>
    <n v="5"/>
    <n v="2"/>
  </r>
  <r>
    <n v="41"/>
    <x v="0"/>
    <x v="1"/>
    <n v="0"/>
    <s v="Human Resources"/>
    <n v="3"/>
    <x v="1"/>
    <n v="1"/>
    <x v="0"/>
    <x v="8"/>
    <x v="1"/>
    <n v="6430"/>
    <x v="0"/>
    <s v="No"/>
    <n v="19"/>
    <n v="3"/>
    <n v="2"/>
    <n v="10"/>
    <n v="3"/>
    <n v="3"/>
    <n v="2"/>
  </r>
  <r>
    <n v="40"/>
    <x v="1"/>
    <x v="1"/>
    <n v="0"/>
    <s v="Research &amp; Development"/>
    <n v="2"/>
    <x v="0"/>
    <n v="3"/>
    <x v="0"/>
    <x v="3"/>
    <x v="3"/>
    <n v="6516"/>
    <x v="0"/>
    <s v="Yes"/>
    <n v="16"/>
    <n v="3"/>
    <n v="2"/>
    <n v="18"/>
    <n v="3"/>
    <n v="1"/>
    <n v="0"/>
  </r>
  <r>
    <n v="24"/>
    <x v="2"/>
    <x v="1"/>
    <n v="0"/>
    <s v="Research &amp; Development"/>
    <n v="2"/>
    <x v="1"/>
    <n v="3"/>
    <x v="1"/>
    <x v="2"/>
    <x v="3"/>
    <n v="3907"/>
    <x v="0"/>
    <s v="No"/>
    <n v="13"/>
    <n v="3"/>
    <n v="2"/>
    <n v="6"/>
    <n v="4"/>
    <n v="6"/>
    <n v="2"/>
  </r>
  <r>
    <n v="46"/>
    <x v="0"/>
    <x v="1"/>
    <n v="0"/>
    <s v="Research &amp; Development"/>
    <n v="3"/>
    <x v="1"/>
    <n v="3"/>
    <x v="0"/>
    <x v="4"/>
    <x v="1"/>
    <n v="5562"/>
    <x v="0"/>
    <s v="No"/>
    <n v="14"/>
    <n v="3"/>
    <n v="4"/>
    <n v="19"/>
    <n v="3"/>
    <n v="10"/>
    <n v="7"/>
  </r>
  <r>
    <n v="35"/>
    <x v="1"/>
    <x v="1"/>
    <n v="0"/>
    <s v="Research &amp; Development"/>
    <n v="4"/>
    <x v="1"/>
    <n v="3"/>
    <x v="0"/>
    <x v="3"/>
    <x v="2"/>
    <n v="6883"/>
    <x v="0"/>
    <s v="No"/>
    <n v="16"/>
    <n v="3"/>
    <n v="2"/>
    <n v="17"/>
    <n v="3"/>
    <n v="7"/>
    <n v="7"/>
  </r>
  <r>
    <n v="30"/>
    <x v="2"/>
    <x v="1"/>
    <n v="0"/>
    <s v="Research &amp; Development"/>
    <n v="2"/>
    <x v="1"/>
    <n v="3"/>
    <x v="1"/>
    <x v="1"/>
    <x v="0"/>
    <n v="2862"/>
    <x v="0"/>
    <s v="No"/>
    <n v="12"/>
    <n v="3"/>
    <n v="2"/>
    <n v="10"/>
    <n v="2"/>
    <n v="10"/>
    <n v="0"/>
  </r>
  <r>
    <n v="47"/>
    <x v="0"/>
    <x v="1"/>
    <n v="0"/>
    <s v="Sales"/>
    <n v="3"/>
    <x v="1"/>
    <n v="3"/>
    <x v="0"/>
    <x v="0"/>
    <x v="1"/>
    <n v="4978"/>
    <x v="0"/>
    <s v="No"/>
    <n v="11"/>
    <n v="3"/>
    <n v="4"/>
    <n v="4"/>
    <n v="1"/>
    <n v="1"/>
    <n v="0"/>
  </r>
  <r>
    <n v="46"/>
    <x v="0"/>
    <x v="1"/>
    <n v="0"/>
    <s v="Sales"/>
    <n v="3"/>
    <x v="1"/>
    <n v="3"/>
    <x v="2"/>
    <x v="0"/>
    <x v="0"/>
    <n v="10368"/>
    <x v="1"/>
    <s v="Yes"/>
    <n v="12"/>
    <n v="3"/>
    <n v="2"/>
    <n v="13"/>
    <n v="2"/>
    <n v="10"/>
    <n v="6"/>
  </r>
  <r>
    <n v="36"/>
    <x v="1"/>
    <x v="0"/>
    <n v="1"/>
    <s v="Sales"/>
    <n v="2"/>
    <x v="1"/>
    <n v="2"/>
    <x v="0"/>
    <x v="0"/>
    <x v="3"/>
    <n v="6134"/>
    <x v="0"/>
    <s v="Yes"/>
    <n v="13"/>
    <n v="3"/>
    <n v="2"/>
    <n v="16"/>
    <n v="3"/>
    <n v="2"/>
    <n v="2"/>
  </r>
  <r>
    <n v="32"/>
    <x v="1"/>
    <x v="0"/>
    <n v="1"/>
    <s v="Sales"/>
    <n v="1"/>
    <x v="1"/>
    <n v="1"/>
    <x v="0"/>
    <x v="0"/>
    <x v="1"/>
    <n v="6735"/>
    <x v="0"/>
    <s v="No"/>
    <n v="15"/>
    <n v="3"/>
    <n v="2"/>
    <n v="10"/>
    <n v="3"/>
    <n v="0"/>
    <n v="0"/>
  </r>
  <r>
    <n v="23"/>
    <x v="2"/>
    <x v="1"/>
    <n v="0"/>
    <s v="Research &amp; Development"/>
    <n v="3"/>
    <x v="0"/>
    <n v="3"/>
    <x v="1"/>
    <x v="2"/>
    <x v="1"/>
    <n v="3295"/>
    <x v="0"/>
    <s v="No"/>
    <n v="13"/>
    <n v="3"/>
    <n v="3"/>
    <n v="3"/>
    <n v="1"/>
    <n v="3"/>
    <n v="2"/>
  </r>
  <r>
    <n v="31"/>
    <x v="1"/>
    <x v="1"/>
    <n v="0"/>
    <s v="Research &amp; Development"/>
    <n v="4"/>
    <x v="0"/>
    <n v="3"/>
    <x v="0"/>
    <x v="3"/>
    <x v="0"/>
    <n v="5238"/>
    <x v="0"/>
    <s v="No"/>
    <n v="20"/>
    <n v="4"/>
    <n v="4"/>
    <n v="9"/>
    <n v="2"/>
    <n v="5"/>
    <n v="4"/>
  </r>
  <r>
    <n v="39"/>
    <x v="1"/>
    <x v="1"/>
    <n v="0"/>
    <s v="Research &amp; Development"/>
    <n v="4"/>
    <x v="1"/>
    <n v="3"/>
    <x v="0"/>
    <x v="2"/>
    <x v="0"/>
    <n v="6472"/>
    <x v="0"/>
    <s v="Yes"/>
    <n v="15"/>
    <n v="3"/>
    <n v="4"/>
    <n v="9"/>
    <n v="3"/>
    <n v="9"/>
    <n v="8"/>
  </r>
  <r>
    <n v="32"/>
    <x v="1"/>
    <x v="1"/>
    <n v="0"/>
    <s v="Sales"/>
    <n v="4"/>
    <x v="1"/>
    <n v="1"/>
    <x v="2"/>
    <x v="0"/>
    <x v="2"/>
    <n v="9610"/>
    <x v="1"/>
    <s v="No"/>
    <n v="13"/>
    <n v="3"/>
    <n v="3"/>
    <n v="10"/>
    <n v="1"/>
    <n v="4"/>
    <n v="3"/>
  </r>
  <r>
    <n v="40"/>
    <x v="1"/>
    <x v="1"/>
    <n v="0"/>
    <s v="Sales"/>
    <n v="2"/>
    <x v="1"/>
    <n v="3"/>
    <x v="4"/>
    <x v="5"/>
    <x v="1"/>
    <n v="19833"/>
    <x v="2"/>
    <s v="No"/>
    <n v="14"/>
    <n v="3"/>
    <n v="2"/>
    <n v="21"/>
    <n v="2"/>
    <n v="21"/>
    <n v="8"/>
  </r>
  <r>
    <n v="45"/>
    <x v="0"/>
    <x v="1"/>
    <n v="0"/>
    <s v="Human Resources"/>
    <n v="3"/>
    <x v="0"/>
    <n v="1"/>
    <x v="2"/>
    <x v="8"/>
    <x v="2"/>
    <n v="9756"/>
    <x v="1"/>
    <s v="No"/>
    <n v="21"/>
    <n v="4"/>
    <n v="3"/>
    <n v="9"/>
    <n v="4"/>
    <n v="5"/>
    <n v="0"/>
  </r>
  <r>
    <n v="30"/>
    <x v="2"/>
    <x v="1"/>
    <n v="0"/>
    <s v="Research &amp; Development"/>
    <n v="4"/>
    <x v="0"/>
    <n v="2"/>
    <x v="1"/>
    <x v="1"/>
    <x v="3"/>
    <n v="4968"/>
    <x v="0"/>
    <s v="No"/>
    <n v="16"/>
    <n v="3"/>
    <n v="4"/>
    <n v="10"/>
    <n v="3"/>
    <n v="9"/>
    <n v="7"/>
  </r>
  <r>
    <n v="24"/>
    <x v="2"/>
    <x v="1"/>
    <n v="0"/>
    <s v="Human Resources"/>
    <n v="1"/>
    <x v="1"/>
    <n v="3"/>
    <x v="1"/>
    <x v="8"/>
    <x v="0"/>
    <n v="2145"/>
    <x v="0"/>
    <s v="No"/>
    <n v="14"/>
    <n v="3"/>
    <n v="4"/>
    <n v="3"/>
    <n v="3"/>
    <n v="2"/>
    <n v="2"/>
  </r>
  <r>
    <n v="30"/>
    <x v="2"/>
    <x v="0"/>
    <n v="1"/>
    <s v="Human Resources"/>
    <n v="3"/>
    <x v="0"/>
    <n v="2"/>
    <x v="1"/>
    <x v="8"/>
    <x v="0"/>
    <n v="2180"/>
    <x v="0"/>
    <s v="No"/>
    <n v="11"/>
    <n v="3"/>
    <n v="3"/>
    <n v="6"/>
    <n v="2"/>
    <n v="4"/>
    <n v="2"/>
  </r>
  <r>
    <n v="31"/>
    <x v="1"/>
    <x v="1"/>
    <n v="0"/>
    <s v="Sales"/>
    <n v="1"/>
    <x v="1"/>
    <n v="3"/>
    <x v="0"/>
    <x v="0"/>
    <x v="2"/>
    <n v="8346"/>
    <x v="1"/>
    <s v="No"/>
    <n v="19"/>
    <n v="3"/>
    <n v="3"/>
    <n v="6"/>
    <n v="3"/>
    <n v="5"/>
    <n v="2"/>
  </r>
  <r>
    <n v="27"/>
    <x v="2"/>
    <x v="1"/>
    <n v="0"/>
    <s v="Research &amp; Development"/>
    <n v="3"/>
    <x v="0"/>
    <n v="3"/>
    <x v="1"/>
    <x v="1"/>
    <x v="0"/>
    <n v="3445"/>
    <x v="0"/>
    <s v="No"/>
    <n v="11"/>
    <n v="3"/>
    <n v="3"/>
    <n v="6"/>
    <n v="2"/>
    <n v="6"/>
    <n v="2"/>
  </r>
  <r>
    <n v="29"/>
    <x v="2"/>
    <x v="0"/>
    <n v="1"/>
    <s v="Sales"/>
    <n v="2"/>
    <x v="0"/>
    <n v="1"/>
    <x v="1"/>
    <x v="6"/>
    <x v="1"/>
    <n v="2760"/>
    <x v="0"/>
    <s v="No"/>
    <n v="13"/>
    <n v="3"/>
    <n v="3"/>
    <n v="2"/>
    <n v="3"/>
    <n v="2"/>
    <n v="2"/>
  </r>
  <r>
    <n v="29"/>
    <x v="2"/>
    <x v="1"/>
    <n v="0"/>
    <s v="Research &amp; Development"/>
    <n v="4"/>
    <x v="1"/>
    <n v="4"/>
    <x v="0"/>
    <x v="4"/>
    <x v="2"/>
    <n v="6294"/>
    <x v="0"/>
    <s v="Yes"/>
    <n v="12"/>
    <n v="3"/>
    <n v="4"/>
    <n v="10"/>
    <n v="4"/>
    <n v="3"/>
    <n v="2"/>
  </r>
  <r>
    <n v="30"/>
    <x v="2"/>
    <x v="1"/>
    <n v="0"/>
    <s v="Sales"/>
    <n v="3"/>
    <x v="1"/>
    <n v="2"/>
    <x v="2"/>
    <x v="0"/>
    <x v="3"/>
    <n v="7140"/>
    <x v="1"/>
    <s v="No"/>
    <n v="11"/>
    <n v="3"/>
    <n v="1"/>
    <n v="12"/>
    <n v="3"/>
    <n v="7"/>
    <n v="7"/>
  </r>
  <r>
    <n v="34"/>
    <x v="1"/>
    <x v="1"/>
    <n v="0"/>
    <s v="Research &amp; Development"/>
    <n v="4"/>
    <x v="1"/>
    <n v="4"/>
    <x v="1"/>
    <x v="1"/>
    <x v="0"/>
    <n v="2932"/>
    <x v="0"/>
    <s v="Yes"/>
    <n v="14"/>
    <n v="3"/>
    <n v="1"/>
    <n v="6"/>
    <n v="3"/>
    <n v="5"/>
    <n v="0"/>
  </r>
  <r>
    <n v="33"/>
    <x v="1"/>
    <x v="1"/>
    <n v="0"/>
    <s v="Sales"/>
    <n v="4"/>
    <x v="0"/>
    <n v="3"/>
    <x v="0"/>
    <x v="0"/>
    <x v="1"/>
    <n v="5147"/>
    <x v="0"/>
    <s v="No"/>
    <n v="15"/>
    <n v="3"/>
    <n v="4"/>
    <n v="13"/>
    <n v="2"/>
    <n v="11"/>
    <n v="7"/>
  </r>
  <r>
    <n v="49"/>
    <x v="0"/>
    <x v="1"/>
    <n v="0"/>
    <s v="Sales"/>
    <n v="4"/>
    <x v="0"/>
    <n v="3"/>
    <x v="0"/>
    <x v="0"/>
    <x v="0"/>
    <n v="4507"/>
    <x v="0"/>
    <s v="No"/>
    <n v="12"/>
    <n v="3"/>
    <n v="3"/>
    <n v="8"/>
    <n v="4"/>
    <n v="5"/>
    <n v="1"/>
  </r>
  <r>
    <n v="33"/>
    <x v="1"/>
    <x v="0"/>
    <n v="1"/>
    <s v="Sales"/>
    <n v="1"/>
    <x v="0"/>
    <n v="3"/>
    <x v="2"/>
    <x v="0"/>
    <x v="3"/>
    <n v="8564"/>
    <x v="1"/>
    <s v="Yes"/>
    <n v="20"/>
    <n v="4"/>
    <n v="3"/>
    <n v="11"/>
    <n v="2"/>
    <n v="0"/>
    <n v="0"/>
  </r>
  <r>
    <n v="38"/>
    <x v="1"/>
    <x v="1"/>
    <n v="0"/>
    <s v="Research &amp; Development"/>
    <n v="3"/>
    <x v="0"/>
    <n v="2"/>
    <x v="1"/>
    <x v="2"/>
    <x v="1"/>
    <n v="2468"/>
    <x v="0"/>
    <s v="No"/>
    <n v="14"/>
    <n v="3"/>
    <n v="2"/>
    <n v="9"/>
    <n v="2"/>
    <n v="6"/>
    <n v="1"/>
  </r>
  <r>
    <n v="31"/>
    <x v="1"/>
    <x v="0"/>
    <n v="1"/>
    <s v="Sales"/>
    <n v="1"/>
    <x v="1"/>
    <n v="3"/>
    <x v="2"/>
    <x v="0"/>
    <x v="2"/>
    <n v="8161"/>
    <x v="1"/>
    <s v="No"/>
    <n v="13"/>
    <n v="3"/>
    <n v="1"/>
    <n v="10"/>
    <n v="3"/>
    <n v="1"/>
    <n v="0"/>
  </r>
  <r>
    <n v="29"/>
    <x v="2"/>
    <x v="1"/>
    <n v="0"/>
    <s v="Research &amp; Development"/>
    <n v="4"/>
    <x v="0"/>
    <n v="2"/>
    <x v="1"/>
    <x v="1"/>
    <x v="3"/>
    <n v="2109"/>
    <x v="0"/>
    <s v="No"/>
    <n v="13"/>
    <n v="3"/>
    <n v="3"/>
    <n v="1"/>
    <n v="3"/>
    <n v="1"/>
    <n v="0"/>
  </r>
  <r>
    <n v="30"/>
    <x v="2"/>
    <x v="1"/>
    <n v="0"/>
    <s v="Research &amp; Development"/>
    <n v="3"/>
    <x v="1"/>
    <n v="4"/>
    <x v="0"/>
    <x v="4"/>
    <x v="2"/>
    <n v="5294"/>
    <x v="0"/>
    <s v="No"/>
    <n v="16"/>
    <n v="3"/>
    <n v="3"/>
    <n v="10"/>
    <n v="3"/>
    <n v="7"/>
    <n v="0"/>
  </r>
  <r>
    <n v="32"/>
    <x v="1"/>
    <x v="1"/>
    <n v="0"/>
    <s v="Research &amp; Development"/>
    <n v="2"/>
    <x v="1"/>
    <n v="3"/>
    <x v="1"/>
    <x v="1"/>
    <x v="1"/>
    <n v="2718"/>
    <x v="0"/>
    <s v="No"/>
    <n v="14"/>
    <n v="3"/>
    <n v="2"/>
    <n v="12"/>
    <n v="3"/>
    <n v="7"/>
    <n v="7"/>
  </r>
  <r>
    <n v="38"/>
    <x v="1"/>
    <x v="1"/>
    <n v="0"/>
    <s v="Research &amp; Development"/>
    <n v="2"/>
    <x v="1"/>
    <n v="1"/>
    <x v="0"/>
    <x v="4"/>
    <x v="0"/>
    <n v="5811"/>
    <x v="0"/>
    <s v="Yes"/>
    <n v="16"/>
    <n v="3"/>
    <n v="3"/>
    <n v="15"/>
    <n v="3"/>
    <n v="1"/>
    <n v="0"/>
  </r>
  <r>
    <n v="43"/>
    <x v="0"/>
    <x v="0"/>
    <n v="1"/>
    <s v="Research &amp; Development"/>
    <n v="3"/>
    <x v="1"/>
    <n v="2"/>
    <x v="1"/>
    <x v="1"/>
    <x v="2"/>
    <n v="2437"/>
    <x v="0"/>
    <s v="Yes"/>
    <n v="16"/>
    <n v="3"/>
    <n v="4"/>
    <n v="6"/>
    <n v="3"/>
    <n v="1"/>
    <n v="0"/>
  </r>
  <r>
    <n v="42"/>
    <x v="0"/>
    <x v="1"/>
    <n v="0"/>
    <s v="Research &amp; Development"/>
    <n v="2"/>
    <x v="1"/>
    <n v="3"/>
    <x v="1"/>
    <x v="2"/>
    <x v="1"/>
    <n v="2766"/>
    <x v="0"/>
    <s v="No"/>
    <n v="22"/>
    <n v="4"/>
    <n v="2"/>
    <n v="7"/>
    <n v="2"/>
    <n v="5"/>
    <n v="3"/>
  </r>
  <r>
    <n v="55"/>
    <x v="0"/>
    <x v="1"/>
    <n v="0"/>
    <s v="Research &amp; Development"/>
    <n v="3"/>
    <x v="1"/>
    <n v="2"/>
    <x v="4"/>
    <x v="7"/>
    <x v="3"/>
    <n v="19038"/>
    <x v="2"/>
    <s v="No"/>
    <n v="12"/>
    <n v="3"/>
    <n v="2"/>
    <n v="34"/>
    <n v="3"/>
    <n v="1"/>
    <n v="0"/>
  </r>
  <r>
    <n v="33"/>
    <x v="1"/>
    <x v="1"/>
    <n v="0"/>
    <s v="Research &amp; Development"/>
    <n v="4"/>
    <x v="1"/>
    <n v="3"/>
    <x v="0"/>
    <x v="1"/>
    <x v="1"/>
    <n v="3055"/>
    <x v="0"/>
    <s v="No"/>
    <n v="15"/>
    <n v="3"/>
    <n v="4"/>
    <n v="11"/>
    <n v="2"/>
    <n v="9"/>
    <n v="8"/>
  </r>
  <r>
    <n v="41"/>
    <x v="0"/>
    <x v="1"/>
    <n v="0"/>
    <s v="Research &amp; Development"/>
    <n v="3"/>
    <x v="1"/>
    <n v="3"/>
    <x v="1"/>
    <x v="2"/>
    <x v="3"/>
    <n v="2289"/>
    <x v="0"/>
    <s v="No"/>
    <n v="20"/>
    <n v="4"/>
    <n v="2"/>
    <n v="5"/>
    <n v="3"/>
    <n v="5"/>
    <n v="3"/>
  </r>
  <r>
    <n v="34"/>
    <x v="1"/>
    <x v="1"/>
    <n v="0"/>
    <s v="Sales"/>
    <n v="4"/>
    <x v="1"/>
    <n v="3"/>
    <x v="0"/>
    <x v="0"/>
    <x v="2"/>
    <n v="4001"/>
    <x v="0"/>
    <s v="Yes"/>
    <n v="14"/>
    <n v="3"/>
    <n v="3"/>
    <n v="15"/>
    <n v="3"/>
    <n v="15"/>
    <n v="14"/>
  </r>
  <r>
    <n v="53"/>
    <x v="0"/>
    <x v="1"/>
    <n v="0"/>
    <s v="Research &amp; Development"/>
    <n v="1"/>
    <x v="0"/>
    <n v="2"/>
    <x v="3"/>
    <x v="3"/>
    <x v="2"/>
    <n v="12965"/>
    <x v="1"/>
    <s v="Yes"/>
    <n v="20"/>
    <n v="4"/>
    <n v="4"/>
    <n v="27"/>
    <n v="2"/>
    <n v="3"/>
    <n v="2"/>
  </r>
  <r>
    <n v="43"/>
    <x v="0"/>
    <x v="1"/>
    <n v="0"/>
    <s v="Human Resources"/>
    <n v="2"/>
    <x v="1"/>
    <n v="3"/>
    <x v="1"/>
    <x v="8"/>
    <x v="0"/>
    <n v="3539"/>
    <x v="0"/>
    <s v="No"/>
    <n v="13"/>
    <n v="3"/>
    <n v="2"/>
    <n v="10"/>
    <n v="3"/>
    <n v="9"/>
    <n v="7"/>
  </r>
  <r>
    <n v="34"/>
    <x v="1"/>
    <x v="1"/>
    <n v="0"/>
    <s v="Sales"/>
    <n v="4"/>
    <x v="0"/>
    <n v="1"/>
    <x v="0"/>
    <x v="0"/>
    <x v="0"/>
    <n v="6029"/>
    <x v="0"/>
    <s v="No"/>
    <n v="12"/>
    <n v="3"/>
    <n v="1"/>
    <n v="6"/>
    <n v="3"/>
    <n v="2"/>
    <n v="2"/>
  </r>
  <r>
    <n v="21"/>
    <x v="2"/>
    <x v="0"/>
    <n v="1"/>
    <s v="Sales"/>
    <n v="2"/>
    <x v="1"/>
    <n v="3"/>
    <x v="1"/>
    <x v="6"/>
    <x v="1"/>
    <n v="2679"/>
    <x v="0"/>
    <s v="No"/>
    <n v="13"/>
    <n v="3"/>
    <n v="2"/>
    <n v="1"/>
    <n v="3"/>
    <n v="1"/>
    <n v="0"/>
  </r>
  <r>
    <n v="38"/>
    <x v="1"/>
    <x v="1"/>
    <n v="0"/>
    <s v="Research &amp; Development"/>
    <n v="4"/>
    <x v="0"/>
    <n v="2"/>
    <x v="1"/>
    <x v="2"/>
    <x v="2"/>
    <n v="3702"/>
    <x v="0"/>
    <s v="No"/>
    <n v="11"/>
    <n v="3"/>
    <n v="2"/>
    <n v="5"/>
    <n v="3"/>
    <n v="5"/>
    <n v="4"/>
  </r>
  <r>
    <n v="22"/>
    <x v="2"/>
    <x v="0"/>
    <n v="1"/>
    <s v="Research &amp; Development"/>
    <n v="3"/>
    <x v="0"/>
    <n v="3"/>
    <x v="1"/>
    <x v="2"/>
    <x v="3"/>
    <n v="2398"/>
    <x v="0"/>
    <s v="Yes"/>
    <n v="17"/>
    <n v="3"/>
    <n v="3"/>
    <n v="1"/>
    <n v="3"/>
    <n v="1"/>
    <n v="0"/>
  </r>
  <r>
    <n v="31"/>
    <x v="1"/>
    <x v="1"/>
    <n v="0"/>
    <s v="Sales"/>
    <n v="1"/>
    <x v="0"/>
    <n v="2"/>
    <x v="0"/>
    <x v="0"/>
    <x v="0"/>
    <n v="5468"/>
    <x v="0"/>
    <s v="No"/>
    <n v="14"/>
    <n v="3"/>
    <n v="1"/>
    <n v="13"/>
    <n v="3"/>
    <n v="12"/>
    <n v="7"/>
  </r>
  <r>
    <n v="51"/>
    <x v="0"/>
    <x v="1"/>
    <n v="0"/>
    <s v="Research &amp; Development"/>
    <n v="1"/>
    <x v="0"/>
    <n v="3"/>
    <x v="2"/>
    <x v="5"/>
    <x v="2"/>
    <n v="13116"/>
    <x v="1"/>
    <s v="No"/>
    <n v="11"/>
    <n v="3"/>
    <n v="4"/>
    <n v="15"/>
    <n v="3"/>
    <n v="2"/>
    <n v="2"/>
  </r>
  <r>
    <n v="37"/>
    <x v="1"/>
    <x v="1"/>
    <n v="0"/>
    <s v="Sales"/>
    <n v="2"/>
    <x v="1"/>
    <n v="2"/>
    <x v="0"/>
    <x v="0"/>
    <x v="1"/>
    <n v="4189"/>
    <x v="0"/>
    <s v="No"/>
    <n v="14"/>
    <n v="3"/>
    <n v="1"/>
    <n v="5"/>
    <n v="3"/>
    <n v="5"/>
    <n v="2"/>
  </r>
  <r>
    <n v="46"/>
    <x v="0"/>
    <x v="1"/>
    <n v="0"/>
    <s v="Research &amp; Development"/>
    <n v="3"/>
    <x v="1"/>
    <n v="3"/>
    <x v="4"/>
    <x v="7"/>
    <x v="0"/>
    <n v="19328"/>
    <x v="2"/>
    <s v="Yes"/>
    <n v="17"/>
    <n v="3"/>
    <n v="3"/>
    <n v="24"/>
    <n v="3"/>
    <n v="2"/>
    <n v="1"/>
  </r>
  <r>
    <n v="36"/>
    <x v="1"/>
    <x v="1"/>
    <n v="0"/>
    <s v="Research &amp; Development"/>
    <n v="4"/>
    <x v="1"/>
    <n v="3"/>
    <x v="2"/>
    <x v="4"/>
    <x v="3"/>
    <n v="8321"/>
    <x v="1"/>
    <s v="Yes"/>
    <n v="13"/>
    <n v="3"/>
    <n v="4"/>
    <n v="15"/>
    <n v="3"/>
    <n v="12"/>
    <n v="8"/>
  </r>
  <r>
    <n v="44"/>
    <x v="0"/>
    <x v="0"/>
    <n v="1"/>
    <s v="Research &amp; Development"/>
    <n v="3"/>
    <x v="1"/>
    <n v="3"/>
    <x v="1"/>
    <x v="1"/>
    <x v="1"/>
    <n v="2342"/>
    <x v="0"/>
    <s v="Yes"/>
    <n v="12"/>
    <n v="3"/>
    <n v="3"/>
    <n v="6"/>
    <n v="2"/>
    <n v="5"/>
    <n v="3"/>
  </r>
  <r>
    <n v="37"/>
    <x v="1"/>
    <x v="1"/>
    <n v="0"/>
    <s v="Human Resources"/>
    <n v="3"/>
    <x v="1"/>
    <n v="3"/>
    <x v="0"/>
    <x v="8"/>
    <x v="1"/>
    <n v="4071"/>
    <x v="0"/>
    <s v="No"/>
    <n v="13"/>
    <n v="3"/>
    <n v="3"/>
    <n v="19"/>
    <n v="2"/>
    <n v="10"/>
    <n v="0"/>
  </r>
  <r>
    <n v="35"/>
    <x v="1"/>
    <x v="0"/>
    <n v="1"/>
    <s v="Sales"/>
    <n v="3"/>
    <x v="1"/>
    <n v="3"/>
    <x v="0"/>
    <x v="0"/>
    <x v="0"/>
    <n v="5813"/>
    <x v="0"/>
    <s v="Yes"/>
    <n v="18"/>
    <n v="3"/>
    <n v="4"/>
    <n v="10"/>
    <n v="3"/>
    <n v="10"/>
    <n v="7"/>
  </r>
  <r>
    <n v="33"/>
    <x v="1"/>
    <x v="1"/>
    <n v="0"/>
    <s v="Research &amp; Development"/>
    <n v="4"/>
    <x v="1"/>
    <n v="4"/>
    <x v="1"/>
    <x v="1"/>
    <x v="3"/>
    <n v="3143"/>
    <x v="0"/>
    <s v="No"/>
    <n v="19"/>
    <n v="3"/>
    <n v="2"/>
    <n v="14"/>
    <n v="3"/>
    <n v="10"/>
    <n v="8"/>
  </r>
  <r>
    <n v="28"/>
    <x v="2"/>
    <x v="1"/>
    <n v="0"/>
    <s v="Research &amp; Development"/>
    <n v="3"/>
    <x v="1"/>
    <n v="3"/>
    <x v="1"/>
    <x v="1"/>
    <x v="0"/>
    <n v="2044"/>
    <x v="0"/>
    <s v="No"/>
    <n v="11"/>
    <n v="3"/>
    <n v="3"/>
    <n v="5"/>
    <n v="4"/>
    <n v="5"/>
    <n v="3"/>
  </r>
  <r>
    <n v="39"/>
    <x v="1"/>
    <x v="1"/>
    <n v="0"/>
    <s v="Research &amp; Development"/>
    <n v="3"/>
    <x v="1"/>
    <n v="3"/>
    <x v="2"/>
    <x v="7"/>
    <x v="2"/>
    <n v="13464"/>
    <x v="1"/>
    <s v="No"/>
    <n v="21"/>
    <n v="4"/>
    <n v="3"/>
    <n v="9"/>
    <n v="3"/>
    <n v="4"/>
    <n v="3"/>
  </r>
  <r>
    <n v="46"/>
    <x v="0"/>
    <x v="1"/>
    <n v="0"/>
    <s v="Sales"/>
    <n v="2"/>
    <x v="1"/>
    <n v="2"/>
    <x v="0"/>
    <x v="0"/>
    <x v="1"/>
    <n v="7991"/>
    <x v="1"/>
    <s v="No"/>
    <n v="15"/>
    <n v="3"/>
    <n v="3"/>
    <n v="6"/>
    <n v="3"/>
    <n v="2"/>
    <n v="2"/>
  </r>
  <r>
    <n v="40"/>
    <x v="1"/>
    <x v="1"/>
    <n v="0"/>
    <s v="Research &amp; Development"/>
    <n v="3"/>
    <x v="0"/>
    <n v="3"/>
    <x v="1"/>
    <x v="2"/>
    <x v="3"/>
    <n v="3377"/>
    <x v="0"/>
    <s v="No"/>
    <n v="17"/>
    <n v="3"/>
    <n v="4"/>
    <n v="7"/>
    <n v="2"/>
    <n v="4"/>
    <n v="3"/>
  </r>
  <r>
    <n v="42"/>
    <x v="0"/>
    <x v="1"/>
    <n v="0"/>
    <s v="Research &amp; Development"/>
    <n v="2"/>
    <x v="1"/>
    <n v="4"/>
    <x v="0"/>
    <x v="4"/>
    <x v="3"/>
    <n v="5538"/>
    <x v="0"/>
    <s v="No"/>
    <n v="18"/>
    <n v="3"/>
    <n v="3"/>
    <n v="10"/>
    <n v="2"/>
    <n v="0"/>
    <n v="0"/>
  </r>
  <r>
    <n v="35"/>
    <x v="1"/>
    <x v="1"/>
    <n v="0"/>
    <s v="Research &amp; Development"/>
    <n v="2"/>
    <x v="1"/>
    <n v="3"/>
    <x v="0"/>
    <x v="3"/>
    <x v="0"/>
    <n v="5762"/>
    <x v="0"/>
    <s v="No"/>
    <n v="14"/>
    <n v="3"/>
    <n v="3"/>
    <n v="15"/>
    <n v="3"/>
    <n v="7"/>
    <n v="7"/>
  </r>
  <r>
    <n v="38"/>
    <x v="1"/>
    <x v="1"/>
    <n v="0"/>
    <s v="Human Resources"/>
    <n v="1"/>
    <x v="1"/>
    <n v="3"/>
    <x v="1"/>
    <x v="8"/>
    <x v="1"/>
    <n v="2592"/>
    <x v="0"/>
    <s v="No"/>
    <n v="13"/>
    <n v="3"/>
    <n v="4"/>
    <n v="13"/>
    <n v="3"/>
    <n v="11"/>
    <n v="10"/>
  </r>
  <r>
    <n v="34"/>
    <x v="1"/>
    <x v="0"/>
    <n v="1"/>
    <s v="Research &amp; Development"/>
    <n v="4"/>
    <x v="1"/>
    <n v="3"/>
    <x v="0"/>
    <x v="2"/>
    <x v="3"/>
    <n v="5346"/>
    <x v="0"/>
    <s v="No"/>
    <n v="17"/>
    <n v="3"/>
    <n v="3"/>
    <n v="11"/>
    <n v="2"/>
    <n v="7"/>
    <n v="1"/>
  </r>
  <r>
    <n v="37"/>
    <x v="1"/>
    <x v="0"/>
    <n v="1"/>
    <s v="Research &amp; Development"/>
    <n v="4"/>
    <x v="1"/>
    <n v="3"/>
    <x v="0"/>
    <x v="3"/>
    <x v="3"/>
    <n v="4213"/>
    <x v="0"/>
    <s v="No"/>
    <n v="15"/>
    <n v="3"/>
    <n v="2"/>
    <n v="10"/>
    <n v="1"/>
    <n v="10"/>
    <n v="3"/>
  </r>
  <r>
    <n v="39"/>
    <x v="1"/>
    <x v="1"/>
    <n v="0"/>
    <s v="Sales"/>
    <n v="3"/>
    <x v="1"/>
    <n v="3"/>
    <x v="0"/>
    <x v="0"/>
    <x v="0"/>
    <n v="4127"/>
    <x v="0"/>
    <s v="No"/>
    <n v="18"/>
    <n v="3"/>
    <n v="4"/>
    <n v="7"/>
    <n v="3"/>
    <n v="2"/>
    <n v="1"/>
  </r>
  <r>
    <n v="43"/>
    <x v="0"/>
    <x v="1"/>
    <n v="0"/>
    <s v="Research &amp; Development"/>
    <n v="1"/>
    <x v="1"/>
    <n v="3"/>
    <x v="1"/>
    <x v="1"/>
    <x v="2"/>
    <n v="2438"/>
    <x v="0"/>
    <s v="No"/>
    <n v="13"/>
    <n v="3"/>
    <n v="3"/>
    <n v="7"/>
    <n v="2"/>
    <n v="3"/>
    <n v="2"/>
  </r>
  <r>
    <n v="41"/>
    <x v="0"/>
    <x v="1"/>
    <n v="0"/>
    <s v="Research &amp; Development"/>
    <n v="2"/>
    <x v="1"/>
    <n v="4"/>
    <x v="0"/>
    <x v="4"/>
    <x v="1"/>
    <n v="6870"/>
    <x v="0"/>
    <s v="No"/>
    <n v="12"/>
    <n v="3"/>
    <n v="1"/>
    <n v="11"/>
    <n v="1"/>
    <n v="3"/>
    <n v="2"/>
  </r>
  <r>
    <n v="41"/>
    <x v="0"/>
    <x v="1"/>
    <n v="0"/>
    <s v="Sales"/>
    <n v="3"/>
    <x v="0"/>
    <n v="3"/>
    <x v="2"/>
    <x v="0"/>
    <x v="2"/>
    <n v="10447"/>
    <x v="1"/>
    <s v="Yes"/>
    <n v="13"/>
    <n v="3"/>
    <n v="4"/>
    <n v="23"/>
    <n v="4"/>
    <n v="22"/>
    <n v="14"/>
  </r>
  <r>
    <n v="30"/>
    <x v="2"/>
    <x v="1"/>
    <n v="0"/>
    <s v="Research &amp; Development"/>
    <n v="1"/>
    <x v="0"/>
    <n v="3"/>
    <x v="2"/>
    <x v="3"/>
    <x v="2"/>
    <n v="9667"/>
    <x v="1"/>
    <s v="No"/>
    <n v="14"/>
    <n v="3"/>
    <n v="2"/>
    <n v="9"/>
    <n v="3"/>
    <n v="7"/>
    <n v="7"/>
  </r>
  <r>
    <n v="26"/>
    <x v="2"/>
    <x v="0"/>
    <n v="1"/>
    <s v="Human Resources"/>
    <n v="4"/>
    <x v="0"/>
    <n v="3"/>
    <x v="1"/>
    <x v="8"/>
    <x v="1"/>
    <n v="2148"/>
    <x v="0"/>
    <s v="Yes"/>
    <n v="11"/>
    <n v="3"/>
    <n v="3"/>
    <n v="6"/>
    <n v="3"/>
    <n v="5"/>
    <n v="1"/>
  </r>
  <r>
    <n v="46"/>
    <x v="0"/>
    <x v="0"/>
    <n v="1"/>
    <s v="Research &amp; Development"/>
    <n v="4"/>
    <x v="0"/>
    <n v="3"/>
    <x v="0"/>
    <x v="4"/>
    <x v="1"/>
    <n v="8926"/>
    <x v="1"/>
    <s v="No"/>
    <n v="22"/>
    <n v="4"/>
    <n v="4"/>
    <n v="13"/>
    <n v="4"/>
    <n v="9"/>
    <n v="7"/>
  </r>
  <r>
    <n v="40"/>
    <x v="1"/>
    <x v="1"/>
    <n v="0"/>
    <s v="Research &amp; Development"/>
    <n v="3"/>
    <x v="0"/>
    <n v="3"/>
    <x v="0"/>
    <x v="4"/>
    <x v="0"/>
    <n v="6513"/>
    <x v="0"/>
    <s v="No"/>
    <n v="17"/>
    <n v="3"/>
    <n v="4"/>
    <n v="12"/>
    <n v="3"/>
    <n v="5"/>
    <n v="3"/>
  </r>
  <r>
    <n v="34"/>
    <x v="1"/>
    <x v="1"/>
    <n v="0"/>
    <s v="Sales"/>
    <n v="2"/>
    <x v="1"/>
    <n v="4"/>
    <x v="0"/>
    <x v="0"/>
    <x v="2"/>
    <n v="6799"/>
    <x v="0"/>
    <s v="No"/>
    <n v="21"/>
    <n v="4"/>
    <n v="3"/>
    <n v="10"/>
    <n v="3"/>
    <n v="10"/>
    <n v="8"/>
  </r>
  <r>
    <n v="58"/>
    <x v="0"/>
    <x v="1"/>
    <n v="0"/>
    <s v="Sales"/>
    <n v="2"/>
    <x v="1"/>
    <n v="3"/>
    <x v="3"/>
    <x v="5"/>
    <x v="1"/>
    <n v="16291"/>
    <x v="2"/>
    <s v="No"/>
    <n v="22"/>
    <n v="4"/>
    <n v="4"/>
    <n v="37"/>
    <n v="2"/>
    <n v="16"/>
    <n v="9"/>
  </r>
  <r>
    <n v="35"/>
    <x v="1"/>
    <x v="1"/>
    <n v="0"/>
    <s v="Research &amp; Development"/>
    <n v="2"/>
    <x v="1"/>
    <n v="1"/>
    <x v="1"/>
    <x v="2"/>
    <x v="2"/>
    <n v="2705"/>
    <x v="0"/>
    <s v="No"/>
    <n v="16"/>
    <n v="3"/>
    <n v="2"/>
    <n v="6"/>
    <n v="4"/>
    <n v="5"/>
    <n v="4"/>
  </r>
  <r>
    <n v="47"/>
    <x v="0"/>
    <x v="1"/>
    <n v="0"/>
    <s v="Research &amp; Development"/>
    <n v="3"/>
    <x v="0"/>
    <n v="2"/>
    <x v="2"/>
    <x v="3"/>
    <x v="1"/>
    <n v="10333"/>
    <x v="1"/>
    <s v="Yes"/>
    <n v="12"/>
    <n v="3"/>
    <n v="3"/>
    <n v="28"/>
    <n v="3"/>
    <n v="22"/>
    <n v="11"/>
  </r>
  <r>
    <n v="40"/>
    <x v="1"/>
    <x v="1"/>
    <n v="0"/>
    <s v="Research &amp; Development"/>
    <n v="2"/>
    <x v="0"/>
    <n v="3"/>
    <x v="0"/>
    <x v="4"/>
    <x v="3"/>
    <n v="4448"/>
    <x v="0"/>
    <s v="No"/>
    <n v="12"/>
    <n v="3"/>
    <n v="2"/>
    <n v="15"/>
    <n v="3"/>
    <n v="7"/>
    <n v="4"/>
  </r>
  <r>
    <n v="54"/>
    <x v="0"/>
    <x v="1"/>
    <n v="0"/>
    <s v="Research &amp; Development"/>
    <n v="4"/>
    <x v="0"/>
    <n v="3"/>
    <x v="0"/>
    <x v="1"/>
    <x v="0"/>
    <n v="6854"/>
    <x v="0"/>
    <s v="No"/>
    <n v="15"/>
    <n v="3"/>
    <n v="2"/>
    <n v="14"/>
    <n v="2"/>
    <n v="7"/>
    <n v="1"/>
  </r>
  <r>
    <n v="31"/>
    <x v="1"/>
    <x v="1"/>
    <n v="0"/>
    <s v="Sales"/>
    <n v="1"/>
    <x v="0"/>
    <n v="3"/>
    <x v="2"/>
    <x v="0"/>
    <x v="3"/>
    <n v="9637"/>
    <x v="1"/>
    <s v="No"/>
    <n v="14"/>
    <n v="3"/>
    <n v="4"/>
    <n v="9"/>
    <n v="3"/>
    <n v="3"/>
    <n v="2"/>
  </r>
  <r>
    <n v="28"/>
    <x v="2"/>
    <x v="1"/>
    <n v="0"/>
    <s v="Research &amp; Development"/>
    <n v="3"/>
    <x v="0"/>
    <n v="3"/>
    <x v="1"/>
    <x v="1"/>
    <x v="3"/>
    <n v="3591"/>
    <x v="0"/>
    <s v="No"/>
    <n v="25"/>
    <n v="4"/>
    <n v="3"/>
    <n v="3"/>
    <n v="3"/>
    <n v="3"/>
    <n v="2"/>
  </r>
  <r>
    <n v="38"/>
    <x v="1"/>
    <x v="1"/>
    <n v="0"/>
    <s v="Sales"/>
    <n v="2"/>
    <x v="0"/>
    <n v="1"/>
    <x v="0"/>
    <x v="6"/>
    <x v="0"/>
    <n v="5405"/>
    <x v="0"/>
    <s v="Yes"/>
    <n v="20"/>
    <n v="4"/>
    <n v="1"/>
    <n v="20"/>
    <n v="2"/>
    <n v="4"/>
    <n v="2"/>
  </r>
  <r>
    <n v="26"/>
    <x v="2"/>
    <x v="1"/>
    <n v="0"/>
    <s v="Sales"/>
    <n v="3"/>
    <x v="1"/>
    <n v="3"/>
    <x v="0"/>
    <x v="0"/>
    <x v="0"/>
    <n v="4684"/>
    <x v="0"/>
    <s v="No"/>
    <n v="13"/>
    <n v="3"/>
    <n v="1"/>
    <n v="5"/>
    <n v="3"/>
    <n v="5"/>
    <n v="3"/>
  </r>
  <r>
    <n v="58"/>
    <x v="0"/>
    <x v="1"/>
    <n v="0"/>
    <s v="Research &amp; Development"/>
    <n v="1"/>
    <x v="1"/>
    <n v="3"/>
    <x v="3"/>
    <x v="7"/>
    <x v="2"/>
    <n v="15787"/>
    <x v="2"/>
    <s v="Yes"/>
    <n v="14"/>
    <n v="3"/>
    <n v="2"/>
    <n v="23"/>
    <n v="3"/>
    <n v="2"/>
    <n v="2"/>
  </r>
  <r>
    <n v="18"/>
    <x v="2"/>
    <x v="1"/>
    <n v="0"/>
    <s v="Research &amp; Development"/>
    <n v="2"/>
    <x v="0"/>
    <n v="3"/>
    <x v="1"/>
    <x v="1"/>
    <x v="2"/>
    <n v="1514"/>
    <x v="0"/>
    <s v="No"/>
    <n v="16"/>
    <n v="3"/>
    <n v="3"/>
    <n v="0"/>
    <n v="1"/>
    <n v="0"/>
    <n v="0"/>
  </r>
  <r>
    <n v="31"/>
    <x v="1"/>
    <x v="0"/>
    <n v="1"/>
    <s v="Human Resources"/>
    <n v="4"/>
    <x v="1"/>
    <n v="4"/>
    <x v="1"/>
    <x v="8"/>
    <x v="3"/>
    <n v="2956"/>
    <x v="0"/>
    <s v="No"/>
    <n v="17"/>
    <n v="3"/>
    <n v="3"/>
    <n v="2"/>
    <n v="3"/>
    <n v="1"/>
    <n v="0"/>
  </r>
  <r>
    <n v="29"/>
    <x v="2"/>
    <x v="0"/>
    <n v="1"/>
    <s v="Human Resources"/>
    <n v="1"/>
    <x v="1"/>
    <n v="2"/>
    <x v="1"/>
    <x v="8"/>
    <x v="3"/>
    <n v="2335"/>
    <x v="0"/>
    <s v="Yes"/>
    <n v="15"/>
    <n v="3"/>
    <n v="4"/>
    <n v="4"/>
    <n v="3"/>
    <n v="2"/>
    <n v="2"/>
  </r>
  <r>
    <n v="45"/>
    <x v="0"/>
    <x v="1"/>
    <n v="0"/>
    <s v="Sales"/>
    <n v="3"/>
    <x v="0"/>
    <n v="3"/>
    <x v="0"/>
    <x v="0"/>
    <x v="2"/>
    <n v="5154"/>
    <x v="0"/>
    <s v="No"/>
    <n v="22"/>
    <n v="4"/>
    <n v="2"/>
    <n v="10"/>
    <n v="4"/>
    <n v="8"/>
    <n v="7"/>
  </r>
  <r>
    <n v="36"/>
    <x v="1"/>
    <x v="1"/>
    <n v="0"/>
    <s v="Research &amp; Development"/>
    <n v="4"/>
    <x v="0"/>
    <n v="3"/>
    <x v="0"/>
    <x v="1"/>
    <x v="1"/>
    <n v="6962"/>
    <x v="0"/>
    <s v="Yes"/>
    <n v="22"/>
    <n v="4"/>
    <n v="4"/>
    <n v="15"/>
    <n v="3"/>
    <n v="1"/>
    <n v="0"/>
  </r>
  <r>
    <n v="43"/>
    <x v="0"/>
    <x v="1"/>
    <n v="0"/>
    <s v="Sales"/>
    <n v="1"/>
    <x v="1"/>
    <n v="3"/>
    <x v="0"/>
    <x v="0"/>
    <x v="0"/>
    <n v="5675"/>
    <x v="0"/>
    <s v="No"/>
    <n v="20"/>
    <n v="4"/>
    <n v="3"/>
    <n v="7"/>
    <n v="3"/>
    <n v="7"/>
    <n v="7"/>
  </r>
  <r>
    <n v="27"/>
    <x v="2"/>
    <x v="1"/>
    <n v="0"/>
    <s v="Research &amp; Development"/>
    <n v="4"/>
    <x v="0"/>
    <n v="3"/>
    <x v="1"/>
    <x v="2"/>
    <x v="0"/>
    <n v="2379"/>
    <x v="0"/>
    <s v="Yes"/>
    <n v="14"/>
    <n v="3"/>
    <n v="3"/>
    <n v="6"/>
    <n v="2"/>
    <n v="5"/>
    <n v="4"/>
  </r>
  <r>
    <n v="29"/>
    <x v="2"/>
    <x v="1"/>
    <n v="0"/>
    <s v="Research &amp; Development"/>
    <n v="4"/>
    <x v="1"/>
    <n v="3"/>
    <x v="1"/>
    <x v="2"/>
    <x v="0"/>
    <n v="3812"/>
    <x v="0"/>
    <s v="No"/>
    <n v="13"/>
    <n v="3"/>
    <n v="2"/>
    <n v="11"/>
    <n v="4"/>
    <n v="11"/>
    <n v="8"/>
  </r>
  <r>
    <n v="32"/>
    <x v="1"/>
    <x v="1"/>
    <n v="0"/>
    <s v="Sales"/>
    <n v="4"/>
    <x v="1"/>
    <n v="3"/>
    <x v="0"/>
    <x v="0"/>
    <x v="0"/>
    <n v="4648"/>
    <x v="0"/>
    <s v="No"/>
    <n v="13"/>
    <n v="3"/>
    <n v="3"/>
    <n v="4"/>
    <n v="4"/>
    <n v="0"/>
    <n v="0"/>
  </r>
  <r>
    <n v="42"/>
    <x v="0"/>
    <x v="1"/>
    <n v="0"/>
    <s v="Research &amp; Development"/>
    <n v="3"/>
    <x v="1"/>
    <n v="3"/>
    <x v="1"/>
    <x v="1"/>
    <x v="2"/>
    <n v="2936"/>
    <x v="0"/>
    <s v="No"/>
    <n v="22"/>
    <n v="4"/>
    <n v="2"/>
    <n v="10"/>
    <n v="2"/>
    <n v="6"/>
    <n v="3"/>
  </r>
  <r>
    <n v="47"/>
    <x v="0"/>
    <x v="1"/>
    <n v="0"/>
    <s v="Research &amp; Development"/>
    <n v="2"/>
    <x v="0"/>
    <n v="3"/>
    <x v="1"/>
    <x v="2"/>
    <x v="2"/>
    <n v="2105"/>
    <x v="0"/>
    <s v="No"/>
    <n v="12"/>
    <n v="3"/>
    <n v="3"/>
    <n v="7"/>
    <n v="3"/>
    <n v="2"/>
    <n v="2"/>
  </r>
  <r>
    <n v="46"/>
    <x v="0"/>
    <x v="1"/>
    <n v="0"/>
    <s v="Research &amp; Development"/>
    <n v="4"/>
    <x v="1"/>
    <n v="3"/>
    <x v="2"/>
    <x v="3"/>
    <x v="0"/>
    <n v="8578"/>
    <x v="1"/>
    <s v="No"/>
    <n v="14"/>
    <n v="3"/>
    <n v="3"/>
    <n v="12"/>
    <n v="2"/>
    <n v="9"/>
    <n v="8"/>
  </r>
  <r>
    <n v="28"/>
    <x v="2"/>
    <x v="1"/>
    <n v="0"/>
    <s v="Human Resources"/>
    <n v="3"/>
    <x v="1"/>
    <n v="3"/>
    <x v="1"/>
    <x v="8"/>
    <x v="0"/>
    <n v="2706"/>
    <x v="0"/>
    <s v="No"/>
    <n v="15"/>
    <n v="3"/>
    <n v="2"/>
    <n v="3"/>
    <n v="3"/>
    <n v="3"/>
    <n v="2"/>
  </r>
  <r>
    <n v="29"/>
    <x v="2"/>
    <x v="1"/>
    <n v="0"/>
    <s v="Research &amp; Development"/>
    <n v="4"/>
    <x v="1"/>
    <n v="1"/>
    <x v="0"/>
    <x v="4"/>
    <x v="2"/>
    <n v="6384"/>
    <x v="0"/>
    <s v="No"/>
    <n v="17"/>
    <n v="3"/>
    <n v="4"/>
    <n v="11"/>
    <n v="3"/>
    <n v="7"/>
    <n v="0"/>
  </r>
  <r>
    <n v="42"/>
    <x v="0"/>
    <x v="1"/>
    <n v="0"/>
    <s v="Research &amp; Development"/>
    <n v="4"/>
    <x v="1"/>
    <n v="3"/>
    <x v="1"/>
    <x v="2"/>
    <x v="2"/>
    <n v="3968"/>
    <x v="0"/>
    <s v="No"/>
    <n v="13"/>
    <n v="3"/>
    <n v="4"/>
    <n v="8"/>
    <n v="3"/>
    <n v="0"/>
    <n v="0"/>
  </r>
  <r>
    <n v="32"/>
    <x v="1"/>
    <x v="0"/>
    <n v="1"/>
    <s v="Sales"/>
    <n v="3"/>
    <x v="1"/>
    <n v="2"/>
    <x v="0"/>
    <x v="0"/>
    <x v="1"/>
    <n v="9907"/>
    <x v="1"/>
    <s v="Yes"/>
    <n v="12"/>
    <n v="3"/>
    <n v="3"/>
    <n v="7"/>
    <n v="2"/>
    <n v="2"/>
    <n v="2"/>
  </r>
  <r>
    <n v="46"/>
    <x v="0"/>
    <x v="1"/>
    <n v="0"/>
    <s v="Sales"/>
    <n v="1"/>
    <x v="0"/>
    <n v="4"/>
    <x v="3"/>
    <x v="0"/>
    <x v="3"/>
    <n v="13225"/>
    <x v="1"/>
    <s v="No"/>
    <n v="12"/>
    <n v="3"/>
    <n v="4"/>
    <n v="25"/>
    <n v="3"/>
    <n v="19"/>
    <n v="17"/>
  </r>
  <r>
    <n v="27"/>
    <x v="2"/>
    <x v="1"/>
    <n v="0"/>
    <s v="Sales"/>
    <n v="2"/>
    <x v="0"/>
    <n v="2"/>
    <x v="0"/>
    <x v="6"/>
    <x v="2"/>
    <n v="3540"/>
    <x v="0"/>
    <s v="No"/>
    <n v="21"/>
    <n v="4"/>
    <n v="4"/>
    <n v="9"/>
    <n v="3"/>
    <n v="9"/>
    <n v="8"/>
  </r>
  <r>
    <n v="29"/>
    <x v="2"/>
    <x v="1"/>
    <n v="0"/>
    <s v="Human Resources"/>
    <n v="4"/>
    <x v="1"/>
    <n v="2"/>
    <x v="1"/>
    <x v="8"/>
    <x v="1"/>
    <n v="2804"/>
    <x v="0"/>
    <s v="No"/>
    <n v="11"/>
    <n v="3"/>
    <n v="4"/>
    <n v="1"/>
    <n v="3"/>
    <n v="1"/>
    <n v="0"/>
  </r>
  <r>
    <n v="43"/>
    <x v="0"/>
    <x v="1"/>
    <n v="0"/>
    <s v="Research &amp; Development"/>
    <n v="1"/>
    <x v="0"/>
    <n v="2"/>
    <x v="4"/>
    <x v="5"/>
    <x v="2"/>
    <n v="19392"/>
    <x v="2"/>
    <s v="No"/>
    <n v="13"/>
    <n v="3"/>
    <n v="4"/>
    <n v="21"/>
    <n v="3"/>
    <n v="16"/>
    <n v="12"/>
  </r>
  <r>
    <n v="48"/>
    <x v="0"/>
    <x v="1"/>
    <n v="0"/>
    <s v="Research &amp; Development"/>
    <n v="4"/>
    <x v="1"/>
    <n v="2"/>
    <x v="4"/>
    <x v="7"/>
    <x v="1"/>
    <n v="19665"/>
    <x v="2"/>
    <s v="No"/>
    <n v="12"/>
    <n v="3"/>
    <n v="4"/>
    <n v="29"/>
    <n v="3"/>
    <n v="22"/>
    <n v="10"/>
  </r>
  <r>
    <n v="29"/>
    <x v="2"/>
    <x v="0"/>
    <n v="1"/>
    <s v="Research &amp; Development"/>
    <n v="4"/>
    <x v="1"/>
    <n v="2"/>
    <x v="1"/>
    <x v="1"/>
    <x v="0"/>
    <n v="2439"/>
    <x v="0"/>
    <s v="Yes"/>
    <n v="24"/>
    <n v="4"/>
    <n v="2"/>
    <n v="1"/>
    <n v="2"/>
    <n v="1"/>
    <n v="0"/>
  </r>
  <r>
    <n v="46"/>
    <x v="0"/>
    <x v="0"/>
    <n v="1"/>
    <s v="Sales"/>
    <n v="3"/>
    <x v="0"/>
    <n v="3"/>
    <x v="2"/>
    <x v="0"/>
    <x v="1"/>
    <n v="7314"/>
    <x v="1"/>
    <s v="No"/>
    <n v="21"/>
    <n v="4"/>
    <n v="3"/>
    <n v="14"/>
    <n v="3"/>
    <n v="8"/>
    <n v="7"/>
  </r>
  <r>
    <n v="27"/>
    <x v="2"/>
    <x v="1"/>
    <n v="0"/>
    <s v="Research &amp; Development"/>
    <n v="4"/>
    <x v="0"/>
    <n v="2"/>
    <x v="1"/>
    <x v="1"/>
    <x v="3"/>
    <n v="4774"/>
    <x v="0"/>
    <s v="No"/>
    <n v="19"/>
    <n v="3"/>
    <n v="4"/>
    <n v="8"/>
    <n v="2"/>
    <n v="7"/>
    <n v="6"/>
  </r>
  <r>
    <n v="39"/>
    <x v="1"/>
    <x v="1"/>
    <n v="0"/>
    <s v="Research &amp; Development"/>
    <n v="4"/>
    <x v="1"/>
    <n v="3"/>
    <x v="0"/>
    <x v="1"/>
    <x v="0"/>
    <n v="3902"/>
    <x v="0"/>
    <s v="No"/>
    <n v="14"/>
    <n v="3"/>
    <n v="2"/>
    <n v="7"/>
    <n v="3"/>
    <n v="2"/>
    <n v="2"/>
  </r>
  <r>
    <n v="55"/>
    <x v="0"/>
    <x v="1"/>
    <n v="0"/>
    <s v="Research &amp; Development"/>
    <n v="2"/>
    <x v="1"/>
    <n v="2"/>
    <x v="1"/>
    <x v="1"/>
    <x v="0"/>
    <n v="2662"/>
    <x v="0"/>
    <s v="No"/>
    <n v="20"/>
    <n v="4"/>
    <n v="2"/>
    <n v="19"/>
    <n v="4"/>
    <n v="5"/>
    <n v="2"/>
  </r>
  <r>
    <n v="28"/>
    <x v="2"/>
    <x v="1"/>
    <n v="0"/>
    <s v="Sales"/>
    <n v="2"/>
    <x v="0"/>
    <n v="3"/>
    <x v="1"/>
    <x v="6"/>
    <x v="1"/>
    <n v="2856"/>
    <x v="0"/>
    <s v="No"/>
    <n v="19"/>
    <n v="3"/>
    <n v="4"/>
    <n v="1"/>
    <n v="3"/>
    <n v="1"/>
    <n v="0"/>
  </r>
  <r>
    <n v="30"/>
    <x v="2"/>
    <x v="0"/>
    <n v="1"/>
    <s v="Sales"/>
    <n v="2"/>
    <x v="1"/>
    <n v="3"/>
    <x v="1"/>
    <x v="6"/>
    <x v="0"/>
    <n v="1081"/>
    <x v="0"/>
    <s v="No"/>
    <n v="13"/>
    <n v="3"/>
    <n v="3"/>
    <n v="1"/>
    <n v="2"/>
    <n v="1"/>
    <n v="0"/>
  </r>
  <r>
    <n v="22"/>
    <x v="2"/>
    <x v="0"/>
    <n v="1"/>
    <s v="Research &amp; Development"/>
    <n v="4"/>
    <x v="1"/>
    <n v="3"/>
    <x v="1"/>
    <x v="1"/>
    <x v="1"/>
    <n v="2472"/>
    <x v="0"/>
    <s v="Yes"/>
    <n v="23"/>
    <n v="4"/>
    <n v="1"/>
    <n v="1"/>
    <n v="3"/>
    <n v="1"/>
    <n v="0"/>
  </r>
  <r>
    <n v="36"/>
    <x v="1"/>
    <x v="1"/>
    <n v="0"/>
    <s v="Sales"/>
    <n v="2"/>
    <x v="0"/>
    <n v="2"/>
    <x v="0"/>
    <x v="0"/>
    <x v="2"/>
    <n v="5673"/>
    <x v="0"/>
    <s v="Yes"/>
    <n v="13"/>
    <n v="3"/>
    <n v="1"/>
    <n v="10"/>
    <n v="3"/>
    <n v="10"/>
    <n v="9"/>
  </r>
  <r>
    <n v="31"/>
    <x v="1"/>
    <x v="1"/>
    <n v="0"/>
    <s v="Research &amp; Development"/>
    <n v="2"/>
    <x v="1"/>
    <n v="3"/>
    <x v="0"/>
    <x v="2"/>
    <x v="2"/>
    <n v="4197"/>
    <x v="0"/>
    <s v="No"/>
    <n v="11"/>
    <n v="3"/>
    <n v="1"/>
    <n v="10"/>
    <n v="3"/>
    <n v="10"/>
    <n v="8"/>
  </r>
  <r>
    <n v="34"/>
    <x v="1"/>
    <x v="1"/>
    <n v="0"/>
    <s v="Sales"/>
    <n v="3"/>
    <x v="1"/>
    <n v="3"/>
    <x v="2"/>
    <x v="0"/>
    <x v="0"/>
    <n v="9713"/>
    <x v="1"/>
    <s v="Yes"/>
    <n v="13"/>
    <n v="3"/>
    <n v="4"/>
    <n v="9"/>
    <n v="3"/>
    <n v="5"/>
    <n v="3"/>
  </r>
  <r>
    <n v="29"/>
    <x v="2"/>
    <x v="1"/>
    <n v="0"/>
    <s v="Research &amp; Development"/>
    <n v="4"/>
    <x v="1"/>
    <n v="3"/>
    <x v="1"/>
    <x v="2"/>
    <x v="3"/>
    <n v="2062"/>
    <x v="0"/>
    <s v="No"/>
    <n v="14"/>
    <n v="3"/>
    <n v="2"/>
    <n v="11"/>
    <n v="3"/>
    <n v="3"/>
    <n v="2"/>
  </r>
  <r>
    <n v="37"/>
    <x v="1"/>
    <x v="1"/>
    <n v="0"/>
    <s v="Research &amp; Development"/>
    <n v="4"/>
    <x v="1"/>
    <n v="3"/>
    <x v="0"/>
    <x v="1"/>
    <x v="3"/>
    <n v="4284"/>
    <x v="0"/>
    <s v="Yes"/>
    <n v="22"/>
    <n v="4"/>
    <n v="3"/>
    <n v="16"/>
    <n v="3"/>
    <n v="5"/>
    <n v="3"/>
  </r>
  <r>
    <n v="35"/>
    <x v="1"/>
    <x v="1"/>
    <n v="0"/>
    <s v="Research &amp; Development"/>
    <n v="4"/>
    <x v="0"/>
    <n v="2"/>
    <x v="0"/>
    <x v="3"/>
    <x v="1"/>
    <n v="4788"/>
    <x v="0"/>
    <s v="Yes"/>
    <n v="11"/>
    <n v="3"/>
    <n v="4"/>
    <n v="4"/>
    <n v="3"/>
    <n v="3"/>
    <n v="2"/>
  </r>
  <r>
    <n v="45"/>
    <x v="0"/>
    <x v="1"/>
    <n v="0"/>
    <s v="Research &amp; Development"/>
    <n v="2"/>
    <x v="0"/>
    <n v="2"/>
    <x v="0"/>
    <x v="3"/>
    <x v="0"/>
    <n v="5906"/>
    <x v="0"/>
    <s v="No"/>
    <n v="13"/>
    <n v="3"/>
    <n v="4"/>
    <n v="10"/>
    <n v="2"/>
    <n v="9"/>
    <n v="8"/>
  </r>
  <r>
    <n v="36"/>
    <x v="1"/>
    <x v="1"/>
    <n v="0"/>
    <s v="Human Resources"/>
    <n v="2"/>
    <x v="1"/>
    <n v="2"/>
    <x v="0"/>
    <x v="8"/>
    <x v="0"/>
    <n v="3886"/>
    <x v="0"/>
    <s v="No"/>
    <n v="21"/>
    <n v="4"/>
    <n v="4"/>
    <n v="10"/>
    <n v="2"/>
    <n v="10"/>
    <n v="1"/>
  </r>
  <r>
    <n v="40"/>
    <x v="1"/>
    <x v="1"/>
    <n v="0"/>
    <s v="Research &amp; Development"/>
    <n v="1"/>
    <x v="1"/>
    <n v="3"/>
    <x v="3"/>
    <x v="5"/>
    <x v="3"/>
    <n v="16823"/>
    <x v="2"/>
    <s v="No"/>
    <n v="11"/>
    <n v="3"/>
    <n v="1"/>
    <n v="22"/>
    <n v="3"/>
    <n v="19"/>
    <n v="7"/>
  </r>
  <r>
    <n v="26"/>
    <x v="2"/>
    <x v="1"/>
    <n v="0"/>
    <s v="Research &amp; Development"/>
    <n v="2"/>
    <x v="0"/>
    <n v="2"/>
    <x v="1"/>
    <x v="1"/>
    <x v="2"/>
    <n v="2933"/>
    <x v="0"/>
    <s v="Yes"/>
    <n v="13"/>
    <n v="3"/>
    <n v="3"/>
    <n v="1"/>
    <n v="2"/>
    <n v="1"/>
    <n v="0"/>
  </r>
  <r>
    <n v="27"/>
    <x v="2"/>
    <x v="1"/>
    <n v="0"/>
    <s v="Sales"/>
    <n v="1"/>
    <x v="0"/>
    <n v="4"/>
    <x v="0"/>
    <x v="0"/>
    <x v="2"/>
    <n v="6500"/>
    <x v="0"/>
    <s v="No"/>
    <n v="14"/>
    <n v="3"/>
    <n v="2"/>
    <n v="9"/>
    <n v="2"/>
    <n v="8"/>
    <n v="7"/>
  </r>
  <r>
    <n v="48"/>
    <x v="0"/>
    <x v="1"/>
    <n v="0"/>
    <s v="Research &amp; Development"/>
    <n v="4"/>
    <x v="0"/>
    <n v="3"/>
    <x v="3"/>
    <x v="5"/>
    <x v="0"/>
    <n v="17174"/>
    <x v="2"/>
    <s v="No"/>
    <n v="11"/>
    <n v="3"/>
    <n v="2"/>
    <n v="24"/>
    <n v="3"/>
    <n v="22"/>
    <n v="17"/>
  </r>
  <r>
    <n v="44"/>
    <x v="0"/>
    <x v="1"/>
    <n v="0"/>
    <s v="Research &amp; Development"/>
    <n v="2"/>
    <x v="1"/>
    <n v="4"/>
    <x v="0"/>
    <x v="4"/>
    <x v="3"/>
    <n v="5033"/>
    <x v="0"/>
    <s v="No"/>
    <n v="15"/>
    <n v="3"/>
    <n v="4"/>
    <n v="10"/>
    <n v="3"/>
    <n v="2"/>
    <n v="0"/>
  </r>
  <r>
    <n v="34"/>
    <x v="1"/>
    <x v="0"/>
    <n v="1"/>
    <s v="Research &amp; Development"/>
    <n v="4"/>
    <x v="1"/>
    <n v="1"/>
    <x v="1"/>
    <x v="1"/>
    <x v="3"/>
    <n v="2307"/>
    <x v="0"/>
    <s v="Yes"/>
    <n v="23"/>
    <n v="4"/>
    <n v="2"/>
    <n v="5"/>
    <n v="3"/>
    <n v="5"/>
    <n v="2"/>
  </r>
  <r>
    <n v="56"/>
    <x v="0"/>
    <x v="0"/>
    <n v="1"/>
    <s v="Research &amp; Development"/>
    <n v="1"/>
    <x v="1"/>
    <n v="3"/>
    <x v="1"/>
    <x v="2"/>
    <x v="0"/>
    <n v="2587"/>
    <x v="0"/>
    <s v="No"/>
    <n v="16"/>
    <n v="3"/>
    <n v="4"/>
    <n v="5"/>
    <n v="3"/>
    <n v="4"/>
    <n v="2"/>
  </r>
  <r>
    <n v="36"/>
    <x v="1"/>
    <x v="1"/>
    <n v="0"/>
    <s v="Sales"/>
    <n v="3"/>
    <x v="1"/>
    <n v="2"/>
    <x v="0"/>
    <x v="0"/>
    <x v="1"/>
    <n v="5507"/>
    <x v="0"/>
    <s v="No"/>
    <n v="16"/>
    <n v="3"/>
    <n v="3"/>
    <n v="12"/>
    <n v="1"/>
    <n v="4"/>
    <n v="2"/>
  </r>
  <r>
    <n v="41"/>
    <x v="0"/>
    <x v="1"/>
    <n v="0"/>
    <s v="Sales"/>
    <n v="3"/>
    <x v="0"/>
    <n v="3"/>
    <x v="0"/>
    <x v="0"/>
    <x v="1"/>
    <n v="4393"/>
    <x v="0"/>
    <s v="No"/>
    <n v="21"/>
    <n v="4"/>
    <n v="3"/>
    <n v="14"/>
    <n v="3"/>
    <n v="5"/>
    <n v="4"/>
  </r>
  <r>
    <n v="42"/>
    <x v="0"/>
    <x v="1"/>
    <n v="0"/>
    <s v="Research &amp; Development"/>
    <n v="3"/>
    <x v="1"/>
    <n v="3"/>
    <x v="2"/>
    <x v="7"/>
    <x v="3"/>
    <n v="13348"/>
    <x v="1"/>
    <s v="No"/>
    <n v="13"/>
    <n v="3"/>
    <n v="2"/>
    <n v="18"/>
    <n v="4"/>
    <n v="13"/>
    <n v="7"/>
  </r>
  <r>
    <n v="31"/>
    <x v="1"/>
    <x v="1"/>
    <n v="0"/>
    <s v="Sales"/>
    <n v="3"/>
    <x v="0"/>
    <n v="3"/>
    <x v="0"/>
    <x v="0"/>
    <x v="0"/>
    <n v="6583"/>
    <x v="0"/>
    <s v="Yes"/>
    <n v="11"/>
    <n v="3"/>
    <n v="4"/>
    <n v="8"/>
    <n v="3"/>
    <n v="5"/>
    <n v="2"/>
  </r>
  <r>
    <n v="34"/>
    <x v="1"/>
    <x v="1"/>
    <n v="0"/>
    <s v="Sales"/>
    <n v="4"/>
    <x v="0"/>
    <n v="2"/>
    <x v="0"/>
    <x v="0"/>
    <x v="0"/>
    <n v="8103"/>
    <x v="1"/>
    <s v="Yes"/>
    <n v="12"/>
    <n v="3"/>
    <n v="3"/>
    <n v="9"/>
    <n v="2"/>
    <n v="4"/>
    <n v="2"/>
  </r>
  <r>
    <n v="31"/>
    <x v="1"/>
    <x v="1"/>
    <n v="0"/>
    <s v="Research &amp; Development"/>
    <n v="1"/>
    <x v="0"/>
    <n v="4"/>
    <x v="1"/>
    <x v="2"/>
    <x v="2"/>
    <n v="3978"/>
    <x v="0"/>
    <s v="No"/>
    <n v="12"/>
    <n v="3"/>
    <n v="2"/>
    <n v="4"/>
    <n v="2"/>
    <n v="2"/>
    <n v="2"/>
  </r>
  <r>
    <n v="26"/>
    <x v="2"/>
    <x v="1"/>
    <n v="0"/>
    <s v="Research &amp; Development"/>
    <n v="3"/>
    <x v="1"/>
    <n v="4"/>
    <x v="1"/>
    <x v="2"/>
    <x v="0"/>
    <n v="2544"/>
    <x v="0"/>
    <s v="No"/>
    <n v="18"/>
    <n v="3"/>
    <n v="1"/>
    <n v="8"/>
    <n v="3"/>
    <n v="7"/>
    <n v="7"/>
  </r>
  <r>
    <n v="45"/>
    <x v="0"/>
    <x v="1"/>
    <n v="0"/>
    <s v="Research &amp; Development"/>
    <n v="2"/>
    <x v="1"/>
    <n v="3"/>
    <x v="0"/>
    <x v="4"/>
    <x v="2"/>
    <n v="5399"/>
    <x v="0"/>
    <s v="No"/>
    <n v="12"/>
    <n v="3"/>
    <n v="3"/>
    <n v="12"/>
    <n v="3"/>
    <n v="4"/>
    <n v="2"/>
  </r>
  <r>
    <n v="33"/>
    <x v="1"/>
    <x v="1"/>
    <n v="0"/>
    <s v="Sales"/>
    <n v="2"/>
    <x v="1"/>
    <n v="3"/>
    <x v="0"/>
    <x v="0"/>
    <x v="2"/>
    <n v="5487"/>
    <x v="0"/>
    <s v="No"/>
    <n v="14"/>
    <n v="3"/>
    <n v="2"/>
    <n v="10"/>
    <n v="2"/>
    <n v="10"/>
    <n v="4"/>
  </r>
  <r>
    <n v="28"/>
    <x v="2"/>
    <x v="1"/>
    <n v="0"/>
    <s v="Sales"/>
    <n v="3"/>
    <x v="1"/>
    <n v="2"/>
    <x v="0"/>
    <x v="0"/>
    <x v="0"/>
    <n v="6834"/>
    <x v="0"/>
    <s v="Yes"/>
    <n v="12"/>
    <n v="3"/>
    <n v="3"/>
    <n v="7"/>
    <n v="3"/>
    <n v="7"/>
    <n v="7"/>
  </r>
  <r>
    <n v="29"/>
    <x v="2"/>
    <x v="0"/>
    <n v="1"/>
    <s v="Sales"/>
    <n v="3"/>
    <x v="1"/>
    <n v="4"/>
    <x v="1"/>
    <x v="6"/>
    <x v="3"/>
    <n v="1091"/>
    <x v="0"/>
    <s v="No"/>
    <n v="17"/>
    <n v="3"/>
    <n v="4"/>
    <n v="1"/>
    <n v="3"/>
    <n v="1"/>
    <n v="0"/>
  </r>
  <r>
    <n v="39"/>
    <x v="1"/>
    <x v="1"/>
    <n v="0"/>
    <s v="Sales"/>
    <n v="1"/>
    <x v="0"/>
    <n v="1"/>
    <x v="0"/>
    <x v="0"/>
    <x v="2"/>
    <n v="5736"/>
    <x v="0"/>
    <s v="No"/>
    <n v="19"/>
    <n v="3"/>
    <n v="3"/>
    <n v="10"/>
    <n v="3"/>
    <n v="3"/>
    <n v="2"/>
  </r>
  <r>
    <n v="27"/>
    <x v="2"/>
    <x v="1"/>
    <n v="0"/>
    <s v="Research &amp; Development"/>
    <n v="2"/>
    <x v="1"/>
    <n v="3"/>
    <x v="1"/>
    <x v="1"/>
    <x v="1"/>
    <n v="2226"/>
    <x v="0"/>
    <s v="No"/>
    <n v="11"/>
    <n v="3"/>
    <n v="3"/>
    <n v="6"/>
    <n v="2"/>
    <n v="5"/>
    <n v="3"/>
  </r>
  <r>
    <n v="34"/>
    <x v="1"/>
    <x v="1"/>
    <n v="0"/>
    <s v="Research &amp; Development"/>
    <n v="3"/>
    <x v="1"/>
    <n v="2"/>
    <x v="0"/>
    <x v="1"/>
    <x v="0"/>
    <n v="5747"/>
    <x v="0"/>
    <s v="Yes"/>
    <n v="15"/>
    <n v="3"/>
    <n v="2"/>
    <n v="16"/>
    <n v="3"/>
    <n v="15"/>
    <n v="10"/>
  </r>
  <r>
    <n v="28"/>
    <x v="2"/>
    <x v="0"/>
    <n v="1"/>
    <s v="Sales"/>
    <n v="4"/>
    <x v="0"/>
    <n v="3"/>
    <x v="0"/>
    <x v="0"/>
    <x v="2"/>
    <n v="9854"/>
    <x v="1"/>
    <s v="Yes"/>
    <n v="11"/>
    <n v="3"/>
    <n v="4"/>
    <n v="6"/>
    <n v="3"/>
    <n v="2"/>
    <n v="0"/>
  </r>
  <r>
    <n v="47"/>
    <x v="0"/>
    <x v="1"/>
    <n v="0"/>
    <s v="Research &amp; Development"/>
    <n v="3"/>
    <x v="1"/>
    <n v="3"/>
    <x v="0"/>
    <x v="1"/>
    <x v="1"/>
    <n v="5467"/>
    <x v="0"/>
    <s v="No"/>
    <n v="18"/>
    <n v="3"/>
    <n v="3"/>
    <n v="16"/>
    <n v="4"/>
    <n v="8"/>
    <n v="7"/>
  </r>
  <r>
    <n v="56"/>
    <x v="0"/>
    <x v="1"/>
    <n v="0"/>
    <s v="Sales"/>
    <n v="4"/>
    <x v="0"/>
    <n v="2"/>
    <x v="0"/>
    <x v="0"/>
    <x v="3"/>
    <n v="5380"/>
    <x v="0"/>
    <s v="No"/>
    <n v="16"/>
    <n v="3"/>
    <n v="3"/>
    <n v="6"/>
    <n v="3"/>
    <n v="0"/>
    <n v="0"/>
  </r>
  <r>
    <n v="39"/>
    <x v="1"/>
    <x v="1"/>
    <n v="0"/>
    <s v="Research &amp; Development"/>
    <n v="1"/>
    <x v="1"/>
    <n v="3"/>
    <x v="0"/>
    <x v="3"/>
    <x v="3"/>
    <n v="5151"/>
    <x v="0"/>
    <s v="No"/>
    <n v="25"/>
    <n v="4"/>
    <n v="4"/>
    <n v="10"/>
    <n v="3"/>
    <n v="10"/>
    <n v="0"/>
  </r>
  <r>
    <n v="38"/>
    <x v="1"/>
    <x v="1"/>
    <n v="0"/>
    <s v="Research &amp; Development"/>
    <n v="4"/>
    <x v="0"/>
    <n v="2"/>
    <x v="0"/>
    <x v="1"/>
    <x v="1"/>
    <n v="2133"/>
    <x v="0"/>
    <s v="Yes"/>
    <n v="16"/>
    <n v="3"/>
    <n v="3"/>
    <n v="20"/>
    <n v="3"/>
    <n v="20"/>
    <n v="11"/>
  </r>
  <r>
    <n v="58"/>
    <x v="0"/>
    <x v="1"/>
    <n v="0"/>
    <s v="Sales"/>
    <n v="4"/>
    <x v="0"/>
    <n v="3"/>
    <x v="3"/>
    <x v="5"/>
    <x v="0"/>
    <n v="17875"/>
    <x v="2"/>
    <s v="Yes"/>
    <n v="13"/>
    <n v="3"/>
    <n v="3"/>
    <n v="29"/>
    <n v="2"/>
    <n v="1"/>
    <n v="0"/>
  </r>
  <r>
    <n v="32"/>
    <x v="1"/>
    <x v="0"/>
    <n v="1"/>
    <s v="Research &amp; Development"/>
    <n v="1"/>
    <x v="0"/>
    <n v="4"/>
    <x v="1"/>
    <x v="1"/>
    <x v="2"/>
    <n v="2432"/>
    <x v="0"/>
    <s v="Yes"/>
    <n v="14"/>
    <n v="3"/>
    <n v="1"/>
    <n v="8"/>
    <n v="3"/>
    <n v="4"/>
    <n v="1"/>
  </r>
  <r>
    <n v="38"/>
    <x v="1"/>
    <x v="1"/>
    <n v="0"/>
    <s v="Research &amp; Development"/>
    <n v="2"/>
    <x v="1"/>
    <n v="3"/>
    <x v="1"/>
    <x v="1"/>
    <x v="0"/>
    <n v="4771"/>
    <x v="0"/>
    <s v="No"/>
    <n v="19"/>
    <n v="3"/>
    <n v="4"/>
    <n v="10"/>
    <n v="4"/>
    <n v="5"/>
    <n v="2"/>
  </r>
  <r>
    <n v="49"/>
    <x v="0"/>
    <x v="1"/>
    <n v="0"/>
    <s v="Research &amp; Development"/>
    <n v="2"/>
    <x v="1"/>
    <n v="3"/>
    <x v="4"/>
    <x v="7"/>
    <x v="0"/>
    <n v="19161"/>
    <x v="2"/>
    <s v="No"/>
    <n v="15"/>
    <n v="3"/>
    <n v="4"/>
    <n v="28"/>
    <n v="3"/>
    <n v="5"/>
    <n v="4"/>
  </r>
  <r>
    <n v="42"/>
    <x v="0"/>
    <x v="1"/>
    <n v="0"/>
    <s v="Sales"/>
    <n v="2"/>
    <x v="1"/>
    <n v="3"/>
    <x v="0"/>
    <x v="0"/>
    <x v="0"/>
    <n v="5087"/>
    <x v="0"/>
    <s v="Yes"/>
    <n v="12"/>
    <n v="3"/>
    <n v="3"/>
    <n v="14"/>
    <n v="3"/>
    <n v="0"/>
    <n v="0"/>
  </r>
  <r>
    <n v="27"/>
    <x v="2"/>
    <x v="0"/>
    <n v="1"/>
    <s v="Human Resources"/>
    <n v="1"/>
    <x v="0"/>
    <n v="2"/>
    <x v="1"/>
    <x v="8"/>
    <x v="1"/>
    <n v="2863"/>
    <x v="0"/>
    <s v="No"/>
    <n v="12"/>
    <n v="3"/>
    <n v="1"/>
    <n v="1"/>
    <n v="3"/>
    <n v="1"/>
    <n v="0"/>
  </r>
  <r>
    <n v="35"/>
    <x v="1"/>
    <x v="1"/>
    <n v="0"/>
    <s v="Sales"/>
    <n v="2"/>
    <x v="1"/>
    <n v="3"/>
    <x v="0"/>
    <x v="0"/>
    <x v="3"/>
    <n v="5561"/>
    <x v="0"/>
    <s v="No"/>
    <n v="16"/>
    <n v="3"/>
    <n v="4"/>
    <n v="6"/>
    <n v="1"/>
    <n v="5"/>
    <n v="3"/>
  </r>
  <r>
    <n v="28"/>
    <x v="2"/>
    <x v="1"/>
    <n v="0"/>
    <s v="Research &amp; Development"/>
    <n v="3"/>
    <x v="1"/>
    <n v="3"/>
    <x v="1"/>
    <x v="1"/>
    <x v="2"/>
    <n v="2144"/>
    <x v="0"/>
    <s v="No"/>
    <n v="14"/>
    <n v="3"/>
    <n v="3"/>
    <n v="5"/>
    <n v="2"/>
    <n v="5"/>
    <n v="3"/>
  </r>
  <r>
    <n v="31"/>
    <x v="1"/>
    <x v="1"/>
    <n v="0"/>
    <s v="Research &amp; Development"/>
    <n v="3"/>
    <x v="1"/>
    <n v="3"/>
    <x v="1"/>
    <x v="1"/>
    <x v="3"/>
    <n v="3065"/>
    <x v="0"/>
    <s v="Yes"/>
    <n v="13"/>
    <n v="3"/>
    <n v="4"/>
    <n v="4"/>
    <n v="4"/>
    <n v="4"/>
    <n v="2"/>
  </r>
  <r>
    <n v="36"/>
    <x v="1"/>
    <x v="1"/>
    <n v="0"/>
    <s v="Research &amp; Development"/>
    <n v="1"/>
    <x v="1"/>
    <n v="4"/>
    <x v="1"/>
    <x v="2"/>
    <x v="1"/>
    <n v="2810"/>
    <x v="0"/>
    <s v="No"/>
    <n v="22"/>
    <n v="4"/>
    <n v="2"/>
    <n v="5"/>
    <n v="3"/>
    <n v="5"/>
    <n v="4"/>
  </r>
  <r>
    <n v="34"/>
    <x v="1"/>
    <x v="1"/>
    <n v="0"/>
    <s v="Sales"/>
    <n v="1"/>
    <x v="1"/>
    <n v="3"/>
    <x v="2"/>
    <x v="0"/>
    <x v="0"/>
    <n v="9888"/>
    <x v="1"/>
    <s v="No"/>
    <n v="21"/>
    <n v="4"/>
    <n v="1"/>
    <n v="14"/>
    <n v="2"/>
    <n v="14"/>
    <n v="8"/>
  </r>
  <r>
    <n v="34"/>
    <x v="1"/>
    <x v="1"/>
    <n v="0"/>
    <s v="Sales"/>
    <n v="4"/>
    <x v="1"/>
    <n v="3"/>
    <x v="2"/>
    <x v="0"/>
    <x v="2"/>
    <n v="8628"/>
    <x v="1"/>
    <s v="No"/>
    <n v="18"/>
    <n v="3"/>
    <n v="3"/>
    <n v="9"/>
    <n v="2"/>
    <n v="8"/>
    <n v="7"/>
  </r>
  <r>
    <n v="26"/>
    <x v="2"/>
    <x v="1"/>
    <n v="0"/>
    <s v="Research &amp; Development"/>
    <n v="3"/>
    <x v="1"/>
    <n v="3"/>
    <x v="1"/>
    <x v="2"/>
    <x v="3"/>
    <n v="2867"/>
    <x v="0"/>
    <s v="No"/>
    <n v="13"/>
    <n v="3"/>
    <n v="4"/>
    <n v="8"/>
    <n v="2"/>
    <n v="7"/>
    <n v="7"/>
  </r>
  <r>
    <n v="29"/>
    <x v="2"/>
    <x v="1"/>
    <n v="0"/>
    <s v="Research &amp; Development"/>
    <n v="1"/>
    <x v="1"/>
    <n v="3"/>
    <x v="0"/>
    <x v="4"/>
    <x v="3"/>
    <n v="5373"/>
    <x v="0"/>
    <s v="No"/>
    <n v="12"/>
    <n v="3"/>
    <n v="1"/>
    <n v="6"/>
    <n v="2"/>
    <n v="5"/>
    <n v="3"/>
  </r>
  <r>
    <n v="32"/>
    <x v="1"/>
    <x v="1"/>
    <n v="0"/>
    <s v="Research &amp; Development"/>
    <n v="3"/>
    <x v="0"/>
    <n v="3"/>
    <x v="0"/>
    <x v="4"/>
    <x v="0"/>
    <n v="6667"/>
    <x v="0"/>
    <s v="No"/>
    <n v="18"/>
    <n v="3"/>
    <n v="2"/>
    <n v="9"/>
    <n v="3"/>
    <n v="5"/>
    <n v="1"/>
  </r>
  <r>
    <n v="31"/>
    <x v="1"/>
    <x v="1"/>
    <n v="0"/>
    <s v="Research &amp; Development"/>
    <n v="4"/>
    <x v="1"/>
    <n v="1"/>
    <x v="0"/>
    <x v="1"/>
    <x v="3"/>
    <n v="5003"/>
    <x v="0"/>
    <s v="No"/>
    <n v="21"/>
    <n v="4"/>
    <n v="2"/>
    <n v="10"/>
    <n v="3"/>
    <n v="10"/>
    <n v="8"/>
  </r>
  <r>
    <n v="28"/>
    <x v="2"/>
    <x v="0"/>
    <n v="1"/>
    <s v="Research &amp; Development"/>
    <n v="3"/>
    <x v="1"/>
    <n v="2"/>
    <x v="1"/>
    <x v="2"/>
    <x v="0"/>
    <n v="2367"/>
    <x v="0"/>
    <s v="No"/>
    <n v="12"/>
    <n v="3"/>
    <n v="1"/>
    <n v="6"/>
    <n v="2"/>
    <n v="4"/>
    <n v="1"/>
  </r>
  <r>
    <n v="38"/>
    <x v="1"/>
    <x v="1"/>
    <n v="0"/>
    <s v="Sales"/>
    <n v="1"/>
    <x v="1"/>
    <n v="2"/>
    <x v="1"/>
    <x v="6"/>
    <x v="3"/>
    <n v="2858"/>
    <x v="0"/>
    <s v="No"/>
    <n v="14"/>
    <n v="3"/>
    <n v="1"/>
    <n v="20"/>
    <n v="2"/>
    <n v="1"/>
    <n v="0"/>
  </r>
  <r>
    <n v="35"/>
    <x v="1"/>
    <x v="1"/>
    <n v="0"/>
    <s v="Sales"/>
    <n v="3"/>
    <x v="0"/>
    <n v="3"/>
    <x v="0"/>
    <x v="0"/>
    <x v="0"/>
    <n v="5204"/>
    <x v="0"/>
    <s v="Yes"/>
    <n v="11"/>
    <n v="3"/>
    <n v="4"/>
    <n v="10"/>
    <n v="3"/>
    <n v="10"/>
    <n v="8"/>
  </r>
  <r>
    <n v="27"/>
    <x v="2"/>
    <x v="1"/>
    <n v="0"/>
    <s v="Sales"/>
    <n v="4"/>
    <x v="1"/>
    <n v="3"/>
    <x v="0"/>
    <x v="0"/>
    <x v="0"/>
    <n v="4105"/>
    <x v="0"/>
    <s v="No"/>
    <n v="14"/>
    <n v="3"/>
    <n v="1"/>
    <n v="7"/>
    <n v="3"/>
    <n v="7"/>
    <n v="7"/>
  </r>
  <r>
    <n v="32"/>
    <x v="1"/>
    <x v="1"/>
    <n v="0"/>
    <s v="Research &amp; Development"/>
    <n v="4"/>
    <x v="1"/>
    <n v="2"/>
    <x v="0"/>
    <x v="3"/>
    <x v="0"/>
    <n v="9679"/>
    <x v="1"/>
    <s v="No"/>
    <n v="24"/>
    <n v="4"/>
    <n v="2"/>
    <n v="8"/>
    <n v="3"/>
    <n v="1"/>
    <n v="0"/>
  </r>
  <r>
    <n v="31"/>
    <x v="1"/>
    <x v="0"/>
    <n v="1"/>
    <s v="Sales"/>
    <n v="1"/>
    <x v="1"/>
    <n v="3"/>
    <x v="0"/>
    <x v="0"/>
    <x v="0"/>
    <n v="5617"/>
    <x v="0"/>
    <s v="Yes"/>
    <n v="11"/>
    <n v="3"/>
    <n v="3"/>
    <n v="10"/>
    <n v="3"/>
    <n v="10"/>
    <n v="7"/>
  </r>
  <r>
    <n v="53"/>
    <x v="0"/>
    <x v="0"/>
    <n v="1"/>
    <s v="Sales"/>
    <n v="1"/>
    <x v="1"/>
    <n v="3"/>
    <x v="2"/>
    <x v="0"/>
    <x v="3"/>
    <n v="10448"/>
    <x v="1"/>
    <s v="Yes"/>
    <n v="13"/>
    <n v="3"/>
    <n v="2"/>
    <n v="15"/>
    <n v="2"/>
    <n v="2"/>
    <n v="2"/>
  </r>
  <r>
    <n v="54"/>
    <x v="0"/>
    <x v="1"/>
    <n v="0"/>
    <s v="Research &amp; Development"/>
    <n v="1"/>
    <x v="0"/>
    <n v="3"/>
    <x v="0"/>
    <x v="1"/>
    <x v="2"/>
    <n v="2897"/>
    <x v="0"/>
    <s v="No"/>
    <n v="11"/>
    <n v="3"/>
    <n v="3"/>
    <n v="9"/>
    <n v="2"/>
    <n v="4"/>
    <n v="3"/>
  </r>
  <r>
    <n v="33"/>
    <x v="1"/>
    <x v="1"/>
    <n v="0"/>
    <s v="Research &amp; Development"/>
    <n v="4"/>
    <x v="1"/>
    <n v="3"/>
    <x v="0"/>
    <x v="4"/>
    <x v="2"/>
    <n v="5968"/>
    <x v="0"/>
    <s v="No"/>
    <n v="20"/>
    <n v="4"/>
    <n v="3"/>
    <n v="9"/>
    <n v="3"/>
    <n v="9"/>
    <n v="7"/>
  </r>
  <r>
    <n v="43"/>
    <x v="0"/>
    <x v="1"/>
    <n v="0"/>
    <s v="Research &amp; Development"/>
    <n v="1"/>
    <x v="1"/>
    <n v="3"/>
    <x v="2"/>
    <x v="4"/>
    <x v="2"/>
    <n v="7510"/>
    <x v="1"/>
    <s v="No"/>
    <n v="17"/>
    <n v="3"/>
    <n v="2"/>
    <n v="10"/>
    <n v="3"/>
    <n v="10"/>
    <n v="9"/>
  </r>
  <r>
    <n v="38"/>
    <x v="1"/>
    <x v="1"/>
    <n v="0"/>
    <s v="Human Resources"/>
    <n v="4"/>
    <x v="1"/>
    <n v="3"/>
    <x v="1"/>
    <x v="8"/>
    <x v="1"/>
    <n v="2991"/>
    <x v="0"/>
    <s v="Yes"/>
    <n v="11"/>
    <n v="3"/>
    <n v="2"/>
    <n v="7"/>
    <n v="3"/>
    <n v="6"/>
    <n v="2"/>
  </r>
  <r>
    <n v="55"/>
    <x v="0"/>
    <x v="1"/>
    <n v="0"/>
    <s v="Human Resources"/>
    <n v="3"/>
    <x v="1"/>
    <n v="4"/>
    <x v="4"/>
    <x v="5"/>
    <x v="1"/>
    <n v="19636"/>
    <x v="2"/>
    <s v="Yes"/>
    <n v="18"/>
    <n v="3"/>
    <n v="1"/>
    <n v="35"/>
    <n v="3"/>
    <n v="10"/>
    <n v="9"/>
  </r>
  <r>
    <n v="31"/>
    <x v="1"/>
    <x v="1"/>
    <n v="0"/>
    <s v="Research &amp; Development"/>
    <n v="4"/>
    <x v="0"/>
    <n v="1"/>
    <x v="1"/>
    <x v="2"/>
    <x v="0"/>
    <n v="1129"/>
    <x v="0"/>
    <s v="Yes"/>
    <n v="11"/>
    <n v="3"/>
    <n v="3"/>
    <n v="1"/>
    <n v="3"/>
    <n v="1"/>
    <n v="0"/>
  </r>
  <r>
    <n v="39"/>
    <x v="1"/>
    <x v="1"/>
    <n v="0"/>
    <s v="Sales"/>
    <n v="2"/>
    <x v="1"/>
    <n v="3"/>
    <x v="3"/>
    <x v="0"/>
    <x v="3"/>
    <n v="13341"/>
    <x v="1"/>
    <s v="No"/>
    <n v="12"/>
    <n v="3"/>
    <n v="1"/>
    <n v="21"/>
    <n v="3"/>
    <n v="20"/>
    <n v="8"/>
  </r>
  <r>
    <n v="42"/>
    <x v="0"/>
    <x v="1"/>
    <n v="0"/>
    <s v="Research &amp; Development"/>
    <n v="4"/>
    <x v="1"/>
    <n v="2"/>
    <x v="0"/>
    <x v="1"/>
    <x v="2"/>
    <n v="4332"/>
    <x v="0"/>
    <s v="No"/>
    <n v="12"/>
    <n v="3"/>
    <n v="4"/>
    <n v="20"/>
    <n v="3"/>
    <n v="20"/>
    <n v="9"/>
  </r>
  <r>
    <n v="31"/>
    <x v="1"/>
    <x v="1"/>
    <n v="0"/>
    <s v="Research &amp; Development"/>
    <n v="3"/>
    <x v="0"/>
    <n v="3"/>
    <x v="2"/>
    <x v="7"/>
    <x v="2"/>
    <n v="11031"/>
    <x v="1"/>
    <s v="No"/>
    <n v="20"/>
    <n v="4"/>
    <n v="3"/>
    <n v="13"/>
    <n v="4"/>
    <n v="11"/>
    <n v="7"/>
  </r>
  <r>
    <n v="54"/>
    <x v="0"/>
    <x v="1"/>
    <n v="0"/>
    <s v="Research &amp; Development"/>
    <n v="3"/>
    <x v="0"/>
    <n v="3"/>
    <x v="0"/>
    <x v="3"/>
    <x v="3"/>
    <n v="4440"/>
    <x v="0"/>
    <s v="Yes"/>
    <n v="19"/>
    <n v="3"/>
    <n v="4"/>
    <n v="9"/>
    <n v="3"/>
    <n v="5"/>
    <n v="2"/>
  </r>
  <r>
    <n v="24"/>
    <x v="2"/>
    <x v="1"/>
    <n v="0"/>
    <s v="Research &amp; Development"/>
    <n v="2"/>
    <x v="1"/>
    <n v="2"/>
    <x v="0"/>
    <x v="4"/>
    <x v="2"/>
    <n v="4617"/>
    <x v="0"/>
    <s v="No"/>
    <n v="12"/>
    <n v="3"/>
    <n v="2"/>
    <n v="4"/>
    <n v="2"/>
    <n v="4"/>
    <n v="3"/>
  </r>
  <r>
    <n v="23"/>
    <x v="2"/>
    <x v="1"/>
    <n v="0"/>
    <s v="Research &amp; Development"/>
    <n v="4"/>
    <x v="1"/>
    <n v="3"/>
    <x v="1"/>
    <x v="2"/>
    <x v="0"/>
    <n v="2647"/>
    <x v="0"/>
    <s v="No"/>
    <n v="13"/>
    <n v="3"/>
    <n v="3"/>
    <n v="5"/>
    <n v="4"/>
    <n v="5"/>
    <n v="2"/>
  </r>
  <r>
    <n v="40"/>
    <x v="1"/>
    <x v="1"/>
    <n v="0"/>
    <s v="Research &amp; Development"/>
    <n v="4"/>
    <x v="0"/>
    <n v="3"/>
    <x v="0"/>
    <x v="2"/>
    <x v="2"/>
    <n v="6323"/>
    <x v="0"/>
    <s v="No"/>
    <n v="11"/>
    <n v="3"/>
    <n v="1"/>
    <n v="10"/>
    <n v="4"/>
    <n v="10"/>
    <n v="9"/>
  </r>
  <r>
    <n v="40"/>
    <x v="1"/>
    <x v="1"/>
    <n v="0"/>
    <s v="Sales"/>
    <n v="2"/>
    <x v="0"/>
    <n v="3"/>
    <x v="0"/>
    <x v="0"/>
    <x v="1"/>
    <n v="5677"/>
    <x v="0"/>
    <s v="No"/>
    <n v="14"/>
    <n v="3"/>
    <n v="3"/>
    <n v="15"/>
    <n v="3"/>
    <n v="11"/>
    <n v="8"/>
  </r>
  <r>
    <n v="25"/>
    <x v="2"/>
    <x v="1"/>
    <n v="0"/>
    <s v="Human Resources"/>
    <n v="3"/>
    <x v="0"/>
    <n v="3"/>
    <x v="1"/>
    <x v="8"/>
    <x v="1"/>
    <n v="2187"/>
    <x v="0"/>
    <s v="No"/>
    <n v="14"/>
    <n v="3"/>
    <n v="3"/>
    <n v="6"/>
    <n v="3"/>
    <n v="2"/>
    <n v="0"/>
  </r>
  <r>
    <n v="30"/>
    <x v="2"/>
    <x v="1"/>
    <n v="0"/>
    <s v="Research &amp; Development"/>
    <n v="4"/>
    <x v="1"/>
    <n v="3"/>
    <x v="1"/>
    <x v="2"/>
    <x v="1"/>
    <n v="3748"/>
    <x v="0"/>
    <s v="No"/>
    <n v="13"/>
    <n v="3"/>
    <n v="3"/>
    <n v="12"/>
    <n v="2"/>
    <n v="12"/>
    <n v="8"/>
  </r>
  <r>
    <n v="25"/>
    <x v="2"/>
    <x v="1"/>
    <n v="0"/>
    <s v="Research &amp; Development"/>
    <n v="4"/>
    <x v="1"/>
    <n v="3"/>
    <x v="1"/>
    <x v="2"/>
    <x v="2"/>
    <n v="3977"/>
    <x v="0"/>
    <s v="Yes"/>
    <n v="19"/>
    <n v="3"/>
    <n v="3"/>
    <n v="7"/>
    <n v="2"/>
    <n v="2"/>
    <n v="2"/>
  </r>
  <r>
    <n v="47"/>
    <x v="0"/>
    <x v="1"/>
    <n v="0"/>
    <s v="Research &amp; Development"/>
    <n v="1"/>
    <x v="1"/>
    <n v="3"/>
    <x v="2"/>
    <x v="4"/>
    <x v="2"/>
    <n v="8633"/>
    <x v="1"/>
    <s v="No"/>
    <n v="23"/>
    <n v="4"/>
    <n v="2"/>
    <n v="25"/>
    <n v="3"/>
    <n v="17"/>
    <n v="14"/>
  </r>
  <r>
    <n v="33"/>
    <x v="1"/>
    <x v="1"/>
    <n v="0"/>
    <s v="Research &amp; Development"/>
    <n v="2"/>
    <x v="1"/>
    <n v="2"/>
    <x v="1"/>
    <x v="2"/>
    <x v="2"/>
    <n v="2008"/>
    <x v="0"/>
    <s v="No"/>
    <n v="12"/>
    <n v="3"/>
    <n v="3"/>
    <n v="1"/>
    <n v="2"/>
    <n v="1"/>
    <n v="1"/>
  </r>
  <r>
    <n v="38"/>
    <x v="1"/>
    <x v="1"/>
    <n v="0"/>
    <s v="Sales"/>
    <n v="4"/>
    <x v="1"/>
    <n v="3"/>
    <x v="0"/>
    <x v="0"/>
    <x v="1"/>
    <n v="4440"/>
    <x v="0"/>
    <s v="No"/>
    <n v="15"/>
    <n v="3"/>
    <n v="1"/>
    <n v="16"/>
    <n v="3"/>
    <n v="15"/>
    <n v="13"/>
  </r>
  <r>
    <n v="31"/>
    <x v="1"/>
    <x v="1"/>
    <n v="0"/>
    <s v="Sales"/>
    <n v="1"/>
    <x v="1"/>
    <n v="3"/>
    <x v="1"/>
    <x v="6"/>
    <x v="2"/>
    <n v="3067"/>
    <x v="0"/>
    <s v="No"/>
    <n v="19"/>
    <n v="3"/>
    <n v="3"/>
    <n v="3"/>
    <n v="3"/>
    <n v="2"/>
    <n v="2"/>
  </r>
  <r>
    <n v="38"/>
    <x v="1"/>
    <x v="1"/>
    <n v="0"/>
    <s v="Research &amp; Development"/>
    <n v="1"/>
    <x v="1"/>
    <n v="2"/>
    <x v="0"/>
    <x v="3"/>
    <x v="2"/>
    <n v="5321"/>
    <x v="0"/>
    <s v="No"/>
    <n v="11"/>
    <n v="3"/>
    <n v="4"/>
    <n v="10"/>
    <n v="3"/>
    <n v="8"/>
    <n v="3"/>
  </r>
  <r>
    <n v="42"/>
    <x v="0"/>
    <x v="1"/>
    <n v="0"/>
    <s v="Research &amp; Development"/>
    <n v="4"/>
    <x v="1"/>
    <n v="3"/>
    <x v="0"/>
    <x v="1"/>
    <x v="3"/>
    <n v="5410"/>
    <x v="0"/>
    <s v="Yes"/>
    <n v="17"/>
    <n v="3"/>
    <n v="3"/>
    <n v="9"/>
    <n v="2"/>
    <n v="4"/>
    <n v="3"/>
  </r>
  <r>
    <n v="41"/>
    <x v="0"/>
    <x v="1"/>
    <n v="0"/>
    <s v="Research &amp; Development"/>
    <n v="4"/>
    <x v="1"/>
    <n v="3"/>
    <x v="1"/>
    <x v="1"/>
    <x v="0"/>
    <n v="2782"/>
    <x v="0"/>
    <s v="No"/>
    <n v="22"/>
    <n v="4"/>
    <n v="1"/>
    <n v="12"/>
    <n v="3"/>
    <n v="5"/>
    <n v="3"/>
  </r>
  <r>
    <n v="47"/>
    <x v="0"/>
    <x v="1"/>
    <n v="0"/>
    <s v="Research &amp; Development"/>
    <n v="3"/>
    <x v="0"/>
    <n v="3"/>
    <x v="2"/>
    <x v="7"/>
    <x v="1"/>
    <n v="11957"/>
    <x v="1"/>
    <s v="No"/>
    <n v="18"/>
    <n v="3"/>
    <n v="1"/>
    <n v="14"/>
    <n v="1"/>
    <n v="13"/>
    <n v="8"/>
  </r>
  <r>
    <n v="35"/>
    <x v="1"/>
    <x v="1"/>
    <n v="0"/>
    <s v="Research &amp; Development"/>
    <n v="4"/>
    <x v="1"/>
    <n v="3"/>
    <x v="1"/>
    <x v="2"/>
    <x v="2"/>
    <n v="2660"/>
    <x v="0"/>
    <s v="Yes"/>
    <n v="11"/>
    <n v="3"/>
    <n v="3"/>
    <n v="5"/>
    <n v="3"/>
    <n v="2"/>
    <n v="2"/>
  </r>
  <r>
    <n v="22"/>
    <x v="2"/>
    <x v="1"/>
    <n v="0"/>
    <s v="Research &amp; Development"/>
    <n v="4"/>
    <x v="1"/>
    <n v="3"/>
    <x v="1"/>
    <x v="1"/>
    <x v="2"/>
    <n v="3375"/>
    <x v="0"/>
    <s v="No"/>
    <n v="12"/>
    <n v="3"/>
    <n v="4"/>
    <n v="4"/>
    <n v="4"/>
    <n v="3"/>
    <n v="2"/>
  </r>
  <r>
    <n v="35"/>
    <x v="1"/>
    <x v="1"/>
    <n v="0"/>
    <s v="Research &amp; Development"/>
    <n v="2"/>
    <x v="1"/>
    <n v="3"/>
    <x v="0"/>
    <x v="1"/>
    <x v="2"/>
    <n v="5098"/>
    <x v="0"/>
    <s v="No"/>
    <n v="19"/>
    <n v="3"/>
    <n v="2"/>
    <n v="10"/>
    <n v="3"/>
    <n v="10"/>
    <n v="7"/>
  </r>
  <r>
    <n v="33"/>
    <x v="1"/>
    <x v="1"/>
    <n v="0"/>
    <s v="Research &amp; Development"/>
    <n v="2"/>
    <x v="0"/>
    <n v="3"/>
    <x v="0"/>
    <x v="4"/>
    <x v="0"/>
    <n v="4878"/>
    <x v="0"/>
    <s v="Yes"/>
    <n v="13"/>
    <n v="3"/>
    <n v="1"/>
    <n v="10"/>
    <n v="3"/>
    <n v="9"/>
    <n v="7"/>
  </r>
  <r>
    <n v="32"/>
    <x v="1"/>
    <x v="1"/>
    <n v="0"/>
    <s v="Research &amp; Development"/>
    <n v="3"/>
    <x v="0"/>
    <n v="2"/>
    <x v="1"/>
    <x v="2"/>
    <x v="1"/>
    <n v="2837"/>
    <x v="0"/>
    <s v="No"/>
    <n v="13"/>
    <n v="3"/>
    <n v="3"/>
    <n v="6"/>
    <n v="3"/>
    <n v="6"/>
    <n v="2"/>
  </r>
  <r>
    <n v="40"/>
    <x v="1"/>
    <x v="1"/>
    <n v="0"/>
    <s v="Research &amp; Development"/>
    <n v="1"/>
    <x v="1"/>
    <n v="3"/>
    <x v="1"/>
    <x v="2"/>
    <x v="0"/>
    <n v="2406"/>
    <x v="0"/>
    <s v="No"/>
    <n v="19"/>
    <n v="3"/>
    <n v="3"/>
    <n v="8"/>
    <n v="2"/>
    <n v="1"/>
    <n v="0"/>
  </r>
  <r>
    <n v="32"/>
    <x v="1"/>
    <x v="1"/>
    <n v="0"/>
    <s v="Sales"/>
    <n v="2"/>
    <x v="1"/>
    <n v="2"/>
    <x v="1"/>
    <x v="6"/>
    <x v="1"/>
    <n v="2269"/>
    <x v="0"/>
    <s v="No"/>
    <n v="14"/>
    <n v="3"/>
    <n v="2"/>
    <n v="3"/>
    <n v="3"/>
    <n v="2"/>
    <n v="2"/>
  </r>
  <r>
    <n v="39"/>
    <x v="1"/>
    <x v="1"/>
    <n v="0"/>
    <s v="Research &amp; Development"/>
    <n v="1"/>
    <x v="1"/>
    <n v="3"/>
    <x v="0"/>
    <x v="1"/>
    <x v="0"/>
    <n v="4108"/>
    <x v="0"/>
    <s v="No"/>
    <n v="13"/>
    <n v="3"/>
    <n v="1"/>
    <n v="18"/>
    <n v="3"/>
    <n v="7"/>
    <n v="7"/>
  </r>
  <r>
    <n v="38"/>
    <x v="1"/>
    <x v="1"/>
    <n v="0"/>
    <s v="Research &amp; Development"/>
    <n v="2"/>
    <x v="0"/>
    <n v="1"/>
    <x v="2"/>
    <x v="7"/>
    <x v="2"/>
    <n v="13206"/>
    <x v="1"/>
    <s v="No"/>
    <n v="12"/>
    <n v="3"/>
    <n v="1"/>
    <n v="20"/>
    <n v="3"/>
    <n v="18"/>
    <n v="16"/>
  </r>
  <r>
    <n v="32"/>
    <x v="1"/>
    <x v="1"/>
    <n v="0"/>
    <s v="Sales"/>
    <n v="3"/>
    <x v="0"/>
    <n v="3"/>
    <x v="2"/>
    <x v="0"/>
    <x v="0"/>
    <n v="10422"/>
    <x v="1"/>
    <s v="No"/>
    <n v="19"/>
    <n v="3"/>
    <n v="3"/>
    <n v="14"/>
    <n v="3"/>
    <n v="14"/>
    <n v="10"/>
  </r>
  <r>
    <n v="37"/>
    <x v="1"/>
    <x v="1"/>
    <n v="0"/>
    <s v="Research &amp; Development"/>
    <n v="3"/>
    <x v="0"/>
    <n v="4"/>
    <x v="2"/>
    <x v="7"/>
    <x v="0"/>
    <n v="13744"/>
    <x v="1"/>
    <s v="Yes"/>
    <n v="25"/>
    <n v="4"/>
    <n v="1"/>
    <n v="16"/>
    <n v="3"/>
    <n v="16"/>
    <n v="11"/>
  </r>
  <r>
    <n v="25"/>
    <x v="2"/>
    <x v="1"/>
    <n v="0"/>
    <s v="Sales"/>
    <n v="1"/>
    <x v="0"/>
    <n v="3"/>
    <x v="0"/>
    <x v="0"/>
    <x v="2"/>
    <n v="4907"/>
    <x v="0"/>
    <s v="Yes"/>
    <n v="22"/>
    <n v="4"/>
    <n v="2"/>
    <n v="6"/>
    <n v="2"/>
    <n v="5"/>
    <n v="3"/>
  </r>
  <r>
    <n v="52"/>
    <x v="0"/>
    <x v="1"/>
    <n v="0"/>
    <s v="Sales"/>
    <n v="1"/>
    <x v="1"/>
    <n v="3"/>
    <x v="1"/>
    <x v="6"/>
    <x v="0"/>
    <n v="3482"/>
    <x v="0"/>
    <s v="No"/>
    <n v="15"/>
    <n v="3"/>
    <n v="2"/>
    <n v="16"/>
    <n v="2"/>
    <n v="9"/>
    <n v="8"/>
  </r>
  <r>
    <n v="44"/>
    <x v="0"/>
    <x v="1"/>
    <n v="0"/>
    <s v="Research &amp; Development"/>
    <n v="2"/>
    <x v="1"/>
    <n v="3"/>
    <x v="1"/>
    <x v="1"/>
    <x v="0"/>
    <n v="2436"/>
    <x v="0"/>
    <s v="Yes"/>
    <n v="12"/>
    <n v="3"/>
    <n v="3"/>
    <n v="6"/>
    <n v="3"/>
    <n v="4"/>
    <n v="3"/>
  </r>
  <r>
    <n v="21"/>
    <x v="2"/>
    <x v="1"/>
    <n v="0"/>
    <s v="Sales"/>
    <n v="3"/>
    <x v="1"/>
    <n v="3"/>
    <x v="1"/>
    <x v="6"/>
    <x v="3"/>
    <n v="2380"/>
    <x v="0"/>
    <s v="Yes"/>
    <n v="11"/>
    <n v="3"/>
    <n v="4"/>
    <n v="2"/>
    <n v="3"/>
    <n v="2"/>
    <n v="2"/>
  </r>
  <r>
    <n v="39"/>
    <x v="1"/>
    <x v="1"/>
    <n v="0"/>
    <s v="Research &amp; Development"/>
    <n v="4"/>
    <x v="1"/>
    <n v="3"/>
    <x v="4"/>
    <x v="5"/>
    <x v="0"/>
    <n v="19431"/>
    <x v="2"/>
    <s v="No"/>
    <n v="13"/>
    <n v="3"/>
    <n v="3"/>
    <n v="21"/>
    <n v="2"/>
    <n v="6"/>
    <n v="0"/>
  </r>
  <r>
    <n v="23"/>
    <x v="2"/>
    <x v="0"/>
    <n v="1"/>
    <s v="Sales"/>
    <n v="4"/>
    <x v="1"/>
    <n v="3"/>
    <x v="1"/>
    <x v="6"/>
    <x v="3"/>
    <n v="1790"/>
    <x v="0"/>
    <s v="No"/>
    <n v="19"/>
    <n v="3"/>
    <n v="1"/>
    <n v="1"/>
    <n v="2"/>
    <n v="1"/>
    <n v="0"/>
  </r>
  <r>
    <n v="36"/>
    <x v="1"/>
    <x v="1"/>
    <n v="0"/>
    <s v="Sales"/>
    <n v="1"/>
    <x v="0"/>
    <n v="2"/>
    <x v="2"/>
    <x v="0"/>
    <x v="0"/>
    <n v="7644"/>
    <x v="1"/>
    <s v="No"/>
    <n v="19"/>
    <n v="3"/>
    <n v="3"/>
    <n v="10"/>
    <n v="3"/>
    <n v="9"/>
    <n v="7"/>
  </r>
  <r>
    <n v="36"/>
    <x v="1"/>
    <x v="1"/>
    <n v="0"/>
    <s v="Research &amp; Development"/>
    <n v="4"/>
    <x v="0"/>
    <n v="3"/>
    <x v="0"/>
    <x v="3"/>
    <x v="1"/>
    <n v="5131"/>
    <x v="0"/>
    <s v="No"/>
    <n v="13"/>
    <n v="3"/>
    <n v="2"/>
    <n v="18"/>
    <n v="3"/>
    <n v="4"/>
    <n v="2"/>
  </r>
  <r>
    <n v="56"/>
    <x v="0"/>
    <x v="1"/>
    <n v="0"/>
    <s v="Research &amp; Development"/>
    <n v="3"/>
    <x v="1"/>
    <n v="3"/>
    <x v="0"/>
    <x v="4"/>
    <x v="2"/>
    <n v="6306"/>
    <x v="0"/>
    <s v="No"/>
    <n v="21"/>
    <n v="4"/>
    <n v="1"/>
    <n v="13"/>
    <n v="2"/>
    <n v="13"/>
    <n v="12"/>
  </r>
  <r>
    <n v="29"/>
    <x v="2"/>
    <x v="0"/>
    <n v="1"/>
    <s v="Research &amp; Development"/>
    <n v="1"/>
    <x v="1"/>
    <n v="3"/>
    <x v="1"/>
    <x v="1"/>
    <x v="0"/>
    <n v="4787"/>
    <x v="0"/>
    <s v="Yes"/>
    <n v="14"/>
    <n v="3"/>
    <n v="2"/>
    <n v="4"/>
    <n v="4"/>
    <n v="2"/>
    <n v="2"/>
  </r>
  <r>
    <n v="42"/>
    <x v="0"/>
    <x v="1"/>
    <n v="0"/>
    <s v="Research &amp; Development"/>
    <n v="1"/>
    <x v="1"/>
    <n v="3"/>
    <x v="4"/>
    <x v="5"/>
    <x v="2"/>
    <n v="18880"/>
    <x v="2"/>
    <s v="No"/>
    <n v="11"/>
    <n v="3"/>
    <n v="1"/>
    <n v="24"/>
    <n v="2"/>
    <n v="22"/>
    <n v="6"/>
  </r>
  <r>
    <n v="56"/>
    <x v="0"/>
    <x v="0"/>
    <n v="1"/>
    <s v="Research &amp; Development"/>
    <n v="4"/>
    <x v="1"/>
    <n v="3"/>
    <x v="1"/>
    <x v="2"/>
    <x v="2"/>
    <n v="2339"/>
    <x v="0"/>
    <s v="No"/>
    <n v="11"/>
    <n v="3"/>
    <n v="4"/>
    <n v="14"/>
    <n v="1"/>
    <n v="10"/>
    <n v="9"/>
  </r>
  <r>
    <n v="41"/>
    <x v="0"/>
    <x v="1"/>
    <n v="0"/>
    <s v="Research &amp; Development"/>
    <n v="1"/>
    <x v="0"/>
    <n v="2"/>
    <x v="3"/>
    <x v="3"/>
    <x v="1"/>
    <n v="13570"/>
    <x v="1"/>
    <s v="No"/>
    <n v="23"/>
    <n v="4"/>
    <n v="3"/>
    <n v="21"/>
    <n v="3"/>
    <n v="20"/>
    <n v="7"/>
  </r>
  <r>
    <n v="34"/>
    <x v="1"/>
    <x v="1"/>
    <n v="0"/>
    <s v="Sales"/>
    <n v="4"/>
    <x v="0"/>
    <n v="2"/>
    <x v="0"/>
    <x v="0"/>
    <x v="2"/>
    <n v="6712"/>
    <x v="0"/>
    <s v="No"/>
    <n v="21"/>
    <n v="4"/>
    <n v="4"/>
    <n v="8"/>
    <n v="3"/>
    <n v="8"/>
    <n v="7"/>
  </r>
  <r>
    <n v="36"/>
    <x v="1"/>
    <x v="1"/>
    <n v="0"/>
    <s v="Sales"/>
    <n v="4"/>
    <x v="1"/>
    <n v="1"/>
    <x v="0"/>
    <x v="0"/>
    <x v="0"/>
    <n v="5406"/>
    <x v="0"/>
    <s v="No"/>
    <n v="24"/>
    <n v="4"/>
    <n v="1"/>
    <n v="15"/>
    <n v="2"/>
    <n v="15"/>
    <n v="12"/>
  </r>
  <r>
    <n v="41"/>
    <x v="0"/>
    <x v="1"/>
    <n v="0"/>
    <s v="Sales"/>
    <n v="3"/>
    <x v="1"/>
    <n v="2"/>
    <x v="0"/>
    <x v="0"/>
    <x v="1"/>
    <n v="8938"/>
    <x v="1"/>
    <s v="No"/>
    <n v="11"/>
    <n v="3"/>
    <n v="3"/>
    <n v="14"/>
    <n v="3"/>
    <n v="5"/>
    <n v="4"/>
  </r>
  <r>
    <n v="32"/>
    <x v="1"/>
    <x v="1"/>
    <n v="0"/>
    <s v="Research &amp; Development"/>
    <n v="4"/>
    <x v="1"/>
    <n v="3"/>
    <x v="1"/>
    <x v="1"/>
    <x v="3"/>
    <n v="2439"/>
    <x v="0"/>
    <s v="No"/>
    <n v="14"/>
    <n v="3"/>
    <n v="4"/>
    <n v="4"/>
    <n v="3"/>
    <n v="4"/>
    <n v="2"/>
  </r>
  <r>
    <n v="35"/>
    <x v="1"/>
    <x v="1"/>
    <n v="0"/>
    <s v="Human Resources"/>
    <n v="3"/>
    <x v="0"/>
    <n v="3"/>
    <x v="2"/>
    <x v="8"/>
    <x v="0"/>
    <n v="8837"/>
    <x v="1"/>
    <s v="Yes"/>
    <n v="16"/>
    <n v="3"/>
    <n v="3"/>
    <n v="9"/>
    <n v="3"/>
    <n v="9"/>
    <n v="0"/>
  </r>
  <r>
    <n v="38"/>
    <x v="1"/>
    <x v="1"/>
    <n v="0"/>
    <s v="Sales"/>
    <n v="1"/>
    <x v="0"/>
    <n v="3"/>
    <x v="0"/>
    <x v="0"/>
    <x v="0"/>
    <n v="5343"/>
    <x v="0"/>
    <s v="No"/>
    <n v="11"/>
    <n v="3"/>
    <n v="3"/>
    <n v="10"/>
    <n v="3"/>
    <n v="10"/>
    <n v="7"/>
  </r>
  <r>
    <n v="50"/>
    <x v="0"/>
    <x v="0"/>
    <n v="1"/>
    <s v="Sales"/>
    <n v="2"/>
    <x v="1"/>
    <n v="3"/>
    <x v="0"/>
    <x v="0"/>
    <x v="2"/>
    <n v="6728"/>
    <x v="0"/>
    <s v="No"/>
    <n v="12"/>
    <n v="3"/>
    <n v="4"/>
    <n v="12"/>
    <n v="3"/>
    <n v="6"/>
    <n v="3"/>
  </r>
  <r>
    <n v="36"/>
    <x v="1"/>
    <x v="1"/>
    <n v="0"/>
    <s v="Sales"/>
    <n v="2"/>
    <x v="0"/>
    <n v="2"/>
    <x v="0"/>
    <x v="0"/>
    <x v="0"/>
    <n v="6652"/>
    <x v="0"/>
    <s v="No"/>
    <n v="13"/>
    <n v="3"/>
    <n v="1"/>
    <n v="8"/>
    <n v="2"/>
    <n v="6"/>
    <n v="3"/>
  </r>
  <r>
    <n v="45"/>
    <x v="0"/>
    <x v="1"/>
    <n v="0"/>
    <s v="Sales"/>
    <n v="4"/>
    <x v="0"/>
    <n v="3"/>
    <x v="0"/>
    <x v="0"/>
    <x v="2"/>
    <n v="4850"/>
    <x v="0"/>
    <s v="No"/>
    <n v="15"/>
    <n v="3"/>
    <n v="3"/>
    <n v="8"/>
    <n v="3"/>
    <n v="5"/>
    <n v="3"/>
  </r>
  <r>
    <n v="40"/>
    <x v="1"/>
    <x v="1"/>
    <n v="0"/>
    <s v="Research &amp; Development"/>
    <n v="3"/>
    <x v="1"/>
    <n v="2"/>
    <x v="1"/>
    <x v="1"/>
    <x v="2"/>
    <n v="2809"/>
    <x v="0"/>
    <s v="No"/>
    <n v="14"/>
    <n v="3"/>
    <n v="4"/>
    <n v="8"/>
    <n v="3"/>
    <n v="2"/>
    <n v="2"/>
  </r>
  <r>
    <n v="35"/>
    <x v="1"/>
    <x v="1"/>
    <n v="0"/>
    <s v="Research &amp; Development"/>
    <n v="3"/>
    <x v="1"/>
    <n v="3"/>
    <x v="0"/>
    <x v="4"/>
    <x v="2"/>
    <n v="5689"/>
    <x v="0"/>
    <s v="Yes"/>
    <n v="14"/>
    <n v="3"/>
    <n v="4"/>
    <n v="10"/>
    <n v="4"/>
    <n v="10"/>
    <n v="2"/>
  </r>
  <r>
    <n v="40"/>
    <x v="1"/>
    <x v="1"/>
    <n v="0"/>
    <s v="Research &amp; Development"/>
    <n v="3"/>
    <x v="0"/>
    <n v="3"/>
    <x v="1"/>
    <x v="1"/>
    <x v="2"/>
    <n v="2001"/>
    <x v="0"/>
    <s v="No"/>
    <n v="14"/>
    <n v="3"/>
    <n v="2"/>
    <n v="20"/>
    <n v="3"/>
    <n v="5"/>
    <n v="3"/>
  </r>
  <r>
    <n v="35"/>
    <x v="1"/>
    <x v="1"/>
    <n v="0"/>
    <s v="Research &amp; Development"/>
    <n v="3"/>
    <x v="0"/>
    <n v="1"/>
    <x v="1"/>
    <x v="1"/>
    <x v="0"/>
    <n v="2977"/>
    <x v="0"/>
    <s v="No"/>
    <n v="12"/>
    <n v="3"/>
    <n v="4"/>
    <n v="4"/>
    <n v="3"/>
    <n v="4"/>
    <n v="3"/>
  </r>
  <r>
    <n v="29"/>
    <x v="2"/>
    <x v="1"/>
    <n v="0"/>
    <s v="Research &amp; Development"/>
    <n v="4"/>
    <x v="1"/>
    <n v="2"/>
    <x v="0"/>
    <x v="2"/>
    <x v="1"/>
    <n v="4025"/>
    <x v="0"/>
    <s v="Yes"/>
    <n v="13"/>
    <n v="3"/>
    <n v="1"/>
    <n v="10"/>
    <n v="3"/>
    <n v="4"/>
    <n v="3"/>
  </r>
  <r>
    <n v="29"/>
    <x v="2"/>
    <x v="1"/>
    <n v="0"/>
    <s v="Research &amp; Development"/>
    <n v="4"/>
    <x v="0"/>
    <n v="2"/>
    <x v="1"/>
    <x v="1"/>
    <x v="3"/>
    <n v="3785"/>
    <x v="0"/>
    <s v="No"/>
    <n v="14"/>
    <n v="3"/>
    <n v="2"/>
    <n v="5"/>
    <n v="1"/>
    <n v="5"/>
    <n v="4"/>
  </r>
  <r>
    <n v="50"/>
    <x v="0"/>
    <x v="0"/>
    <n v="1"/>
    <s v="Sales"/>
    <n v="4"/>
    <x v="1"/>
    <n v="2"/>
    <x v="2"/>
    <x v="0"/>
    <x v="3"/>
    <n v="10854"/>
    <x v="1"/>
    <s v="Yes"/>
    <n v="13"/>
    <n v="3"/>
    <n v="2"/>
    <n v="20"/>
    <n v="3"/>
    <n v="3"/>
    <n v="2"/>
  </r>
  <r>
    <n v="39"/>
    <x v="1"/>
    <x v="1"/>
    <n v="0"/>
    <s v="Sales"/>
    <n v="2"/>
    <x v="0"/>
    <n v="2"/>
    <x v="3"/>
    <x v="0"/>
    <x v="0"/>
    <n v="12031"/>
    <x v="1"/>
    <s v="No"/>
    <n v="11"/>
    <n v="3"/>
    <n v="1"/>
    <n v="21"/>
    <n v="2"/>
    <n v="20"/>
    <n v="9"/>
  </r>
  <r>
    <n v="31"/>
    <x v="1"/>
    <x v="1"/>
    <n v="0"/>
    <s v="Research &amp; Development"/>
    <n v="2"/>
    <x v="1"/>
    <n v="3"/>
    <x v="0"/>
    <x v="3"/>
    <x v="3"/>
    <n v="9936"/>
    <x v="1"/>
    <s v="No"/>
    <n v="19"/>
    <n v="3"/>
    <n v="2"/>
    <n v="10"/>
    <n v="3"/>
    <n v="9"/>
    <n v="4"/>
  </r>
  <r>
    <n v="26"/>
    <x v="2"/>
    <x v="1"/>
    <n v="0"/>
    <s v="Sales"/>
    <n v="4"/>
    <x v="0"/>
    <n v="2"/>
    <x v="1"/>
    <x v="6"/>
    <x v="2"/>
    <n v="2966"/>
    <x v="0"/>
    <s v="No"/>
    <n v="18"/>
    <n v="3"/>
    <n v="4"/>
    <n v="5"/>
    <n v="3"/>
    <n v="4"/>
    <n v="2"/>
  </r>
  <r>
    <n v="36"/>
    <x v="1"/>
    <x v="1"/>
    <n v="0"/>
    <s v="Research &amp; Development"/>
    <n v="3"/>
    <x v="1"/>
    <n v="4"/>
    <x v="0"/>
    <x v="2"/>
    <x v="0"/>
    <n v="2571"/>
    <x v="0"/>
    <s v="No"/>
    <n v="17"/>
    <n v="3"/>
    <n v="3"/>
    <n v="17"/>
    <n v="3"/>
    <n v="5"/>
    <n v="2"/>
  </r>
  <r>
    <n v="39"/>
    <x v="1"/>
    <x v="1"/>
    <n v="0"/>
    <s v="Research &amp; Development"/>
    <n v="4"/>
    <x v="1"/>
    <n v="2"/>
    <x v="2"/>
    <x v="4"/>
    <x v="3"/>
    <n v="9991"/>
    <x v="1"/>
    <s v="No"/>
    <n v="15"/>
    <n v="3"/>
    <n v="1"/>
    <n v="9"/>
    <n v="3"/>
    <n v="7"/>
    <n v="7"/>
  </r>
  <r>
    <n v="27"/>
    <x v="2"/>
    <x v="1"/>
    <n v="0"/>
    <s v="Research &amp; Development"/>
    <n v="2"/>
    <x v="1"/>
    <n v="4"/>
    <x v="0"/>
    <x v="3"/>
    <x v="1"/>
    <n v="6142"/>
    <x v="0"/>
    <s v="Yes"/>
    <n v="20"/>
    <n v="4"/>
    <n v="2"/>
    <n v="6"/>
    <n v="3"/>
    <n v="6"/>
    <n v="2"/>
  </r>
  <r>
    <n v="49"/>
    <x v="0"/>
    <x v="1"/>
    <n v="0"/>
    <s v="Sales"/>
    <n v="4"/>
    <x v="1"/>
    <n v="2"/>
    <x v="0"/>
    <x v="0"/>
    <x v="1"/>
    <n v="5390"/>
    <x v="0"/>
    <s v="No"/>
    <n v="14"/>
    <n v="3"/>
    <n v="4"/>
    <n v="17"/>
    <n v="2"/>
    <n v="9"/>
    <n v="6"/>
  </r>
  <r>
    <n v="34"/>
    <x v="1"/>
    <x v="1"/>
    <n v="0"/>
    <s v="Research &amp; Development"/>
    <n v="2"/>
    <x v="1"/>
    <n v="4"/>
    <x v="0"/>
    <x v="2"/>
    <x v="2"/>
    <n v="4404"/>
    <x v="0"/>
    <s v="No"/>
    <n v="12"/>
    <n v="3"/>
    <n v="1"/>
    <n v="6"/>
    <n v="4"/>
    <n v="4"/>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A6A35-3E3E-4F4E-B8D9-871C6A2EA47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21">
    <pivotField showAll="0"/>
    <pivotField axis="axisRow" showAll="0">
      <items count="4">
        <item x="1"/>
        <item x="0"/>
        <item x="2"/>
        <item t="default"/>
      </items>
    </pivotField>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Fields count="1">
    <field x="1"/>
  </rowFields>
  <rowItems count="3">
    <i>
      <x/>
    </i>
    <i>
      <x v="1"/>
    </i>
    <i>
      <x v="2"/>
    </i>
  </rowItems>
  <colItems count="1">
    <i/>
  </colItems>
  <dataFields count="1">
    <dataField name="Sum of Attrition Val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6D61D-C37A-4CCB-AF1E-2520D372FE6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21">
    <pivotField showAll="0"/>
    <pivotField showAll="0">
      <items count="4">
        <item x="1"/>
        <item x="0"/>
        <item x="2"/>
        <item t="default"/>
      </items>
    </pivotField>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s>
  <rowFields count="1">
    <field x="12"/>
  </rowFields>
  <rowItems count="3">
    <i>
      <x/>
    </i>
    <i>
      <x v="1"/>
    </i>
    <i>
      <x v="2"/>
    </i>
  </rowItems>
  <colItems count="1">
    <i/>
  </colItems>
  <dataFields count="1">
    <dataField name="Sum of Attrition Value" fld="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0E08A-3A21-4F0C-A010-CCBD78D2F58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21">
    <pivotField showAll="0"/>
    <pivotField showAll="0">
      <items count="4">
        <item x="1"/>
        <item x="0"/>
        <item x="2"/>
        <item t="default"/>
      </items>
    </pivotField>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Fields count="1">
    <field x="6"/>
  </rowFields>
  <rowItems count="2">
    <i>
      <x/>
    </i>
    <i>
      <x v="1"/>
    </i>
  </rowItems>
  <colItems count="1">
    <i/>
  </colItems>
  <dataFields count="1">
    <dataField name="Sum of Attrition Value" fld="3"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00ECA-CA80-47E5-88A0-110D266D991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21">
    <pivotField showAll="0"/>
    <pivotField showAll="0">
      <items count="4">
        <item x="1"/>
        <item x="0"/>
        <item x="2"/>
        <item t="default"/>
      </items>
    </pivotField>
    <pivotField showAll="0"/>
    <pivotField showAll="0"/>
    <pivotField showAll="0"/>
    <pivotField showAll="0"/>
    <pivotField showAll="0">
      <items count="3">
        <item x="0"/>
        <item x="1"/>
        <item t="default"/>
      </items>
    </pivotField>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dataField="1" showAll="0"/>
    <pivotField showAll="0">
      <items count="4">
        <item x="2"/>
        <item x="0"/>
        <item x="1"/>
        <item t="default"/>
      </items>
    </pivotField>
    <pivotField showAll="0"/>
    <pivotField showAll="0"/>
    <pivotField showAll="0"/>
    <pivotField showAll="0"/>
    <pivotField showAll="0"/>
    <pivotField showAll="0"/>
    <pivotField showAll="0"/>
    <pivotField showAll="0"/>
  </pivotFields>
  <rowFields count="1">
    <field x="8"/>
  </rowFields>
  <rowItems count="5">
    <i>
      <x/>
    </i>
    <i>
      <x v="1"/>
    </i>
    <i>
      <x v="2"/>
    </i>
    <i>
      <x v="3"/>
    </i>
    <i>
      <x v="4"/>
    </i>
  </rowItems>
  <colItems count="1">
    <i/>
  </colItems>
  <dataFields count="1">
    <dataField name="Sum of MonthlyIncome"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EA311-77B4-4AAF-B766-72F665A1F34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7" firstHeaderRow="1" firstDataRow="1" firstDataCol="1"/>
  <pivotFields count="21">
    <pivotField showAll="0"/>
    <pivotField showAll="0">
      <items count="4">
        <item x="1"/>
        <item x="0"/>
        <item x="2"/>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5">
        <item x="3"/>
        <item x="1"/>
        <item x="2"/>
        <item x="0"/>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s>
  <rowFields count="1">
    <field x="10"/>
  </rowFields>
  <rowItems count="4">
    <i>
      <x/>
    </i>
    <i>
      <x v="1"/>
    </i>
    <i>
      <x v="2"/>
    </i>
    <i>
      <x v="3"/>
    </i>
  </rowItems>
  <colItems count="1">
    <i/>
  </colItems>
  <dataFields count="1">
    <dataField name="Sum of PerformanceRating"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A4A1E5-7F6B-4EFD-B3D2-7254D627575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2" firstHeaderRow="1" firstDataRow="1" firstDataCol="1"/>
  <pivotFields count="21">
    <pivotField showAll="0"/>
    <pivotField showAll="0">
      <items count="4">
        <item x="1"/>
        <item x="0"/>
        <item x="2"/>
        <item t="default"/>
      </items>
    </pivotField>
    <pivotField showAll="0"/>
    <pivotField dataField="1" showAll="0"/>
    <pivotField showAll="0"/>
    <pivotField showAll="0"/>
    <pivotField showAll="0">
      <items count="3">
        <item x="0"/>
        <item x="1"/>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Sum of Attrition Val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989ED52-4D2E-4EC4-9CE1-75E910A81BA5}" sourceName="Age Group">
  <pivotTables>
    <pivotTable tabId="2" name="PivotTable1"/>
    <pivotTable tabId="4" name="PivotTable2"/>
    <pivotTable tabId="5" name="PivotTable3"/>
    <pivotTable tabId="7" name="PivotTable2"/>
    <pivotTable tabId="9" name="PivotTable4"/>
    <pivotTable tabId="10" name="PivotTable5"/>
  </pivotTables>
  <data>
    <tabular pivotCacheId="13563474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8A4A5E-CC88-474C-ADCA-89CF4DE5DC54}" sourceName="Gender">
  <pivotTables>
    <pivotTable tabId="2" name="PivotTable1"/>
    <pivotTable tabId="4" name="PivotTable2"/>
    <pivotTable tabId="5" name="PivotTable3"/>
    <pivotTable tabId="7" name="PivotTable2"/>
    <pivotTable tabId="9" name="PivotTable4"/>
    <pivotTable tabId="10" name="PivotTable5"/>
  </pivotTables>
  <data>
    <tabular pivotCacheId="1356347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7664A717-F253-4C4B-A50B-67A3A8D2C151}" sourceName="Income Group">
  <pivotTables>
    <pivotTable tabId="2" name="PivotTable1"/>
    <pivotTable tabId="4" name="PivotTable2"/>
    <pivotTable tabId="5" name="PivotTable3"/>
    <pivotTable tabId="7" name="PivotTable2"/>
    <pivotTable tabId="9" name="PivotTable4"/>
    <pivotTable tabId="10" name="PivotTable5"/>
  </pivotTables>
  <data>
    <tabular pivotCacheId="13563474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15923E85-96D5-43EB-A12B-04A92D9E13FD}" cache="Slicer_Age_Group" caption="Age Group" style="SlicerStyleLight4" rowHeight="241300"/>
  <slicer name="Gender" xr10:uid="{24D141E8-EF7E-48C2-B2E3-824B5ACAE2D7}" cache="Slicer_Gender" caption="Gender" style="SlicerStyleLight4" rowHeight="241300"/>
  <slicer name="Income Group" xr10:uid="{7EBFABFA-0305-4216-8DDE-8E6B389216A8}" cache="Slicer_Income_Group" caption="Income Group"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D9F1A8-9D2F-4C9E-89FB-29915B5BA818}" name="Table1" displayName="Table1" ref="A1:U1471" totalsRowShown="0">
  <autoFilter ref="A1:U1471" xr:uid="{F1986EF6-D499-4656-98F5-01D5A43BA111}"/>
  <tableColumns count="21">
    <tableColumn id="1" xr3:uid="{2361746E-F8F5-4B3E-8A66-AE1E6651CC0F}" name="Age"/>
    <tableColumn id="2" xr3:uid="{9D42C7C6-DB02-4F27-97CC-AD38144F9B79}" name="Age Group">
      <calculatedColumnFormula array="1">_xlfn.IFS(A2&gt;40,"Senior",A2&gt;30,"Adult",A2&gt;=18,"Teenager")</calculatedColumnFormula>
    </tableColumn>
    <tableColumn id="3" xr3:uid="{819B7185-E35E-417D-92B9-C6F88628123B}" name="Attrition"/>
    <tableColumn id="4" xr3:uid="{5395D24C-6A3A-4699-9FE4-9C52378D09AB}" name="Attrition Value">
      <calculatedColumnFormula>IF(C2="Yes",1,0)</calculatedColumnFormula>
    </tableColumn>
    <tableColumn id="5" xr3:uid="{BC9C0B17-75C7-4289-B3AB-71CFBB2B0719}" name="Department"/>
    <tableColumn id="6" xr3:uid="{51DE2157-1869-49E2-A5B1-FEC68BB5ED01}" name="EnvironmentSatisfaction"/>
    <tableColumn id="7" xr3:uid="{AAC77F95-C850-4040-9A5C-6A1A3A0E58DA}" name="Gender"/>
    <tableColumn id="8" xr3:uid="{0739FFA5-B19A-47B1-8395-76F18E776EF6}" name="JobInvolvement"/>
    <tableColumn id="9" xr3:uid="{B1655701-184B-4808-B8A5-A69FA5B6CD02}" name="JobLevel"/>
    <tableColumn id="10" xr3:uid="{7AA5B39F-0170-4B23-8D28-3E36CD60D645}" name="JobRole"/>
    <tableColumn id="11" xr3:uid="{0E0E3A74-4165-45E5-ACE8-D990A3450A55}" name="JobSatisfaction"/>
    <tableColumn id="12" xr3:uid="{30BC8DA6-DE86-426D-B010-680C7C0F19B6}" name="MonthlyIncome"/>
    <tableColumn id="13" xr3:uid="{41128E80-944B-46BA-846C-520676A4178A}" name="Income Group">
      <calculatedColumnFormula array="1">_xlfn.IFS(L2&lt;= 7000,"Low",L2&lt;=15000,"Medium",L2&lt;=20000,"High")</calculatedColumnFormula>
    </tableColumn>
    <tableColumn id="14" xr3:uid="{6C21A305-8B41-4C85-ABD0-D6326C9C8A54}" name="OverTime"/>
    <tableColumn id="15" xr3:uid="{E397DA66-DAD6-4F7A-A0D5-615A74D075B5}" name="PercentSalaryHike"/>
    <tableColumn id="16" xr3:uid="{0C407595-2B91-4A81-BA76-F3C0D803312B}" name="PerformanceRating"/>
    <tableColumn id="17" xr3:uid="{833A94DF-5125-4A5E-A564-D6DD67576AAE}" name="RelationshipSatisfaction"/>
    <tableColumn id="18" xr3:uid="{31AF0E05-FA93-4852-8E67-9B855FD4AEF2}" name="TotalWorkingYears"/>
    <tableColumn id="19" xr3:uid="{E0F27AA2-BB2E-43C6-AF42-EEED5FA235AC}" name="WorkLifeBalance"/>
    <tableColumn id="20" xr3:uid="{E2B850CF-3783-4443-90A6-91E58AE92F02}" name="YearsAtCompany"/>
    <tableColumn id="21" xr3:uid="{E2936EA3-6757-4F55-B202-51C6054C9427}" name="YearsInCurrentRo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7B32-789E-4D32-94E8-DEB1BFFA513A}">
  <dimension ref="A3:B6"/>
  <sheetViews>
    <sheetView topLeftCell="D1" workbookViewId="0">
      <selection activeCell="M13" sqref="M13"/>
    </sheetView>
  </sheetViews>
  <sheetFormatPr defaultRowHeight="14.5" x14ac:dyDescent="0.35"/>
  <cols>
    <col min="1" max="1" width="12.36328125" bestFit="1" customWidth="1"/>
    <col min="2" max="2" width="19.6328125" bestFit="1" customWidth="1"/>
  </cols>
  <sheetData>
    <row r="3" spans="1:2" x14ac:dyDescent="0.35">
      <c r="A3" s="1" t="s">
        <v>37</v>
      </c>
      <c r="B3" t="s">
        <v>36</v>
      </c>
    </row>
    <row r="4" spans="1:2" x14ac:dyDescent="0.35">
      <c r="A4" s="2" t="s">
        <v>38</v>
      </c>
      <c r="B4">
        <v>85</v>
      </c>
    </row>
    <row r="5" spans="1:2" x14ac:dyDescent="0.35">
      <c r="A5" s="2" t="s">
        <v>39</v>
      </c>
      <c r="B5">
        <v>52</v>
      </c>
    </row>
    <row r="6" spans="1:2" x14ac:dyDescent="0.35">
      <c r="A6" s="2" t="s">
        <v>40</v>
      </c>
      <c r="B6">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D097-13A6-4D39-AD38-F69828AF0C2E}">
  <dimension ref="A1:V25"/>
  <sheetViews>
    <sheetView tabSelected="1" zoomScale="78" workbookViewId="0">
      <selection activeCell="X19" sqref="X19"/>
    </sheetView>
  </sheetViews>
  <sheetFormatPr defaultRowHeight="14.5" x14ac:dyDescent="0.35"/>
  <sheetData>
    <row r="1" spans="1:22" x14ac:dyDescent="0.35">
      <c r="A1" s="5" t="s">
        <v>46</v>
      </c>
      <c r="B1" s="4"/>
      <c r="C1" s="4"/>
      <c r="D1" s="4"/>
      <c r="E1" s="4"/>
      <c r="F1" s="4"/>
      <c r="G1" s="4"/>
      <c r="H1" s="4"/>
      <c r="I1" s="4"/>
      <c r="J1" s="4"/>
      <c r="K1" s="4"/>
      <c r="L1" s="4"/>
      <c r="M1" s="4"/>
      <c r="N1" s="4"/>
      <c r="O1" s="4"/>
      <c r="P1" s="4"/>
      <c r="Q1" s="4"/>
    </row>
    <row r="2" spans="1:22" x14ac:dyDescent="0.35">
      <c r="A2" s="4"/>
      <c r="B2" s="4"/>
      <c r="C2" s="4"/>
      <c r="D2" s="4"/>
      <c r="E2" s="4"/>
      <c r="F2" s="4"/>
      <c r="G2" s="4"/>
      <c r="H2" s="4"/>
      <c r="I2" s="4"/>
      <c r="J2" s="4"/>
      <c r="K2" s="4"/>
      <c r="L2" s="4"/>
      <c r="M2" s="4"/>
      <c r="N2" s="4"/>
      <c r="O2" s="4"/>
      <c r="P2" s="4"/>
      <c r="Q2" s="4"/>
    </row>
    <row r="3" spans="1:22" x14ac:dyDescent="0.35">
      <c r="A3" s="3"/>
      <c r="B3" s="3"/>
      <c r="C3" s="3"/>
      <c r="D3" s="3"/>
      <c r="E3" s="3"/>
      <c r="F3" s="3"/>
      <c r="G3" s="3"/>
      <c r="H3" s="3"/>
      <c r="I3" s="3"/>
      <c r="J3" s="3"/>
      <c r="K3" s="3"/>
      <c r="L3" s="3"/>
      <c r="M3" s="3"/>
      <c r="N3" s="3"/>
      <c r="O3" s="3"/>
      <c r="P3" s="3"/>
      <c r="Q3" s="3"/>
      <c r="S3" t="s">
        <v>47</v>
      </c>
    </row>
    <row r="4" spans="1:22" x14ac:dyDescent="0.35">
      <c r="A4" s="3"/>
      <c r="B4" s="3"/>
      <c r="C4" s="3"/>
      <c r="D4" s="3"/>
      <c r="E4" s="3"/>
      <c r="F4" s="3"/>
      <c r="G4" s="3"/>
      <c r="H4" s="3"/>
      <c r="I4" s="3"/>
      <c r="J4" s="3"/>
      <c r="K4" s="3"/>
      <c r="L4" s="3"/>
      <c r="M4" s="3"/>
      <c r="N4" s="3"/>
      <c r="O4" s="3"/>
      <c r="P4" s="3"/>
      <c r="Q4" s="3"/>
    </row>
    <row r="5" spans="1:22" x14ac:dyDescent="0.35">
      <c r="A5" s="3"/>
      <c r="B5" s="3"/>
      <c r="C5" s="3"/>
      <c r="D5" s="3"/>
      <c r="E5" s="3"/>
      <c r="F5" s="3"/>
      <c r="G5" s="3"/>
      <c r="H5" s="3"/>
      <c r="I5" s="3"/>
      <c r="J5" s="3"/>
      <c r="K5" s="3"/>
      <c r="L5" s="3"/>
      <c r="M5" s="3"/>
      <c r="N5" s="3"/>
      <c r="O5" s="3"/>
      <c r="P5" s="3"/>
      <c r="Q5" s="3"/>
      <c r="S5" s="6" t="s">
        <v>48</v>
      </c>
      <c r="T5" s="7"/>
      <c r="U5" s="7"/>
      <c r="V5" s="7"/>
    </row>
    <row r="6" spans="1:22" x14ac:dyDescent="0.35">
      <c r="A6" s="3"/>
      <c r="B6" s="3"/>
      <c r="C6" s="3"/>
      <c r="D6" s="3"/>
      <c r="E6" s="3"/>
      <c r="F6" s="3"/>
      <c r="G6" s="3"/>
      <c r="H6" s="3"/>
      <c r="I6" s="3"/>
      <c r="J6" s="3"/>
      <c r="K6" s="3"/>
      <c r="L6" s="3"/>
      <c r="M6" s="3"/>
      <c r="N6" s="3"/>
      <c r="O6" s="3"/>
      <c r="P6" s="3"/>
      <c r="Q6" s="3"/>
      <c r="S6" s="7"/>
      <c r="T6" s="7"/>
      <c r="U6" s="7"/>
      <c r="V6" s="7"/>
    </row>
    <row r="7" spans="1:22" x14ac:dyDescent="0.35">
      <c r="A7" s="3"/>
      <c r="B7" s="3"/>
      <c r="C7" s="3"/>
      <c r="D7" s="3"/>
      <c r="E7" s="3"/>
      <c r="F7" s="3"/>
      <c r="G7" s="3"/>
      <c r="H7" s="3"/>
      <c r="I7" s="3"/>
      <c r="J7" s="3"/>
      <c r="K7" s="3"/>
      <c r="L7" s="3"/>
      <c r="M7" s="3"/>
      <c r="N7" s="3"/>
      <c r="O7" s="3"/>
      <c r="P7" s="3"/>
      <c r="Q7" s="3"/>
      <c r="S7" s="8" t="s">
        <v>49</v>
      </c>
      <c r="T7" s="9"/>
      <c r="U7" s="9"/>
      <c r="V7" s="9"/>
    </row>
    <row r="8" spans="1:22" x14ac:dyDescent="0.35">
      <c r="A8" s="3"/>
      <c r="B8" s="3"/>
      <c r="C8" s="3"/>
      <c r="D8" s="3"/>
      <c r="E8" s="3"/>
      <c r="F8" s="3"/>
      <c r="G8" s="3"/>
      <c r="H8" s="3"/>
      <c r="I8" s="3"/>
      <c r="J8" s="3"/>
      <c r="K8" s="3"/>
      <c r="L8" s="3"/>
      <c r="M8" s="3"/>
      <c r="N8" s="3"/>
      <c r="O8" s="3"/>
      <c r="P8" s="3"/>
      <c r="Q8" s="3"/>
      <c r="S8" s="9"/>
      <c r="T8" s="9"/>
      <c r="U8" s="9"/>
      <c r="V8" s="9"/>
    </row>
    <row r="9" spans="1:22" x14ac:dyDescent="0.35">
      <c r="A9" s="3"/>
      <c r="B9" s="3"/>
      <c r="C9" s="3"/>
      <c r="D9" s="3"/>
      <c r="E9" s="3"/>
      <c r="F9" s="3"/>
      <c r="G9" s="3"/>
      <c r="H9" s="3"/>
      <c r="I9" s="3"/>
      <c r="J9" s="3"/>
      <c r="K9" s="3"/>
      <c r="L9" s="3"/>
      <c r="M9" s="3"/>
      <c r="N9" s="3"/>
      <c r="O9" s="3"/>
      <c r="P9" s="3"/>
      <c r="Q9" s="3"/>
      <c r="S9" s="9"/>
      <c r="T9" s="9"/>
      <c r="U9" s="9"/>
      <c r="V9" s="9"/>
    </row>
    <row r="10" spans="1:22" x14ac:dyDescent="0.35">
      <c r="A10" s="3"/>
      <c r="B10" s="3"/>
      <c r="C10" s="3"/>
      <c r="D10" s="3"/>
      <c r="E10" s="3"/>
      <c r="F10" s="3"/>
      <c r="G10" s="3"/>
      <c r="H10" s="3"/>
      <c r="I10" s="3"/>
      <c r="J10" s="3"/>
      <c r="K10" s="3"/>
      <c r="L10" s="3"/>
      <c r="M10" s="3"/>
      <c r="N10" s="3"/>
      <c r="O10" s="3"/>
      <c r="P10" s="3"/>
      <c r="Q10" s="3"/>
      <c r="S10" s="9"/>
      <c r="T10" s="9"/>
      <c r="U10" s="9"/>
      <c r="V10" s="9"/>
    </row>
    <row r="11" spans="1:22" x14ac:dyDescent="0.35">
      <c r="A11" s="3"/>
      <c r="B11" s="3"/>
      <c r="C11" s="3"/>
      <c r="D11" s="3"/>
      <c r="E11" s="3"/>
      <c r="F11" s="3"/>
      <c r="G11" s="3"/>
      <c r="H11" s="3"/>
      <c r="I11" s="3"/>
      <c r="J11" s="3"/>
      <c r="K11" s="3"/>
      <c r="L11" s="3"/>
      <c r="M11" s="3"/>
      <c r="N11" s="3"/>
      <c r="O11" s="3"/>
      <c r="P11" s="3"/>
      <c r="Q11" s="3"/>
      <c r="S11" s="9"/>
      <c r="T11" s="9"/>
      <c r="U11" s="9"/>
      <c r="V11" s="9"/>
    </row>
    <row r="12" spans="1:22" x14ac:dyDescent="0.35">
      <c r="A12" s="3"/>
      <c r="B12" s="3"/>
      <c r="C12" s="3"/>
      <c r="D12" s="3"/>
      <c r="E12" s="3"/>
      <c r="F12" s="3"/>
      <c r="G12" s="3"/>
      <c r="H12" s="3"/>
      <c r="I12" s="3"/>
      <c r="J12" s="3"/>
      <c r="K12" s="3"/>
      <c r="L12" s="3"/>
      <c r="M12" s="3"/>
      <c r="N12" s="3"/>
      <c r="O12" s="3"/>
      <c r="P12" s="3"/>
      <c r="Q12" s="3"/>
      <c r="S12" s="9"/>
      <c r="T12" s="9"/>
      <c r="U12" s="9"/>
      <c r="V12" s="9"/>
    </row>
    <row r="13" spans="1:22" x14ac:dyDescent="0.35">
      <c r="A13" s="3"/>
      <c r="B13" s="3"/>
      <c r="C13" s="3"/>
      <c r="D13" s="3"/>
      <c r="E13" s="3"/>
      <c r="F13" s="3"/>
      <c r="G13" s="3"/>
      <c r="H13" s="3"/>
      <c r="I13" s="3"/>
      <c r="J13" s="3"/>
      <c r="K13" s="3"/>
      <c r="L13" s="3"/>
      <c r="M13" s="3"/>
      <c r="N13" s="3"/>
      <c r="O13" s="3"/>
      <c r="P13" s="3"/>
      <c r="Q13" s="3"/>
      <c r="S13" s="9"/>
      <c r="T13" s="9"/>
      <c r="U13" s="9"/>
      <c r="V13" s="9"/>
    </row>
    <row r="14" spans="1:22" x14ac:dyDescent="0.35">
      <c r="A14" s="3"/>
      <c r="B14" s="3"/>
      <c r="C14" s="3"/>
      <c r="D14" s="3"/>
      <c r="E14" s="3"/>
      <c r="F14" s="3"/>
      <c r="G14" s="3"/>
      <c r="H14" s="3"/>
      <c r="I14" s="3"/>
      <c r="J14" s="3"/>
      <c r="K14" s="3"/>
      <c r="L14" s="3"/>
      <c r="M14" s="3"/>
      <c r="N14" s="3"/>
      <c r="O14" s="3"/>
      <c r="P14" s="3"/>
      <c r="Q14" s="3"/>
    </row>
    <row r="15" spans="1:22" x14ac:dyDescent="0.35">
      <c r="A15" s="3"/>
      <c r="B15" s="3"/>
      <c r="C15" s="3"/>
      <c r="D15" s="3"/>
      <c r="E15" s="3"/>
      <c r="F15" s="3"/>
      <c r="G15" s="3"/>
      <c r="H15" s="3"/>
      <c r="I15" s="3"/>
      <c r="J15" s="3"/>
      <c r="K15" s="3"/>
      <c r="L15" s="3"/>
      <c r="M15" s="3"/>
      <c r="N15" s="3"/>
      <c r="O15" s="3"/>
      <c r="P15" s="3"/>
      <c r="Q15" s="3"/>
    </row>
    <row r="16" spans="1:22" x14ac:dyDescent="0.35">
      <c r="A16" s="3"/>
      <c r="B16" s="3"/>
      <c r="C16" s="3"/>
      <c r="D16" s="3"/>
      <c r="E16" s="3"/>
      <c r="F16" s="3"/>
      <c r="G16" s="3"/>
      <c r="H16" s="3"/>
      <c r="I16" s="3"/>
      <c r="J16" s="3"/>
      <c r="K16" s="3"/>
      <c r="L16" s="3"/>
      <c r="M16" s="3"/>
      <c r="N16" s="3"/>
      <c r="O16" s="3"/>
      <c r="P16" s="3"/>
      <c r="Q16" s="3"/>
    </row>
    <row r="17" spans="1:17" x14ac:dyDescent="0.35">
      <c r="A17" s="3"/>
      <c r="B17" s="3"/>
      <c r="C17" s="3"/>
      <c r="D17" s="3"/>
      <c r="E17" s="3"/>
      <c r="F17" s="3"/>
      <c r="G17" s="3"/>
      <c r="H17" s="3"/>
      <c r="I17" s="3"/>
      <c r="J17" s="3"/>
      <c r="K17" s="3"/>
      <c r="L17" s="3"/>
      <c r="M17" s="3"/>
      <c r="N17" s="3"/>
      <c r="O17" s="3"/>
      <c r="P17" s="3"/>
      <c r="Q17" s="3"/>
    </row>
    <row r="18" spans="1:17" x14ac:dyDescent="0.35">
      <c r="A18" s="3"/>
      <c r="B18" s="3"/>
      <c r="C18" s="3"/>
      <c r="D18" s="3"/>
      <c r="E18" s="3"/>
      <c r="F18" s="3"/>
      <c r="G18" s="3"/>
      <c r="H18" s="3"/>
      <c r="I18" s="3"/>
      <c r="J18" s="3"/>
      <c r="K18" s="3"/>
      <c r="L18" s="3"/>
      <c r="M18" s="3"/>
      <c r="N18" s="3"/>
      <c r="O18" s="3"/>
      <c r="P18" s="3"/>
      <c r="Q18" s="3"/>
    </row>
    <row r="19" spans="1:17" x14ac:dyDescent="0.35">
      <c r="A19" s="3"/>
      <c r="B19" s="3"/>
      <c r="C19" s="3"/>
      <c r="D19" s="3"/>
      <c r="E19" s="3"/>
      <c r="F19" s="3"/>
      <c r="G19" s="3"/>
      <c r="H19" s="3"/>
      <c r="I19" s="3"/>
      <c r="J19" s="3"/>
      <c r="K19" s="3"/>
      <c r="L19" s="3"/>
      <c r="M19" s="3"/>
      <c r="N19" s="3"/>
      <c r="O19" s="3"/>
      <c r="P19" s="3"/>
      <c r="Q19" s="3"/>
    </row>
    <row r="20" spans="1:17" x14ac:dyDescent="0.35">
      <c r="A20" s="3"/>
      <c r="B20" s="3"/>
      <c r="C20" s="3"/>
      <c r="D20" s="3"/>
      <c r="E20" s="3"/>
      <c r="F20" s="3"/>
      <c r="G20" s="3"/>
      <c r="H20" s="3"/>
      <c r="I20" s="3"/>
      <c r="J20" s="3"/>
      <c r="K20" s="3"/>
      <c r="L20" s="3"/>
      <c r="M20" s="3"/>
      <c r="N20" s="3"/>
      <c r="O20" s="3"/>
      <c r="P20" s="3"/>
      <c r="Q20" s="3"/>
    </row>
    <row r="21" spans="1:17" x14ac:dyDescent="0.35">
      <c r="A21" s="3"/>
      <c r="B21" s="3"/>
      <c r="C21" s="3"/>
      <c r="D21" s="3"/>
      <c r="E21" s="3"/>
      <c r="F21" s="3"/>
      <c r="G21" s="3"/>
      <c r="H21" s="3"/>
      <c r="I21" s="3"/>
      <c r="J21" s="3"/>
      <c r="K21" s="3"/>
      <c r="L21" s="3"/>
      <c r="M21" s="3"/>
      <c r="N21" s="3"/>
      <c r="O21" s="3"/>
      <c r="P21" s="3"/>
      <c r="Q21" s="3"/>
    </row>
    <row r="22" spans="1:17" x14ac:dyDescent="0.35">
      <c r="A22" s="3"/>
      <c r="B22" s="3"/>
      <c r="C22" s="3"/>
      <c r="D22" s="3"/>
      <c r="E22" s="3"/>
      <c r="F22" s="3"/>
      <c r="G22" s="3"/>
      <c r="H22" s="3"/>
      <c r="I22" s="3"/>
      <c r="J22" s="3"/>
      <c r="K22" s="3"/>
      <c r="L22" s="3"/>
      <c r="M22" s="3"/>
      <c r="N22" s="3"/>
      <c r="O22" s="3"/>
      <c r="P22" s="3"/>
      <c r="Q22" s="3"/>
    </row>
    <row r="23" spans="1:17" x14ac:dyDescent="0.35">
      <c r="A23" s="3"/>
      <c r="B23" s="3"/>
      <c r="C23" s="3"/>
      <c r="D23" s="3"/>
      <c r="E23" s="3"/>
      <c r="F23" s="3"/>
      <c r="G23" s="3"/>
      <c r="H23" s="3"/>
      <c r="I23" s="3"/>
      <c r="J23" s="3"/>
      <c r="K23" s="3"/>
      <c r="L23" s="3"/>
      <c r="M23" s="3"/>
      <c r="N23" s="3"/>
      <c r="O23" s="3"/>
      <c r="P23" s="3"/>
      <c r="Q23" s="3"/>
    </row>
    <row r="24" spans="1:17" x14ac:dyDescent="0.35">
      <c r="A24" s="3"/>
      <c r="B24" s="3"/>
      <c r="C24" s="3"/>
      <c r="D24" s="3"/>
      <c r="E24" s="3"/>
      <c r="F24" s="3"/>
      <c r="G24" s="3"/>
      <c r="H24" s="3"/>
      <c r="I24" s="3"/>
      <c r="J24" s="3"/>
      <c r="K24" s="3"/>
      <c r="L24" s="3"/>
      <c r="M24" s="3"/>
      <c r="N24" s="3"/>
      <c r="O24" s="3"/>
      <c r="P24" s="3"/>
      <c r="Q24" s="3"/>
    </row>
    <row r="25" spans="1:17" x14ac:dyDescent="0.35">
      <c r="A25" s="3"/>
      <c r="B25" s="3"/>
      <c r="C25" s="3"/>
      <c r="D25" s="3"/>
      <c r="E25" s="3"/>
      <c r="F25" s="3"/>
      <c r="G25" s="3"/>
      <c r="H25" s="3"/>
      <c r="I25" s="3"/>
      <c r="J25" s="3"/>
      <c r="K25" s="3"/>
      <c r="L25" s="3"/>
      <c r="M25" s="3"/>
      <c r="N25" s="3"/>
      <c r="O25" s="3"/>
      <c r="P25" s="3"/>
      <c r="Q25" s="3"/>
    </row>
  </sheetData>
  <mergeCells count="3">
    <mergeCell ref="A1:Q2"/>
    <mergeCell ref="S5:V6"/>
    <mergeCell ref="S7:V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67A7-891C-4511-80B0-02D13944B243}">
  <dimension ref="A3:B6"/>
  <sheetViews>
    <sheetView topLeftCell="A2" workbookViewId="0">
      <selection activeCell="B5" sqref="B5"/>
    </sheetView>
  </sheetViews>
  <sheetFormatPr defaultRowHeight="14.5" x14ac:dyDescent="0.35"/>
  <cols>
    <col min="1" max="1" width="12.36328125" bestFit="1" customWidth="1"/>
    <col min="2" max="2" width="19.6328125" bestFit="1" customWidth="1"/>
  </cols>
  <sheetData>
    <row r="3" spans="1:2" x14ac:dyDescent="0.35">
      <c r="A3" s="1" t="s">
        <v>37</v>
      </c>
      <c r="B3" t="s">
        <v>36</v>
      </c>
    </row>
    <row r="4" spans="1:2" x14ac:dyDescent="0.35">
      <c r="A4" s="2" t="s">
        <v>41</v>
      </c>
      <c r="B4">
        <v>5</v>
      </c>
    </row>
    <row r="5" spans="1:2" x14ac:dyDescent="0.35">
      <c r="A5" s="2" t="s">
        <v>42</v>
      </c>
      <c r="B5">
        <v>190</v>
      </c>
    </row>
    <row r="6" spans="1:2" x14ac:dyDescent="0.35">
      <c r="A6" s="2" t="s">
        <v>43</v>
      </c>
      <c r="B6">
        <v>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007E-CF75-4A4D-9C07-926D00CCCC92}">
  <dimension ref="A3:B5"/>
  <sheetViews>
    <sheetView workbookViewId="0">
      <selection activeCell="K8" sqref="K8"/>
    </sheetView>
  </sheetViews>
  <sheetFormatPr defaultRowHeight="14.5" x14ac:dyDescent="0.35"/>
  <cols>
    <col min="1" max="1" width="12.36328125" bestFit="1" customWidth="1"/>
    <col min="2" max="2" width="19.6328125" bestFit="1" customWidth="1"/>
  </cols>
  <sheetData>
    <row r="3" spans="1:2" x14ac:dyDescent="0.35">
      <c r="A3" s="1" t="s">
        <v>37</v>
      </c>
      <c r="B3" t="s">
        <v>36</v>
      </c>
    </row>
    <row r="4" spans="1:2" x14ac:dyDescent="0.35">
      <c r="A4" s="2" t="s">
        <v>20</v>
      </c>
      <c r="B4">
        <v>87</v>
      </c>
    </row>
    <row r="5" spans="1:2" x14ac:dyDescent="0.35">
      <c r="A5" s="2" t="s">
        <v>24</v>
      </c>
      <c r="B5">
        <v>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6708-84E0-4346-9A5A-08EA56162AF3}">
  <dimension ref="A3:B8"/>
  <sheetViews>
    <sheetView workbookViewId="0">
      <selection activeCell="M18" sqref="M18"/>
    </sheetView>
  </sheetViews>
  <sheetFormatPr defaultRowHeight="14.5" x14ac:dyDescent="0.35"/>
  <cols>
    <col min="1" max="1" width="12.36328125" bestFit="1" customWidth="1"/>
    <col min="2" max="2" width="20.54296875" bestFit="1" customWidth="1"/>
  </cols>
  <sheetData>
    <row r="3" spans="1:2" x14ac:dyDescent="0.35">
      <c r="A3" s="1" t="s">
        <v>37</v>
      </c>
      <c r="B3" t="s">
        <v>44</v>
      </c>
    </row>
    <row r="4" spans="1:2" x14ac:dyDescent="0.35">
      <c r="A4" s="2">
        <v>1</v>
      </c>
      <c r="B4">
        <v>1513295</v>
      </c>
    </row>
    <row r="5" spans="1:2" x14ac:dyDescent="0.35">
      <c r="A5" s="2">
        <v>2</v>
      </c>
      <c r="B5">
        <v>2938216</v>
      </c>
    </row>
    <row r="6" spans="1:2" x14ac:dyDescent="0.35">
      <c r="A6" s="2">
        <v>3</v>
      </c>
      <c r="B6">
        <v>2140161</v>
      </c>
    </row>
    <row r="7" spans="1:2" x14ac:dyDescent="0.35">
      <c r="A7" s="2">
        <v>4</v>
      </c>
      <c r="B7">
        <v>1643401</v>
      </c>
    </row>
    <row r="8" spans="1:2" x14ac:dyDescent="0.35">
      <c r="A8" s="2">
        <v>5</v>
      </c>
      <c r="B8">
        <v>1324236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C6D9-FE77-4F28-8081-E39B40D764EC}">
  <dimension ref="A3:B7"/>
  <sheetViews>
    <sheetView workbookViewId="0">
      <selection activeCell="M16" sqref="M16"/>
    </sheetView>
  </sheetViews>
  <sheetFormatPr defaultRowHeight="14.5" x14ac:dyDescent="0.35"/>
  <cols>
    <col min="1" max="1" width="12.36328125" bestFit="1" customWidth="1"/>
    <col min="2" max="2" width="23.453125" bestFit="1" customWidth="1"/>
  </cols>
  <sheetData>
    <row r="3" spans="1:2" x14ac:dyDescent="0.35">
      <c r="A3" s="1" t="s">
        <v>37</v>
      </c>
      <c r="B3" t="s">
        <v>45</v>
      </c>
    </row>
    <row r="4" spans="1:2" x14ac:dyDescent="0.35">
      <c r="A4" s="2">
        <v>1</v>
      </c>
      <c r="B4">
        <v>915</v>
      </c>
    </row>
    <row r="5" spans="1:2" x14ac:dyDescent="0.35">
      <c r="A5" s="2">
        <v>2</v>
      </c>
      <c r="B5">
        <v>883</v>
      </c>
    </row>
    <row r="6" spans="1:2" x14ac:dyDescent="0.35">
      <c r="A6" s="2">
        <v>3</v>
      </c>
      <c r="B6">
        <v>1382</v>
      </c>
    </row>
    <row r="7" spans="1:2" x14ac:dyDescent="0.35">
      <c r="A7" s="2">
        <v>4</v>
      </c>
      <c r="B7">
        <v>1456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33FB-EE46-45A2-8FE3-6C1F03F34C4A}">
  <dimension ref="A3:B12"/>
  <sheetViews>
    <sheetView workbookViewId="0">
      <selection activeCell="K17" sqref="K17"/>
    </sheetView>
  </sheetViews>
  <sheetFormatPr defaultRowHeight="14.5" x14ac:dyDescent="0.35"/>
  <cols>
    <col min="1" max="1" width="23" bestFit="1" customWidth="1"/>
    <col min="2" max="2" width="19.6328125" bestFit="1" customWidth="1"/>
  </cols>
  <sheetData>
    <row r="3" spans="1:2" x14ac:dyDescent="0.35">
      <c r="A3" s="1" t="s">
        <v>37</v>
      </c>
      <c r="B3" t="s">
        <v>36</v>
      </c>
    </row>
    <row r="4" spans="1:2" x14ac:dyDescent="0.35">
      <c r="A4" s="2" t="s">
        <v>28</v>
      </c>
      <c r="B4">
        <v>9</v>
      </c>
    </row>
    <row r="5" spans="1:2" x14ac:dyDescent="0.35">
      <c r="A5" s="2" t="s">
        <v>32</v>
      </c>
      <c r="B5">
        <v>12</v>
      </c>
    </row>
    <row r="6" spans="1:2" x14ac:dyDescent="0.35">
      <c r="A6" s="2" t="s">
        <v>26</v>
      </c>
      <c r="B6">
        <v>62</v>
      </c>
    </row>
    <row r="7" spans="1:2" x14ac:dyDescent="0.35">
      <c r="A7" s="2" t="s">
        <v>29</v>
      </c>
      <c r="B7">
        <v>5</v>
      </c>
    </row>
    <row r="8" spans="1:2" x14ac:dyDescent="0.35">
      <c r="A8" s="2" t="s">
        <v>27</v>
      </c>
      <c r="B8">
        <v>10</v>
      </c>
    </row>
    <row r="9" spans="1:2" x14ac:dyDescent="0.35">
      <c r="A9" s="2" t="s">
        <v>31</v>
      </c>
      <c r="B9">
        <v>2</v>
      </c>
    </row>
    <row r="10" spans="1:2" x14ac:dyDescent="0.35">
      <c r="A10" s="2" t="s">
        <v>25</v>
      </c>
      <c r="B10">
        <v>47</v>
      </c>
    </row>
    <row r="11" spans="1:2" x14ac:dyDescent="0.35">
      <c r="A11" s="2" t="s">
        <v>21</v>
      </c>
      <c r="B11">
        <v>57</v>
      </c>
    </row>
    <row r="12" spans="1:2" x14ac:dyDescent="0.35">
      <c r="A12" s="2" t="s">
        <v>30</v>
      </c>
      <c r="B12">
        <v>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6EF6-D499-4656-98F5-01D5A43BA111}">
  <dimension ref="A1:U1471"/>
  <sheetViews>
    <sheetView topLeftCell="A2" workbookViewId="0">
      <selection activeCell="H7" sqref="A2:U1471"/>
    </sheetView>
  </sheetViews>
  <sheetFormatPr defaultRowHeight="14.5" x14ac:dyDescent="0.35"/>
  <cols>
    <col min="2" max="2" width="11.6328125" customWidth="1"/>
    <col min="3" max="3" width="10" customWidth="1"/>
    <col min="4" max="4" width="15.1796875" customWidth="1"/>
    <col min="5" max="5" width="13.08984375" customWidth="1"/>
    <col min="6" max="6" width="23.36328125" customWidth="1"/>
    <col min="7" max="7" width="9" customWidth="1"/>
    <col min="8" max="8" width="16.08984375" customWidth="1"/>
    <col min="9" max="9" width="9.81640625" customWidth="1"/>
    <col min="10" max="10" width="9.26953125" customWidth="1"/>
    <col min="11" max="11" width="15.36328125" customWidth="1"/>
    <col min="12" max="12" width="16.08984375" customWidth="1"/>
    <col min="13" max="13" width="14.7265625" customWidth="1"/>
    <col min="14" max="14" width="10.90625" customWidth="1"/>
    <col min="15" max="15" width="18" customWidth="1"/>
    <col min="16" max="16" width="18.90625" customWidth="1"/>
    <col min="17" max="17" width="22.90625" customWidth="1"/>
    <col min="18" max="18" width="18.7265625" customWidth="1"/>
    <col min="19" max="19" width="16.81640625" customWidth="1"/>
    <col min="20" max="20" width="17.1796875" customWidth="1"/>
    <col min="21" max="21" width="19.08984375" customWidth="1"/>
  </cols>
  <sheetData>
    <row r="1" spans="1:21" x14ac:dyDescent="0.35">
      <c r="A1" t="s">
        <v>0</v>
      </c>
      <c r="B1" t="s">
        <v>33</v>
      </c>
      <c r="C1" t="s">
        <v>1</v>
      </c>
      <c r="D1" t="s">
        <v>34</v>
      </c>
      <c r="E1" t="s">
        <v>2</v>
      </c>
      <c r="F1" t="s">
        <v>3</v>
      </c>
      <c r="G1" t="s">
        <v>4</v>
      </c>
      <c r="H1" t="s">
        <v>5</v>
      </c>
      <c r="I1" t="s">
        <v>6</v>
      </c>
      <c r="J1" t="s">
        <v>7</v>
      </c>
      <c r="K1" t="s">
        <v>8</v>
      </c>
      <c r="L1" t="s">
        <v>9</v>
      </c>
      <c r="M1" t="s">
        <v>35</v>
      </c>
      <c r="N1" t="s">
        <v>10</v>
      </c>
      <c r="O1" t="s">
        <v>11</v>
      </c>
      <c r="P1" t="s">
        <v>12</v>
      </c>
      <c r="Q1" t="s">
        <v>13</v>
      </c>
      <c r="R1" t="s">
        <v>14</v>
      </c>
      <c r="S1" t="s">
        <v>15</v>
      </c>
      <c r="T1" t="s">
        <v>16</v>
      </c>
      <c r="U1" t="s">
        <v>17</v>
      </c>
    </row>
    <row r="2" spans="1:21" x14ac:dyDescent="0.35">
      <c r="A2">
        <v>41</v>
      </c>
      <c r="B2" t="str" cm="1">
        <f t="array" ref="B2">_xlfn.IFS(A2&gt;40,"Senior",A2&gt;30,"Adult",A2&gt;=18,"Teenager")</f>
        <v>Senior</v>
      </c>
      <c r="C2" t="s">
        <v>18</v>
      </c>
      <c r="D2">
        <f>IF(C2="Yes",1,0)</f>
        <v>1</v>
      </c>
      <c r="E2" t="s">
        <v>19</v>
      </c>
      <c r="F2">
        <v>2</v>
      </c>
      <c r="G2" t="s">
        <v>20</v>
      </c>
      <c r="H2">
        <v>3</v>
      </c>
      <c r="I2">
        <v>2</v>
      </c>
      <c r="J2" t="s">
        <v>21</v>
      </c>
      <c r="K2">
        <v>4</v>
      </c>
      <c r="L2">
        <v>5993</v>
      </c>
      <c r="M2" t="str" cm="1">
        <f t="array" ref="M2">_xlfn.IFS(L2&lt;= 7000,"Low",L2&lt;=15000,"Medium",L2&lt;=20000,"High")</f>
        <v>Low</v>
      </c>
      <c r="N2" t="s">
        <v>18</v>
      </c>
      <c r="O2">
        <v>11</v>
      </c>
      <c r="P2">
        <v>3</v>
      </c>
      <c r="Q2">
        <v>1</v>
      </c>
      <c r="R2">
        <v>8</v>
      </c>
      <c r="S2">
        <v>1</v>
      </c>
      <c r="T2">
        <v>6</v>
      </c>
      <c r="U2">
        <v>4</v>
      </c>
    </row>
    <row r="3" spans="1:21" x14ac:dyDescent="0.35">
      <c r="A3">
        <v>49</v>
      </c>
      <c r="B3" t="str" cm="1">
        <f t="array" ref="B3">_xlfn.IFS(A3&gt;40,"Senior",A3&gt;30,"Adult",A3&gt;=18,"Teenager")</f>
        <v>Senior</v>
      </c>
      <c r="C3" t="s">
        <v>22</v>
      </c>
      <c r="D3">
        <f t="shared" ref="D3:D66" si="0">IF(C3="Yes",1,0)</f>
        <v>0</v>
      </c>
      <c r="E3" t="s">
        <v>23</v>
      </c>
      <c r="F3">
        <v>3</v>
      </c>
      <c r="G3" t="s">
        <v>24</v>
      </c>
      <c r="H3">
        <v>2</v>
      </c>
      <c r="I3">
        <v>2</v>
      </c>
      <c r="J3" t="s">
        <v>25</v>
      </c>
      <c r="K3">
        <v>2</v>
      </c>
      <c r="L3">
        <v>5130</v>
      </c>
      <c r="M3" t="str" cm="1">
        <f t="array" ref="M3">_xlfn.IFS(L3&lt;= 7000,"Low",L3&lt;=15000,"Medium",L3&lt;=20000,"High")</f>
        <v>Low</v>
      </c>
      <c r="N3" t="s">
        <v>22</v>
      </c>
      <c r="O3">
        <v>23</v>
      </c>
      <c r="P3">
        <v>4</v>
      </c>
      <c r="Q3">
        <v>4</v>
      </c>
      <c r="R3">
        <v>10</v>
      </c>
      <c r="S3">
        <v>3</v>
      </c>
      <c r="T3">
        <v>10</v>
      </c>
      <c r="U3">
        <v>7</v>
      </c>
    </row>
    <row r="4" spans="1:21" x14ac:dyDescent="0.35">
      <c r="A4">
        <v>37</v>
      </c>
      <c r="B4" t="str" cm="1">
        <f t="array" ref="B4">_xlfn.IFS(A4&gt;40,"Senior",A4&gt;30,"Adult",A4&gt;=18,"Teenager")</f>
        <v>Adult</v>
      </c>
      <c r="C4" t="s">
        <v>18</v>
      </c>
      <c r="D4">
        <f t="shared" si="0"/>
        <v>1</v>
      </c>
      <c r="E4" t="s">
        <v>23</v>
      </c>
      <c r="F4">
        <v>4</v>
      </c>
      <c r="G4" t="s">
        <v>24</v>
      </c>
      <c r="H4">
        <v>2</v>
      </c>
      <c r="I4">
        <v>1</v>
      </c>
      <c r="J4" t="s">
        <v>26</v>
      </c>
      <c r="K4">
        <v>3</v>
      </c>
      <c r="L4">
        <v>2090</v>
      </c>
      <c r="M4" t="str" cm="1">
        <f t="array" ref="M4">_xlfn.IFS(L4&lt;= 7000,"Low",L4&lt;=15000,"Medium",L4&lt;=20000,"High")</f>
        <v>Low</v>
      </c>
      <c r="N4" t="s">
        <v>18</v>
      </c>
      <c r="O4">
        <v>15</v>
      </c>
      <c r="P4">
        <v>3</v>
      </c>
      <c r="Q4">
        <v>2</v>
      </c>
      <c r="R4">
        <v>7</v>
      </c>
      <c r="S4">
        <v>3</v>
      </c>
      <c r="T4">
        <v>0</v>
      </c>
      <c r="U4">
        <v>0</v>
      </c>
    </row>
    <row r="5" spans="1:21" x14ac:dyDescent="0.35">
      <c r="A5">
        <v>33</v>
      </c>
      <c r="B5" t="str" cm="1">
        <f t="array" ref="B5">_xlfn.IFS(A5&gt;40,"Senior",A5&gt;30,"Adult",A5&gt;=18,"Teenager")</f>
        <v>Adult</v>
      </c>
      <c r="C5" t="s">
        <v>22</v>
      </c>
      <c r="D5">
        <f t="shared" si="0"/>
        <v>0</v>
      </c>
      <c r="E5" t="s">
        <v>23</v>
      </c>
      <c r="F5">
        <v>4</v>
      </c>
      <c r="G5" t="s">
        <v>20</v>
      </c>
      <c r="H5">
        <v>3</v>
      </c>
      <c r="I5">
        <v>1</v>
      </c>
      <c r="J5" t="s">
        <v>25</v>
      </c>
      <c r="K5">
        <v>3</v>
      </c>
      <c r="L5">
        <v>2909</v>
      </c>
      <c r="M5" t="str" cm="1">
        <f t="array" ref="M5">_xlfn.IFS(L5&lt;= 7000,"Low",L5&lt;=15000,"Medium",L5&lt;=20000,"High")</f>
        <v>Low</v>
      </c>
      <c r="N5" t="s">
        <v>18</v>
      </c>
      <c r="O5">
        <v>11</v>
      </c>
      <c r="P5">
        <v>3</v>
      </c>
      <c r="Q5">
        <v>3</v>
      </c>
      <c r="R5">
        <v>8</v>
      </c>
      <c r="S5">
        <v>3</v>
      </c>
      <c r="T5">
        <v>8</v>
      </c>
      <c r="U5">
        <v>7</v>
      </c>
    </row>
    <row r="6" spans="1:21" x14ac:dyDescent="0.35">
      <c r="A6">
        <v>27</v>
      </c>
      <c r="B6" t="str" cm="1">
        <f t="array" ref="B6">_xlfn.IFS(A6&gt;40,"Senior",A6&gt;30,"Adult",A6&gt;=18,"Teenager")</f>
        <v>Teenager</v>
      </c>
      <c r="C6" t="s">
        <v>22</v>
      </c>
      <c r="D6">
        <f t="shared" si="0"/>
        <v>0</v>
      </c>
      <c r="E6" t="s">
        <v>23</v>
      </c>
      <c r="F6">
        <v>1</v>
      </c>
      <c r="G6" t="s">
        <v>24</v>
      </c>
      <c r="H6">
        <v>3</v>
      </c>
      <c r="I6">
        <v>1</v>
      </c>
      <c r="J6" t="s">
        <v>26</v>
      </c>
      <c r="K6">
        <v>2</v>
      </c>
      <c r="L6">
        <v>3468</v>
      </c>
      <c r="M6" t="str" cm="1">
        <f t="array" ref="M6">_xlfn.IFS(L6&lt;= 7000,"Low",L6&lt;=15000,"Medium",L6&lt;=20000,"High")</f>
        <v>Low</v>
      </c>
      <c r="N6" t="s">
        <v>22</v>
      </c>
      <c r="O6">
        <v>12</v>
      </c>
      <c r="P6">
        <v>3</v>
      </c>
      <c r="Q6">
        <v>4</v>
      </c>
      <c r="R6">
        <v>6</v>
      </c>
      <c r="S6">
        <v>3</v>
      </c>
      <c r="T6">
        <v>2</v>
      </c>
      <c r="U6">
        <v>2</v>
      </c>
    </row>
    <row r="7" spans="1:21" x14ac:dyDescent="0.35">
      <c r="A7">
        <v>32</v>
      </c>
      <c r="B7" t="str" cm="1">
        <f t="array" ref="B7">_xlfn.IFS(A7&gt;40,"Senior",A7&gt;30,"Adult",A7&gt;=18,"Teenager")</f>
        <v>Adult</v>
      </c>
      <c r="C7" t="s">
        <v>22</v>
      </c>
      <c r="D7">
        <f t="shared" si="0"/>
        <v>0</v>
      </c>
      <c r="E7" t="s">
        <v>23</v>
      </c>
      <c r="F7">
        <v>4</v>
      </c>
      <c r="G7" t="s">
        <v>24</v>
      </c>
      <c r="H7">
        <v>3</v>
      </c>
      <c r="I7">
        <v>1</v>
      </c>
      <c r="J7" t="s">
        <v>26</v>
      </c>
      <c r="K7">
        <v>4</v>
      </c>
      <c r="L7">
        <v>3068</v>
      </c>
      <c r="M7" t="str" cm="1">
        <f t="array" ref="M7">_xlfn.IFS(L7&lt;= 7000,"Low",L7&lt;=15000,"Medium",L7&lt;=20000,"High")</f>
        <v>Low</v>
      </c>
      <c r="N7" t="s">
        <v>22</v>
      </c>
      <c r="O7">
        <v>13</v>
      </c>
      <c r="P7">
        <v>3</v>
      </c>
      <c r="Q7">
        <v>3</v>
      </c>
      <c r="R7">
        <v>8</v>
      </c>
      <c r="S7">
        <v>2</v>
      </c>
      <c r="T7">
        <v>7</v>
      </c>
      <c r="U7">
        <v>7</v>
      </c>
    </row>
    <row r="8" spans="1:21" x14ac:dyDescent="0.35">
      <c r="A8">
        <v>59</v>
      </c>
      <c r="B8" t="str" cm="1">
        <f t="array" ref="B8">_xlfn.IFS(A8&gt;40,"Senior",A8&gt;30,"Adult",A8&gt;=18,"Teenager")</f>
        <v>Senior</v>
      </c>
      <c r="C8" t="s">
        <v>22</v>
      </c>
      <c r="D8">
        <f t="shared" si="0"/>
        <v>0</v>
      </c>
      <c r="E8" t="s">
        <v>23</v>
      </c>
      <c r="F8">
        <v>3</v>
      </c>
      <c r="G8" t="s">
        <v>20</v>
      </c>
      <c r="H8">
        <v>4</v>
      </c>
      <c r="I8">
        <v>1</v>
      </c>
      <c r="J8" t="s">
        <v>26</v>
      </c>
      <c r="K8">
        <v>1</v>
      </c>
      <c r="L8">
        <v>2670</v>
      </c>
      <c r="M8" t="str" cm="1">
        <f t="array" ref="M8">_xlfn.IFS(L8&lt;= 7000,"Low",L8&lt;=15000,"Medium",L8&lt;=20000,"High")</f>
        <v>Low</v>
      </c>
      <c r="N8" t="s">
        <v>18</v>
      </c>
      <c r="O8">
        <v>20</v>
      </c>
      <c r="P8">
        <v>4</v>
      </c>
      <c r="Q8">
        <v>1</v>
      </c>
      <c r="R8">
        <v>12</v>
      </c>
      <c r="S8">
        <v>2</v>
      </c>
      <c r="T8">
        <v>1</v>
      </c>
      <c r="U8">
        <v>0</v>
      </c>
    </row>
    <row r="9" spans="1:21" x14ac:dyDescent="0.35">
      <c r="A9">
        <v>30</v>
      </c>
      <c r="B9" t="str" cm="1">
        <f t="array" ref="B9">_xlfn.IFS(A9&gt;40,"Senior",A9&gt;30,"Adult",A9&gt;=18,"Teenager")</f>
        <v>Teenager</v>
      </c>
      <c r="C9" t="s">
        <v>22</v>
      </c>
      <c r="D9">
        <f t="shared" si="0"/>
        <v>0</v>
      </c>
      <c r="E9" t="s">
        <v>23</v>
      </c>
      <c r="F9">
        <v>4</v>
      </c>
      <c r="G9" t="s">
        <v>24</v>
      </c>
      <c r="H9">
        <v>3</v>
      </c>
      <c r="I9">
        <v>1</v>
      </c>
      <c r="J9" t="s">
        <v>26</v>
      </c>
      <c r="K9">
        <v>3</v>
      </c>
      <c r="L9">
        <v>2693</v>
      </c>
      <c r="M9" t="str" cm="1">
        <f t="array" ref="M9">_xlfn.IFS(L9&lt;= 7000,"Low",L9&lt;=15000,"Medium",L9&lt;=20000,"High")</f>
        <v>Low</v>
      </c>
      <c r="N9" t="s">
        <v>22</v>
      </c>
      <c r="O9">
        <v>22</v>
      </c>
      <c r="P9">
        <v>4</v>
      </c>
      <c r="Q9">
        <v>2</v>
      </c>
      <c r="R9">
        <v>1</v>
      </c>
      <c r="S9">
        <v>3</v>
      </c>
      <c r="T9">
        <v>1</v>
      </c>
      <c r="U9">
        <v>0</v>
      </c>
    </row>
    <row r="10" spans="1:21" x14ac:dyDescent="0.35">
      <c r="A10">
        <v>38</v>
      </c>
      <c r="B10" t="str" cm="1">
        <f t="array" ref="B10">_xlfn.IFS(A10&gt;40,"Senior",A10&gt;30,"Adult",A10&gt;=18,"Teenager")</f>
        <v>Adult</v>
      </c>
      <c r="C10" t="s">
        <v>22</v>
      </c>
      <c r="D10">
        <f t="shared" si="0"/>
        <v>0</v>
      </c>
      <c r="E10" t="s">
        <v>23</v>
      </c>
      <c r="F10">
        <v>4</v>
      </c>
      <c r="G10" t="s">
        <v>24</v>
      </c>
      <c r="H10">
        <v>2</v>
      </c>
      <c r="I10">
        <v>3</v>
      </c>
      <c r="J10" t="s">
        <v>27</v>
      </c>
      <c r="K10">
        <v>3</v>
      </c>
      <c r="L10">
        <v>9526</v>
      </c>
      <c r="M10" t="str" cm="1">
        <f t="array" ref="M10">_xlfn.IFS(L10&lt;= 7000,"Low",L10&lt;=15000,"Medium",L10&lt;=20000,"High")</f>
        <v>Medium</v>
      </c>
      <c r="N10" t="s">
        <v>22</v>
      </c>
      <c r="O10">
        <v>21</v>
      </c>
      <c r="P10">
        <v>4</v>
      </c>
      <c r="Q10">
        <v>2</v>
      </c>
      <c r="R10">
        <v>10</v>
      </c>
      <c r="S10">
        <v>3</v>
      </c>
      <c r="T10">
        <v>9</v>
      </c>
      <c r="U10">
        <v>7</v>
      </c>
    </row>
    <row r="11" spans="1:21" x14ac:dyDescent="0.35">
      <c r="A11">
        <v>36</v>
      </c>
      <c r="B11" t="str" cm="1">
        <f t="array" ref="B11">_xlfn.IFS(A11&gt;40,"Senior",A11&gt;30,"Adult",A11&gt;=18,"Teenager")</f>
        <v>Adult</v>
      </c>
      <c r="C11" t="s">
        <v>22</v>
      </c>
      <c r="D11">
        <f t="shared" si="0"/>
        <v>0</v>
      </c>
      <c r="E11" t="s">
        <v>23</v>
      </c>
      <c r="F11">
        <v>3</v>
      </c>
      <c r="G11" t="s">
        <v>24</v>
      </c>
      <c r="H11">
        <v>3</v>
      </c>
      <c r="I11">
        <v>2</v>
      </c>
      <c r="J11" t="s">
        <v>28</v>
      </c>
      <c r="K11">
        <v>3</v>
      </c>
      <c r="L11">
        <v>5237</v>
      </c>
      <c r="M11" t="str" cm="1">
        <f t="array" ref="M11">_xlfn.IFS(L11&lt;= 7000,"Low",L11&lt;=15000,"Medium",L11&lt;=20000,"High")</f>
        <v>Low</v>
      </c>
      <c r="N11" t="s">
        <v>22</v>
      </c>
      <c r="O11">
        <v>13</v>
      </c>
      <c r="P11">
        <v>3</v>
      </c>
      <c r="Q11">
        <v>2</v>
      </c>
      <c r="R11">
        <v>17</v>
      </c>
      <c r="S11">
        <v>2</v>
      </c>
      <c r="T11">
        <v>7</v>
      </c>
      <c r="U11">
        <v>7</v>
      </c>
    </row>
    <row r="12" spans="1:21" x14ac:dyDescent="0.35">
      <c r="A12">
        <v>35</v>
      </c>
      <c r="B12" t="str" cm="1">
        <f t="array" ref="B12">_xlfn.IFS(A12&gt;40,"Senior",A12&gt;30,"Adult",A12&gt;=18,"Teenager")</f>
        <v>Adult</v>
      </c>
      <c r="C12" t="s">
        <v>22</v>
      </c>
      <c r="D12">
        <f t="shared" si="0"/>
        <v>0</v>
      </c>
      <c r="E12" t="s">
        <v>23</v>
      </c>
      <c r="F12">
        <v>1</v>
      </c>
      <c r="G12" t="s">
        <v>24</v>
      </c>
      <c r="H12">
        <v>4</v>
      </c>
      <c r="I12">
        <v>1</v>
      </c>
      <c r="J12" t="s">
        <v>26</v>
      </c>
      <c r="K12">
        <v>2</v>
      </c>
      <c r="L12">
        <v>2426</v>
      </c>
      <c r="M12" t="str" cm="1">
        <f t="array" ref="M12">_xlfn.IFS(L12&lt;= 7000,"Low",L12&lt;=15000,"Medium",L12&lt;=20000,"High")</f>
        <v>Low</v>
      </c>
      <c r="N12" t="s">
        <v>22</v>
      </c>
      <c r="O12">
        <v>13</v>
      </c>
      <c r="P12">
        <v>3</v>
      </c>
      <c r="Q12">
        <v>3</v>
      </c>
      <c r="R12">
        <v>6</v>
      </c>
      <c r="S12">
        <v>3</v>
      </c>
      <c r="T12">
        <v>5</v>
      </c>
      <c r="U12">
        <v>4</v>
      </c>
    </row>
    <row r="13" spans="1:21" x14ac:dyDescent="0.35">
      <c r="A13">
        <v>29</v>
      </c>
      <c r="B13" t="str" cm="1">
        <f t="array" ref="B13">_xlfn.IFS(A13&gt;40,"Senior",A13&gt;30,"Adult",A13&gt;=18,"Teenager")</f>
        <v>Teenager</v>
      </c>
      <c r="C13" t="s">
        <v>22</v>
      </c>
      <c r="D13">
        <f t="shared" si="0"/>
        <v>0</v>
      </c>
      <c r="E13" t="s">
        <v>23</v>
      </c>
      <c r="F13">
        <v>4</v>
      </c>
      <c r="G13" t="s">
        <v>20</v>
      </c>
      <c r="H13">
        <v>2</v>
      </c>
      <c r="I13">
        <v>2</v>
      </c>
      <c r="J13" t="s">
        <v>26</v>
      </c>
      <c r="K13">
        <v>3</v>
      </c>
      <c r="L13">
        <v>4193</v>
      </c>
      <c r="M13" t="str" cm="1">
        <f t="array" ref="M13">_xlfn.IFS(L13&lt;= 7000,"Low",L13&lt;=15000,"Medium",L13&lt;=20000,"High")</f>
        <v>Low</v>
      </c>
      <c r="N13" t="s">
        <v>18</v>
      </c>
      <c r="O13">
        <v>12</v>
      </c>
      <c r="P13">
        <v>3</v>
      </c>
      <c r="Q13">
        <v>4</v>
      </c>
      <c r="R13">
        <v>10</v>
      </c>
      <c r="S13">
        <v>3</v>
      </c>
      <c r="T13">
        <v>9</v>
      </c>
      <c r="U13">
        <v>5</v>
      </c>
    </row>
    <row r="14" spans="1:21" x14ac:dyDescent="0.35">
      <c r="A14">
        <v>31</v>
      </c>
      <c r="B14" t="str" cm="1">
        <f t="array" ref="B14">_xlfn.IFS(A14&gt;40,"Senior",A14&gt;30,"Adult",A14&gt;=18,"Teenager")</f>
        <v>Adult</v>
      </c>
      <c r="C14" t="s">
        <v>22</v>
      </c>
      <c r="D14">
        <f t="shared" si="0"/>
        <v>0</v>
      </c>
      <c r="E14" t="s">
        <v>23</v>
      </c>
      <c r="F14">
        <v>1</v>
      </c>
      <c r="G14" t="s">
        <v>24</v>
      </c>
      <c r="H14">
        <v>3</v>
      </c>
      <c r="I14">
        <v>1</v>
      </c>
      <c r="J14" t="s">
        <v>25</v>
      </c>
      <c r="K14">
        <v>3</v>
      </c>
      <c r="L14">
        <v>2911</v>
      </c>
      <c r="M14" t="str" cm="1">
        <f t="array" ref="M14">_xlfn.IFS(L14&lt;= 7000,"Low",L14&lt;=15000,"Medium",L14&lt;=20000,"High")</f>
        <v>Low</v>
      </c>
      <c r="N14" t="s">
        <v>22</v>
      </c>
      <c r="O14">
        <v>17</v>
      </c>
      <c r="P14">
        <v>3</v>
      </c>
      <c r="Q14">
        <v>4</v>
      </c>
      <c r="R14">
        <v>5</v>
      </c>
      <c r="S14">
        <v>2</v>
      </c>
      <c r="T14">
        <v>5</v>
      </c>
      <c r="U14">
        <v>2</v>
      </c>
    </row>
    <row r="15" spans="1:21" x14ac:dyDescent="0.35">
      <c r="A15">
        <v>34</v>
      </c>
      <c r="B15" t="str" cm="1">
        <f t="array" ref="B15">_xlfn.IFS(A15&gt;40,"Senior",A15&gt;30,"Adult",A15&gt;=18,"Teenager")</f>
        <v>Adult</v>
      </c>
      <c r="C15" t="s">
        <v>22</v>
      </c>
      <c r="D15">
        <f t="shared" si="0"/>
        <v>0</v>
      </c>
      <c r="E15" t="s">
        <v>23</v>
      </c>
      <c r="F15">
        <v>2</v>
      </c>
      <c r="G15" t="s">
        <v>24</v>
      </c>
      <c r="H15">
        <v>3</v>
      </c>
      <c r="I15">
        <v>1</v>
      </c>
      <c r="J15" t="s">
        <v>26</v>
      </c>
      <c r="K15">
        <v>4</v>
      </c>
      <c r="L15">
        <v>2661</v>
      </c>
      <c r="M15" t="str" cm="1">
        <f t="array" ref="M15">_xlfn.IFS(L15&lt;= 7000,"Low",L15&lt;=15000,"Medium",L15&lt;=20000,"High")</f>
        <v>Low</v>
      </c>
      <c r="N15" t="s">
        <v>22</v>
      </c>
      <c r="O15">
        <v>11</v>
      </c>
      <c r="P15">
        <v>3</v>
      </c>
      <c r="Q15">
        <v>3</v>
      </c>
      <c r="R15">
        <v>3</v>
      </c>
      <c r="S15">
        <v>3</v>
      </c>
      <c r="T15">
        <v>2</v>
      </c>
      <c r="U15">
        <v>2</v>
      </c>
    </row>
    <row r="16" spans="1:21" x14ac:dyDescent="0.35">
      <c r="A16">
        <v>28</v>
      </c>
      <c r="B16" t="str" cm="1">
        <f t="array" ref="B16">_xlfn.IFS(A16&gt;40,"Senior",A16&gt;30,"Adult",A16&gt;=18,"Teenager")</f>
        <v>Teenager</v>
      </c>
      <c r="C16" t="s">
        <v>18</v>
      </c>
      <c r="D16">
        <f t="shared" si="0"/>
        <v>1</v>
      </c>
      <c r="E16" t="s">
        <v>23</v>
      </c>
      <c r="F16">
        <v>3</v>
      </c>
      <c r="G16" t="s">
        <v>24</v>
      </c>
      <c r="H16">
        <v>2</v>
      </c>
      <c r="I16">
        <v>1</v>
      </c>
      <c r="J16" t="s">
        <v>26</v>
      </c>
      <c r="K16">
        <v>3</v>
      </c>
      <c r="L16">
        <v>2028</v>
      </c>
      <c r="M16" t="str" cm="1">
        <f t="array" ref="M16">_xlfn.IFS(L16&lt;= 7000,"Low",L16&lt;=15000,"Medium",L16&lt;=20000,"High")</f>
        <v>Low</v>
      </c>
      <c r="N16" t="s">
        <v>18</v>
      </c>
      <c r="O16">
        <v>14</v>
      </c>
      <c r="P16">
        <v>3</v>
      </c>
      <c r="Q16">
        <v>2</v>
      </c>
      <c r="R16">
        <v>6</v>
      </c>
      <c r="S16">
        <v>3</v>
      </c>
      <c r="T16">
        <v>4</v>
      </c>
      <c r="U16">
        <v>2</v>
      </c>
    </row>
    <row r="17" spans="1:21" x14ac:dyDescent="0.35">
      <c r="A17">
        <v>29</v>
      </c>
      <c r="B17" t="str" cm="1">
        <f t="array" ref="B17">_xlfn.IFS(A17&gt;40,"Senior",A17&gt;30,"Adult",A17&gt;=18,"Teenager")</f>
        <v>Teenager</v>
      </c>
      <c r="C17" t="s">
        <v>22</v>
      </c>
      <c r="D17">
        <f t="shared" si="0"/>
        <v>0</v>
      </c>
      <c r="E17" t="s">
        <v>23</v>
      </c>
      <c r="F17">
        <v>2</v>
      </c>
      <c r="G17" t="s">
        <v>20</v>
      </c>
      <c r="H17">
        <v>4</v>
      </c>
      <c r="I17">
        <v>3</v>
      </c>
      <c r="J17" t="s">
        <v>27</v>
      </c>
      <c r="K17">
        <v>1</v>
      </c>
      <c r="L17">
        <v>9980</v>
      </c>
      <c r="M17" t="str" cm="1">
        <f t="array" ref="M17">_xlfn.IFS(L17&lt;= 7000,"Low",L17&lt;=15000,"Medium",L17&lt;=20000,"High")</f>
        <v>Medium</v>
      </c>
      <c r="N17" t="s">
        <v>22</v>
      </c>
      <c r="O17">
        <v>11</v>
      </c>
      <c r="P17">
        <v>3</v>
      </c>
      <c r="Q17">
        <v>3</v>
      </c>
      <c r="R17">
        <v>10</v>
      </c>
      <c r="S17">
        <v>3</v>
      </c>
      <c r="T17">
        <v>10</v>
      </c>
      <c r="U17">
        <v>9</v>
      </c>
    </row>
    <row r="18" spans="1:21" x14ac:dyDescent="0.35">
      <c r="A18">
        <v>32</v>
      </c>
      <c r="B18" t="str" cm="1">
        <f t="array" ref="B18">_xlfn.IFS(A18&gt;40,"Senior",A18&gt;30,"Adult",A18&gt;=18,"Teenager")</f>
        <v>Adult</v>
      </c>
      <c r="C18" t="s">
        <v>22</v>
      </c>
      <c r="D18">
        <f t="shared" si="0"/>
        <v>0</v>
      </c>
      <c r="E18" t="s">
        <v>23</v>
      </c>
      <c r="F18">
        <v>1</v>
      </c>
      <c r="G18" t="s">
        <v>24</v>
      </c>
      <c r="H18">
        <v>4</v>
      </c>
      <c r="I18">
        <v>1</v>
      </c>
      <c r="J18" t="s">
        <v>25</v>
      </c>
      <c r="K18">
        <v>2</v>
      </c>
      <c r="L18">
        <v>3298</v>
      </c>
      <c r="M18" t="str" cm="1">
        <f t="array" ref="M18">_xlfn.IFS(L18&lt;= 7000,"Low",L18&lt;=15000,"Medium",L18&lt;=20000,"High")</f>
        <v>Low</v>
      </c>
      <c r="N18" t="s">
        <v>18</v>
      </c>
      <c r="O18">
        <v>12</v>
      </c>
      <c r="P18">
        <v>3</v>
      </c>
      <c r="Q18">
        <v>4</v>
      </c>
      <c r="R18">
        <v>7</v>
      </c>
      <c r="S18">
        <v>2</v>
      </c>
      <c r="T18">
        <v>6</v>
      </c>
      <c r="U18">
        <v>2</v>
      </c>
    </row>
    <row r="19" spans="1:21" x14ac:dyDescent="0.35">
      <c r="A19">
        <v>22</v>
      </c>
      <c r="B19" t="str" cm="1">
        <f t="array" ref="B19">_xlfn.IFS(A19&gt;40,"Senior",A19&gt;30,"Adult",A19&gt;=18,"Teenager")</f>
        <v>Teenager</v>
      </c>
      <c r="C19" t="s">
        <v>22</v>
      </c>
      <c r="D19">
        <f t="shared" si="0"/>
        <v>0</v>
      </c>
      <c r="E19" t="s">
        <v>23</v>
      </c>
      <c r="F19">
        <v>4</v>
      </c>
      <c r="G19" t="s">
        <v>24</v>
      </c>
      <c r="H19">
        <v>4</v>
      </c>
      <c r="I19">
        <v>1</v>
      </c>
      <c r="J19" t="s">
        <v>26</v>
      </c>
      <c r="K19">
        <v>4</v>
      </c>
      <c r="L19">
        <v>2935</v>
      </c>
      <c r="M19" t="str" cm="1">
        <f t="array" ref="M19">_xlfn.IFS(L19&lt;= 7000,"Low",L19&lt;=15000,"Medium",L19&lt;=20000,"High")</f>
        <v>Low</v>
      </c>
      <c r="N19" t="s">
        <v>18</v>
      </c>
      <c r="O19">
        <v>13</v>
      </c>
      <c r="P19">
        <v>3</v>
      </c>
      <c r="Q19">
        <v>2</v>
      </c>
      <c r="R19">
        <v>1</v>
      </c>
      <c r="S19">
        <v>2</v>
      </c>
      <c r="T19">
        <v>1</v>
      </c>
      <c r="U19">
        <v>0</v>
      </c>
    </row>
    <row r="20" spans="1:21" x14ac:dyDescent="0.35">
      <c r="A20">
        <v>53</v>
      </c>
      <c r="B20" t="str" cm="1">
        <f t="array" ref="B20">_xlfn.IFS(A20&gt;40,"Senior",A20&gt;30,"Adult",A20&gt;=18,"Teenager")</f>
        <v>Senior</v>
      </c>
      <c r="C20" t="s">
        <v>22</v>
      </c>
      <c r="D20">
        <f t="shared" si="0"/>
        <v>0</v>
      </c>
      <c r="E20" t="s">
        <v>19</v>
      </c>
      <c r="F20">
        <v>1</v>
      </c>
      <c r="G20" t="s">
        <v>20</v>
      </c>
      <c r="H20">
        <v>2</v>
      </c>
      <c r="I20">
        <v>4</v>
      </c>
      <c r="J20" t="s">
        <v>29</v>
      </c>
      <c r="K20">
        <v>4</v>
      </c>
      <c r="L20">
        <v>15427</v>
      </c>
      <c r="M20" t="str" cm="1">
        <f t="array" ref="M20">_xlfn.IFS(L20&lt;= 7000,"Low",L20&lt;=15000,"Medium",L20&lt;=20000,"High")</f>
        <v>High</v>
      </c>
      <c r="N20" t="s">
        <v>22</v>
      </c>
      <c r="O20">
        <v>16</v>
      </c>
      <c r="P20">
        <v>3</v>
      </c>
      <c r="Q20">
        <v>3</v>
      </c>
      <c r="R20">
        <v>31</v>
      </c>
      <c r="S20">
        <v>3</v>
      </c>
      <c r="T20">
        <v>25</v>
      </c>
      <c r="U20">
        <v>8</v>
      </c>
    </row>
    <row r="21" spans="1:21" x14ac:dyDescent="0.35">
      <c r="A21">
        <v>38</v>
      </c>
      <c r="B21" t="str" cm="1">
        <f t="array" ref="B21">_xlfn.IFS(A21&gt;40,"Senior",A21&gt;30,"Adult",A21&gt;=18,"Teenager")</f>
        <v>Adult</v>
      </c>
      <c r="C21" t="s">
        <v>22</v>
      </c>
      <c r="D21">
        <f t="shared" si="0"/>
        <v>0</v>
      </c>
      <c r="E21" t="s">
        <v>23</v>
      </c>
      <c r="F21">
        <v>4</v>
      </c>
      <c r="G21" t="s">
        <v>24</v>
      </c>
      <c r="H21">
        <v>3</v>
      </c>
      <c r="I21">
        <v>1</v>
      </c>
      <c r="J21" t="s">
        <v>25</v>
      </c>
      <c r="K21">
        <v>4</v>
      </c>
      <c r="L21">
        <v>3944</v>
      </c>
      <c r="M21" t="str" cm="1">
        <f t="array" ref="M21">_xlfn.IFS(L21&lt;= 7000,"Low",L21&lt;=15000,"Medium",L21&lt;=20000,"High")</f>
        <v>Low</v>
      </c>
      <c r="N21" t="s">
        <v>18</v>
      </c>
      <c r="O21">
        <v>11</v>
      </c>
      <c r="P21">
        <v>3</v>
      </c>
      <c r="Q21">
        <v>3</v>
      </c>
      <c r="R21">
        <v>6</v>
      </c>
      <c r="S21">
        <v>3</v>
      </c>
      <c r="T21">
        <v>3</v>
      </c>
      <c r="U21">
        <v>2</v>
      </c>
    </row>
    <row r="22" spans="1:21" x14ac:dyDescent="0.35">
      <c r="A22">
        <v>24</v>
      </c>
      <c r="B22" t="str" cm="1">
        <f t="array" ref="B22">_xlfn.IFS(A22&gt;40,"Senior",A22&gt;30,"Adult",A22&gt;=18,"Teenager")</f>
        <v>Teenager</v>
      </c>
      <c r="C22" t="s">
        <v>22</v>
      </c>
      <c r="D22">
        <f t="shared" si="0"/>
        <v>0</v>
      </c>
      <c r="E22" t="s">
        <v>23</v>
      </c>
      <c r="F22">
        <v>1</v>
      </c>
      <c r="G22" t="s">
        <v>20</v>
      </c>
      <c r="H22">
        <v>4</v>
      </c>
      <c r="I22">
        <v>2</v>
      </c>
      <c r="J22" t="s">
        <v>27</v>
      </c>
      <c r="K22">
        <v>3</v>
      </c>
      <c r="L22">
        <v>4011</v>
      </c>
      <c r="M22" t="str" cm="1">
        <f t="array" ref="M22">_xlfn.IFS(L22&lt;= 7000,"Low",L22&lt;=15000,"Medium",L22&lt;=20000,"High")</f>
        <v>Low</v>
      </c>
      <c r="N22" t="s">
        <v>22</v>
      </c>
      <c r="O22">
        <v>18</v>
      </c>
      <c r="P22">
        <v>3</v>
      </c>
      <c r="Q22">
        <v>4</v>
      </c>
      <c r="R22">
        <v>5</v>
      </c>
      <c r="S22">
        <v>2</v>
      </c>
      <c r="T22">
        <v>4</v>
      </c>
      <c r="U22">
        <v>2</v>
      </c>
    </row>
    <row r="23" spans="1:21" x14ac:dyDescent="0.35">
      <c r="A23">
        <v>36</v>
      </c>
      <c r="B23" t="str" cm="1">
        <f t="array" ref="B23">_xlfn.IFS(A23&gt;40,"Senior",A23&gt;30,"Adult",A23&gt;=18,"Teenager")</f>
        <v>Adult</v>
      </c>
      <c r="C23" t="s">
        <v>18</v>
      </c>
      <c r="D23">
        <f t="shared" si="0"/>
        <v>1</v>
      </c>
      <c r="E23" t="s">
        <v>19</v>
      </c>
      <c r="F23">
        <v>3</v>
      </c>
      <c r="G23" t="s">
        <v>24</v>
      </c>
      <c r="H23">
        <v>2</v>
      </c>
      <c r="I23">
        <v>1</v>
      </c>
      <c r="J23" t="s">
        <v>30</v>
      </c>
      <c r="K23">
        <v>1</v>
      </c>
      <c r="L23">
        <v>3407</v>
      </c>
      <c r="M23" t="str" cm="1">
        <f t="array" ref="M23">_xlfn.IFS(L23&lt;= 7000,"Low",L23&lt;=15000,"Medium",L23&lt;=20000,"High")</f>
        <v>Low</v>
      </c>
      <c r="N23" t="s">
        <v>22</v>
      </c>
      <c r="O23">
        <v>23</v>
      </c>
      <c r="P23">
        <v>4</v>
      </c>
      <c r="Q23">
        <v>2</v>
      </c>
      <c r="R23">
        <v>10</v>
      </c>
      <c r="S23">
        <v>3</v>
      </c>
      <c r="T23">
        <v>5</v>
      </c>
      <c r="U23">
        <v>3</v>
      </c>
    </row>
    <row r="24" spans="1:21" x14ac:dyDescent="0.35">
      <c r="A24">
        <v>34</v>
      </c>
      <c r="B24" t="str" cm="1">
        <f t="array" ref="B24">_xlfn.IFS(A24&gt;40,"Senior",A24&gt;30,"Adult",A24&gt;=18,"Teenager")</f>
        <v>Adult</v>
      </c>
      <c r="C24" t="s">
        <v>22</v>
      </c>
      <c r="D24">
        <f t="shared" si="0"/>
        <v>0</v>
      </c>
      <c r="E24" t="s">
        <v>23</v>
      </c>
      <c r="F24">
        <v>1</v>
      </c>
      <c r="G24" t="s">
        <v>20</v>
      </c>
      <c r="H24">
        <v>3</v>
      </c>
      <c r="I24">
        <v>3</v>
      </c>
      <c r="J24" t="s">
        <v>31</v>
      </c>
      <c r="K24">
        <v>2</v>
      </c>
      <c r="L24">
        <v>11994</v>
      </c>
      <c r="M24" t="str" cm="1">
        <f t="array" ref="M24">_xlfn.IFS(L24&lt;= 7000,"Low",L24&lt;=15000,"Medium",L24&lt;=20000,"High")</f>
        <v>Medium</v>
      </c>
      <c r="N24" t="s">
        <v>22</v>
      </c>
      <c r="O24">
        <v>11</v>
      </c>
      <c r="P24">
        <v>3</v>
      </c>
      <c r="Q24">
        <v>3</v>
      </c>
      <c r="R24">
        <v>13</v>
      </c>
      <c r="S24">
        <v>3</v>
      </c>
      <c r="T24">
        <v>12</v>
      </c>
      <c r="U24">
        <v>6</v>
      </c>
    </row>
    <row r="25" spans="1:21" x14ac:dyDescent="0.35">
      <c r="A25">
        <v>21</v>
      </c>
      <c r="B25" t="str" cm="1">
        <f t="array" ref="B25">_xlfn.IFS(A25&gt;40,"Senior",A25&gt;30,"Adult",A25&gt;=18,"Teenager")</f>
        <v>Teenager</v>
      </c>
      <c r="C25" t="s">
        <v>22</v>
      </c>
      <c r="D25">
        <f t="shared" si="0"/>
        <v>0</v>
      </c>
      <c r="E25" t="s">
        <v>23</v>
      </c>
      <c r="F25">
        <v>3</v>
      </c>
      <c r="G25" t="s">
        <v>24</v>
      </c>
      <c r="H25">
        <v>3</v>
      </c>
      <c r="I25">
        <v>1</v>
      </c>
      <c r="J25" t="s">
        <v>25</v>
      </c>
      <c r="K25">
        <v>4</v>
      </c>
      <c r="L25">
        <v>1232</v>
      </c>
      <c r="M25" t="str" cm="1">
        <f t="array" ref="M25">_xlfn.IFS(L25&lt;= 7000,"Low",L25&lt;=15000,"Medium",L25&lt;=20000,"High")</f>
        <v>Low</v>
      </c>
      <c r="N25" t="s">
        <v>22</v>
      </c>
      <c r="O25">
        <v>14</v>
      </c>
      <c r="P25">
        <v>3</v>
      </c>
      <c r="Q25">
        <v>4</v>
      </c>
      <c r="R25">
        <v>0</v>
      </c>
      <c r="S25">
        <v>3</v>
      </c>
      <c r="T25">
        <v>0</v>
      </c>
      <c r="U25">
        <v>0</v>
      </c>
    </row>
    <row r="26" spans="1:21" x14ac:dyDescent="0.35">
      <c r="A26">
        <v>34</v>
      </c>
      <c r="B26" t="str" cm="1">
        <f t="array" ref="B26">_xlfn.IFS(A26&gt;40,"Senior",A26&gt;30,"Adult",A26&gt;=18,"Teenager")</f>
        <v>Adult</v>
      </c>
      <c r="C26" t="s">
        <v>18</v>
      </c>
      <c r="D26">
        <f t="shared" si="0"/>
        <v>1</v>
      </c>
      <c r="E26" t="s">
        <v>23</v>
      </c>
      <c r="F26">
        <v>2</v>
      </c>
      <c r="G26" t="s">
        <v>24</v>
      </c>
      <c r="H26">
        <v>3</v>
      </c>
      <c r="I26">
        <v>1</v>
      </c>
      <c r="J26" t="s">
        <v>25</v>
      </c>
      <c r="K26">
        <v>1</v>
      </c>
      <c r="L26">
        <v>2960</v>
      </c>
      <c r="M26" t="str" cm="1">
        <f t="array" ref="M26">_xlfn.IFS(L26&lt;= 7000,"Low",L26&lt;=15000,"Medium",L26&lt;=20000,"High")</f>
        <v>Low</v>
      </c>
      <c r="N26" t="s">
        <v>22</v>
      </c>
      <c r="O26">
        <v>11</v>
      </c>
      <c r="P26">
        <v>3</v>
      </c>
      <c r="Q26">
        <v>3</v>
      </c>
      <c r="R26">
        <v>8</v>
      </c>
      <c r="S26">
        <v>3</v>
      </c>
      <c r="T26">
        <v>4</v>
      </c>
      <c r="U26">
        <v>2</v>
      </c>
    </row>
    <row r="27" spans="1:21" x14ac:dyDescent="0.35">
      <c r="A27">
        <v>53</v>
      </c>
      <c r="B27" t="str" cm="1">
        <f t="array" ref="B27">_xlfn.IFS(A27&gt;40,"Senior",A27&gt;30,"Adult",A27&gt;=18,"Teenager")</f>
        <v>Senior</v>
      </c>
      <c r="C27" t="s">
        <v>22</v>
      </c>
      <c r="D27">
        <f t="shared" si="0"/>
        <v>0</v>
      </c>
      <c r="E27" t="s">
        <v>23</v>
      </c>
      <c r="F27">
        <v>3</v>
      </c>
      <c r="G27" t="s">
        <v>20</v>
      </c>
      <c r="H27">
        <v>3</v>
      </c>
      <c r="I27">
        <v>5</v>
      </c>
      <c r="J27" t="s">
        <v>29</v>
      </c>
      <c r="K27">
        <v>3</v>
      </c>
      <c r="L27">
        <v>19094</v>
      </c>
      <c r="M27" t="str" cm="1">
        <f t="array" ref="M27">_xlfn.IFS(L27&lt;= 7000,"Low",L27&lt;=15000,"Medium",L27&lt;=20000,"High")</f>
        <v>High</v>
      </c>
      <c r="N27" t="s">
        <v>22</v>
      </c>
      <c r="O27">
        <v>11</v>
      </c>
      <c r="P27">
        <v>3</v>
      </c>
      <c r="Q27">
        <v>4</v>
      </c>
      <c r="R27">
        <v>26</v>
      </c>
      <c r="S27">
        <v>2</v>
      </c>
      <c r="T27">
        <v>14</v>
      </c>
      <c r="U27">
        <v>13</v>
      </c>
    </row>
    <row r="28" spans="1:21" x14ac:dyDescent="0.35">
      <c r="A28">
        <v>32</v>
      </c>
      <c r="B28" t="str" cm="1">
        <f t="array" ref="B28">_xlfn.IFS(A28&gt;40,"Senior",A28&gt;30,"Adult",A28&gt;=18,"Teenager")</f>
        <v>Adult</v>
      </c>
      <c r="C28" t="s">
        <v>18</v>
      </c>
      <c r="D28">
        <f t="shared" si="0"/>
        <v>1</v>
      </c>
      <c r="E28" t="s">
        <v>23</v>
      </c>
      <c r="F28">
        <v>2</v>
      </c>
      <c r="G28" t="s">
        <v>20</v>
      </c>
      <c r="H28">
        <v>1</v>
      </c>
      <c r="I28">
        <v>1</v>
      </c>
      <c r="J28" t="s">
        <v>25</v>
      </c>
      <c r="K28">
        <v>1</v>
      </c>
      <c r="L28">
        <v>3919</v>
      </c>
      <c r="M28" t="str" cm="1">
        <f t="array" ref="M28">_xlfn.IFS(L28&lt;= 7000,"Low",L28&lt;=15000,"Medium",L28&lt;=20000,"High")</f>
        <v>Low</v>
      </c>
      <c r="N28" t="s">
        <v>18</v>
      </c>
      <c r="O28">
        <v>22</v>
      </c>
      <c r="P28">
        <v>4</v>
      </c>
      <c r="Q28">
        <v>2</v>
      </c>
      <c r="R28">
        <v>10</v>
      </c>
      <c r="S28">
        <v>3</v>
      </c>
      <c r="T28">
        <v>10</v>
      </c>
      <c r="U28">
        <v>2</v>
      </c>
    </row>
    <row r="29" spans="1:21" x14ac:dyDescent="0.35">
      <c r="A29">
        <v>42</v>
      </c>
      <c r="B29" t="str" cm="1">
        <f t="array" ref="B29">_xlfn.IFS(A29&gt;40,"Senior",A29&gt;30,"Adult",A29&gt;=18,"Teenager")</f>
        <v>Senior</v>
      </c>
      <c r="C29" t="s">
        <v>22</v>
      </c>
      <c r="D29">
        <f t="shared" si="0"/>
        <v>0</v>
      </c>
      <c r="E29" t="s">
        <v>19</v>
      </c>
      <c r="F29">
        <v>3</v>
      </c>
      <c r="G29" t="s">
        <v>24</v>
      </c>
      <c r="H29">
        <v>3</v>
      </c>
      <c r="I29">
        <v>2</v>
      </c>
      <c r="J29" t="s">
        <v>21</v>
      </c>
      <c r="K29">
        <v>2</v>
      </c>
      <c r="L29">
        <v>6825</v>
      </c>
      <c r="M29" t="str" cm="1">
        <f t="array" ref="M29">_xlfn.IFS(L29&lt;= 7000,"Low",L29&lt;=15000,"Medium",L29&lt;=20000,"High")</f>
        <v>Low</v>
      </c>
      <c r="N29" t="s">
        <v>22</v>
      </c>
      <c r="O29">
        <v>11</v>
      </c>
      <c r="P29">
        <v>3</v>
      </c>
      <c r="Q29">
        <v>4</v>
      </c>
      <c r="R29">
        <v>10</v>
      </c>
      <c r="S29">
        <v>3</v>
      </c>
      <c r="T29">
        <v>9</v>
      </c>
      <c r="U29">
        <v>7</v>
      </c>
    </row>
    <row r="30" spans="1:21" x14ac:dyDescent="0.35">
      <c r="A30">
        <v>44</v>
      </c>
      <c r="B30" t="str" cm="1">
        <f t="array" ref="B30">_xlfn.IFS(A30&gt;40,"Senior",A30&gt;30,"Adult",A30&gt;=18,"Teenager")</f>
        <v>Senior</v>
      </c>
      <c r="C30" t="s">
        <v>22</v>
      </c>
      <c r="D30">
        <f t="shared" si="0"/>
        <v>0</v>
      </c>
      <c r="E30" t="s">
        <v>23</v>
      </c>
      <c r="F30">
        <v>1</v>
      </c>
      <c r="G30" t="s">
        <v>20</v>
      </c>
      <c r="H30">
        <v>2</v>
      </c>
      <c r="I30">
        <v>3</v>
      </c>
      <c r="J30" t="s">
        <v>28</v>
      </c>
      <c r="K30">
        <v>4</v>
      </c>
      <c r="L30">
        <v>10248</v>
      </c>
      <c r="M30" t="str" cm="1">
        <f t="array" ref="M30">_xlfn.IFS(L30&lt;= 7000,"Low",L30&lt;=15000,"Medium",L30&lt;=20000,"High")</f>
        <v>Medium</v>
      </c>
      <c r="N30" t="s">
        <v>22</v>
      </c>
      <c r="O30">
        <v>14</v>
      </c>
      <c r="P30">
        <v>3</v>
      </c>
      <c r="Q30">
        <v>4</v>
      </c>
      <c r="R30">
        <v>24</v>
      </c>
      <c r="S30">
        <v>3</v>
      </c>
      <c r="T30">
        <v>22</v>
      </c>
      <c r="U30">
        <v>6</v>
      </c>
    </row>
    <row r="31" spans="1:21" x14ac:dyDescent="0.35">
      <c r="A31">
        <v>46</v>
      </c>
      <c r="B31" t="str" cm="1">
        <f t="array" ref="B31">_xlfn.IFS(A31&gt;40,"Senior",A31&gt;30,"Adult",A31&gt;=18,"Teenager")</f>
        <v>Senior</v>
      </c>
      <c r="C31" t="s">
        <v>22</v>
      </c>
      <c r="D31">
        <f t="shared" si="0"/>
        <v>0</v>
      </c>
      <c r="E31" t="s">
        <v>19</v>
      </c>
      <c r="F31">
        <v>2</v>
      </c>
      <c r="G31" t="s">
        <v>20</v>
      </c>
      <c r="H31">
        <v>3</v>
      </c>
      <c r="I31">
        <v>5</v>
      </c>
      <c r="J31" t="s">
        <v>29</v>
      </c>
      <c r="K31">
        <v>1</v>
      </c>
      <c r="L31">
        <v>18947</v>
      </c>
      <c r="M31" t="str" cm="1">
        <f t="array" ref="M31">_xlfn.IFS(L31&lt;= 7000,"Low",L31&lt;=15000,"Medium",L31&lt;=20000,"High")</f>
        <v>High</v>
      </c>
      <c r="N31" t="s">
        <v>22</v>
      </c>
      <c r="O31">
        <v>12</v>
      </c>
      <c r="P31">
        <v>3</v>
      </c>
      <c r="Q31">
        <v>4</v>
      </c>
      <c r="R31">
        <v>22</v>
      </c>
      <c r="S31">
        <v>2</v>
      </c>
      <c r="T31">
        <v>2</v>
      </c>
      <c r="U31">
        <v>2</v>
      </c>
    </row>
    <row r="32" spans="1:21" x14ac:dyDescent="0.35">
      <c r="A32">
        <v>33</v>
      </c>
      <c r="B32" t="str" cm="1">
        <f t="array" ref="B32">_xlfn.IFS(A32&gt;40,"Senior",A32&gt;30,"Adult",A32&gt;=18,"Teenager")</f>
        <v>Adult</v>
      </c>
      <c r="C32" t="s">
        <v>22</v>
      </c>
      <c r="D32">
        <f t="shared" si="0"/>
        <v>0</v>
      </c>
      <c r="E32" t="s">
        <v>23</v>
      </c>
      <c r="F32">
        <v>3</v>
      </c>
      <c r="G32" t="s">
        <v>24</v>
      </c>
      <c r="H32">
        <v>3</v>
      </c>
      <c r="I32">
        <v>1</v>
      </c>
      <c r="J32" t="s">
        <v>26</v>
      </c>
      <c r="K32">
        <v>4</v>
      </c>
      <c r="L32">
        <v>2496</v>
      </c>
      <c r="M32" t="str" cm="1">
        <f t="array" ref="M32">_xlfn.IFS(L32&lt;= 7000,"Low",L32&lt;=15000,"Medium",L32&lt;=20000,"High")</f>
        <v>Low</v>
      </c>
      <c r="N32" t="s">
        <v>22</v>
      </c>
      <c r="O32">
        <v>11</v>
      </c>
      <c r="P32">
        <v>3</v>
      </c>
      <c r="Q32">
        <v>4</v>
      </c>
      <c r="R32">
        <v>7</v>
      </c>
      <c r="S32">
        <v>3</v>
      </c>
      <c r="T32">
        <v>1</v>
      </c>
      <c r="U32">
        <v>1</v>
      </c>
    </row>
    <row r="33" spans="1:21" x14ac:dyDescent="0.35">
      <c r="A33">
        <v>44</v>
      </c>
      <c r="B33" t="str" cm="1">
        <f t="array" ref="B33">_xlfn.IFS(A33&gt;40,"Senior",A33&gt;30,"Adult",A33&gt;=18,"Teenager")</f>
        <v>Senior</v>
      </c>
      <c r="C33" t="s">
        <v>22</v>
      </c>
      <c r="D33">
        <f t="shared" si="0"/>
        <v>0</v>
      </c>
      <c r="E33" t="s">
        <v>23</v>
      </c>
      <c r="F33">
        <v>4</v>
      </c>
      <c r="G33" t="s">
        <v>24</v>
      </c>
      <c r="H33">
        <v>3</v>
      </c>
      <c r="I33">
        <v>2</v>
      </c>
      <c r="J33" t="s">
        <v>28</v>
      </c>
      <c r="K33">
        <v>4</v>
      </c>
      <c r="L33">
        <v>6465</v>
      </c>
      <c r="M33" t="str" cm="1">
        <f t="array" ref="M33">_xlfn.IFS(L33&lt;= 7000,"Low",L33&lt;=15000,"Medium",L33&lt;=20000,"High")</f>
        <v>Low</v>
      </c>
      <c r="N33" t="s">
        <v>18</v>
      </c>
      <c r="O33">
        <v>13</v>
      </c>
      <c r="P33">
        <v>3</v>
      </c>
      <c r="Q33">
        <v>4</v>
      </c>
      <c r="R33">
        <v>9</v>
      </c>
      <c r="S33">
        <v>4</v>
      </c>
      <c r="T33">
        <v>4</v>
      </c>
      <c r="U33">
        <v>2</v>
      </c>
    </row>
    <row r="34" spans="1:21" x14ac:dyDescent="0.35">
      <c r="A34">
        <v>30</v>
      </c>
      <c r="B34" t="str" cm="1">
        <f t="array" ref="B34">_xlfn.IFS(A34&gt;40,"Senior",A34&gt;30,"Adult",A34&gt;=18,"Teenager")</f>
        <v>Teenager</v>
      </c>
      <c r="C34" t="s">
        <v>22</v>
      </c>
      <c r="D34">
        <f t="shared" si="0"/>
        <v>0</v>
      </c>
      <c r="E34" t="s">
        <v>23</v>
      </c>
      <c r="F34">
        <v>4</v>
      </c>
      <c r="G34" t="s">
        <v>24</v>
      </c>
      <c r="H34">
        <v>2</v>
      </c>
      <c r="I34">
        <v>1</v>
      </c>
      <c r="J34" t="s">
        <v>26</v>
      </c>
      <c r="K34">
        <v>3</v>
      </c>
      <c r="L34">
        <v>2206</v>
      </c>
      <c r="M34" t="str" cm="1">
        <f t="array" ref="M34">_xlfn.IFS(L34&lt;= 7000,"Low",L34&lt;=15000,"Medium",L34&lt;=20000,"High")</f>
        <v>Low</v>
      </c>
      <c r="N34" t="s">
        <v>22</v>
      </c>
      <c r="O34">
        <v>13</v>
      </c>
      <c r="P34">
        <v>3</v>
      </c>
      <c r="Q34">
        <v>1</v>
      </c>
      <c r="R34">
        <v>10</v>
      </c>
      <c r="S34">
        <v>3</v>
      </c>
      <c r="T34">
        <v>10</v>
      </c>
      <c r="U34">
        <v>0</v>
      </c>
    </row>
    <row r="35" spans="1:21" x14ac:dyDescent="0.35">
      <c r="A35">
        <v>39</v>
      </c>
      <c r="B35" t="str" cm="1">
        <f t="array" ref="B35">_xlfn.IFS(A35&gt;40,"Senior",A35&gt;30,"Adult",A35&gt;=18,"Teenager")</f>
        <v>Adult</v>
      </c>
      <c r="C35" t="s">
        <v>18</v>
      </c>
      <c r="D35">
        <f t="shared" si="0"/>
        <v>1</v>
      </c>
      <c r="E35" t="s">
        <v>19</v>
      </c>
      <c r="F35">
        <v>4</v>
      </c>
      <c r="G35" t="s">
        <v>24</v>
      </c>
      <c r="H35">
        <v>3</v>
      </c>
      <c r="I35">
        <v>2</v>
      </c>
      <c r="J35" t="s">
        <v>30</v>
      </c>
      <c r="K35">
        <v>4</v>
      </c>
      <c r="L35">
        <v>2086</v>
      </c>
      <c r="M35" t="str" cm="1">
        <f t="array" ref="M35">_xlfn.IFS(L35&lt;= 7000,"Low",L35&lt;=15000,"Medium",L35&lt;=20000,"High")</f>
        <v>Low</v>
      </c>
      <c r="N35" t="s">
        <v>22</v>
      </c>
      <c r="O35">
        <v>14</v>
      </c>
      <c r="P35">
        <v>3</v>
      </c>
      <c r="Q35">
        <v>3</v>
      </c>
      <c r="R35">
        <v>19</v>
      </c>
      <c r="S35">
        <v>4</v>
      </c>
      <c r="T35">
        <v>1</v>
      </c>
      <c r="U35">
        <v>0</v>
      </c>
    </row>
    <row r="36" spans="1:21" x14ac:dyDescent="0.35">
      <c r="A36">
        <v>24</v>
      </c>
      <c r="B36" t="str" cm="1">
        <f t="array" ref="B36">_xlfn.IFS(A36&gt;40,"Senior",A36&gt;30,"Adult",A36&gt;=18,"Teenager")</f>
        <v>Teenager</v>
      </c>
      <c r="C36" t="s">
        <v>18</v>
      </c>
      <c r="D36">
        <f t="shared" si="0"/>
        <v>1</v>
      </c>
      <c r="E36" t="s">
        <v>23</v>
      </c>
      <c r="F36">
        <v>2</v>
      </c>
      <c r="G36" t="s">
        <v>24</v>
      </c>
      <c r="H36">
        <v>3</v>
      </c>
      <c r="I36">
        <v>1</v>
      </c>
      <c r="J36" t="s">
        <v>25</v>
      </c>
      <c r="K36">
        <v>4</v>
      </c>
      <c r="L36">
        <v>2293</v>
      </c>
      <c r="M36" t="str" cm="1">
        <f t="array" ref="M36">_xlfn.IFS(L36&lt;= 7000,"Low",L36&lt;=15000,"Medium",L36&lt;=20000,"High")</f>
        <v>Low</v>
      </c>
      <c r="N36" t="s">
        <v>18</v>
      </c>
      <c r="O36">
        <v>16</v>
      </c>
      <c r="P36">
        <v>3</v>
      </c>
      <c r="Q36">
        <v>1</v>
      </c>
      <c r="R36">
        <v>6</v>
      </c>
      <c r="S36">
        <v>2</v>
      </c>
      <c r="T36">
        <v>2</v>
      </c>
      <c r="U36">
        <v>0</v>
      </c>
    </row>
    <row r="37" spans="1:21" x14ac:dyDescent="0.35">
      <c r="A37">
        <v>43</v>
      </c>
      <c r="B37" t="str" cm="1">
        <f t="array" ref="B37">_xlfn.IFS(A37&gt;40,"Senior",A37&gt;30,"Adult",A37&gt;=18,"Teenager")</f>
        <v>Senior</v>
      </c>
      <c r="C37" t="s">
        <v>22</v>
      </c>
      <c r="D37">
        <f t="shared" si="0"/>
        <v>0</v>
      </c>
      <c r="E37" t="s">
        <v>23</v>
      </c>
      <c r="F37">
        <v>4</v>
      </c>
      <c r="G37" t="s">
        <v>20</v>
      </c>
      <c r="H37">
        <v>4</v>
      </c>
      <c r="I37">
        <v>1</v>
      </c>
      <c r="J37" t="s">
        <v>25</v>
      </c>
      <c r="K37">
        <v>3</v>
      </c>
      <c r="L37">
        <v>2645</v>
      </c>
      <c r="M37" t="str" cm="1">
        <f t="array" ref="M37">_xlfn.IFS(L37&lt;= 7000,"Low",L37&lt;=15000,"Medium",L37&lt;=20000,"High")</f>
        <v>Low</v>
      </c>
      <c r="N37" t="s">
        <v>22</v>
      </c>
      <c r="O37">
        <v>12</v>
      </c>
      <c r="P37">
        <v>3</v>
      </c>
      <c r="Q37">
        <v>4</v>
      </c>
      <c r="R37">
        <v>6</v>
      </c>
      <c r="S37">
        <v>2</v>
      </c>
      <c r="T37">
        <v>5</v>
      </c>
      <c r="U37">
        <v>3</v>
      </c>
    </row>
    <row r="38" spans="1:21" x14ac:dyDescent="0.35">
      <c r="A38">
        <v>50</v>
      </c>
      <c r="B38" t="str" cm="1">
        <f t="array" ref="B38">_xlfn.IFS(A38&gt;40,"Senior",A38&gt;30,"Adult",A38&gt;=18,"Teenager")</f>
        <v>Senior</v>
      </c>
      <c r="C38" t="s">
        <v>18</v>
      </c>
      <c r="D38">
        <f t="shared" si="0"/>
        <v>1</v>
      </c>
      <c r="E38" t="s">
        <v>19</v>
      </c>
      <c r="F38">
        <v>1</v>
      </c>
      <c r="G38" t="s">
        <v>24</v>
      </c>
      <c r="H38">
        <v>2</v>
      </c>
      <c r="I38">
        <v>1</v>
      </c>
      <c r="J38" t="s">
        <v>30</v>
      </c>
      <c r="K38">
        <v>3</v>
      </c>
      <c r="L38">
        <v>2683</v>
      </c>
      <c r="M38" t="str" cm="1">
        <f t="array" ref="M38">_xlfn.IFS(L38&lt;= 7000,"Low",L38&lt;=15000,"Medium",L38&lt;=20000,"High")</f>
        <v>Low</v>
      </c>
      <c r="N38" t="s">
        <v>18</v>
      </c>
      <c r="O38">
        <v>14</v>
      </c>
      <c r="P38">
        <v>3</v>
      </c>
      <c r="Q38">
        <v>3</v>
      </c>
      <c r="R38">
        <v>3</v>
      </c>
      <c r="S38">
        <v>3</v>
      </c>
      <c r="T38">
        <v>3</v>
      </c>
      <c r="U38">
        <v>2</v>
      </c>
    </row>
    <row r="39" spans="1:21" x14ac:dyDescent="0.35">
      <c r="A39">
        <v>35</v>
      </c>
      <c r="B39" t="str" cm="1">
        <f t="array" ref="B39">_xlfn.IFS(A39&gt;40,"Senior",A39&gt;30,"Adult",A39&gt;=18,"Teenager")</f>
        <v>Adult</v>
      </c>
      <c r="C39" t="s">
        <v>22</v>
      </c>
      <c r="D39">
        <f t="shared" si="0"/>
        <v>0</v>
      </c>
      <c r="E39" t="s">
        <v>19</v>
      </c>
      <c r="F39">
        <v>4</v>
      </c>
      <c r="G39" t="s">
        <v>20</v>
      </c>
      <c r="H39">
        <v>3</v>
      </c>
      <c r="I39">
        <v>1</v>
      </c>
      <c r="J39" t="s">
        <v>30</v>
      </c>
      <c r="K39">
        <v>4</v>
      </c>
      <c r="L39">
        <v>2014</v>
      </c>
      <c r="M39" t="str" cm="1">
        <f t="array" ref="M39">_xlfn.IFS(L39&lt;= 7000,"Low",L39&lt;=15000,"Medium",L39&lt;=20000,"High")</f>
        <v>Low</v>
      </c>
      <c r="N39" t="s">
        <v>22</v>
      </c>
      <c r="O39">
        <v>13</v>
      </c>
      <c r="P39">
        <v>3</v>
      </c>
      <c r="Q39">
        <v>1</v>
      </c>
      <c r="R39">
        <v>2</v>
      </c>
      <c r="S39">
        <v>3</v>
      </c>
      <c r="T39">
        <v>2</v>
      </c>
      <c r="U39">
        <v>2</v>
      </c>
    </row>
    <row r="40" spans="1:21" x14ac:dyDescent="0.35">
      <c r="A40">
        <v>36</v>
      </c>
      <c r="B40" t="str" cm="1">
        <f t="array" ref="B40">_xlfn.IFS(A40&gt;40,"Senior",A40&gt;30,"Adult",A40&gt;=18,"Teenager")</f>
        <v>Adult</v>
      </c>
      <c r="C40" t="s">
        <v>22</v>
      </c>
      <c r="D40">
        <f t="shared" si="0"/>
        <v>0</v>
      </c>
      <c r="E40" t="s">
        <v>23</v>
      </c>
      <c r="F40">
        <v>2</v>
      </c>
      <c r="G40" t="s">
        <v>20</v>
      </c>
      <c r="H40">
        <v>2</v>
      </c>
      <c r="I40">
        <v>1</v>
      </c>
      <c r="J40" t="s">
        <v>25</v>
      </c>
      <c r="K40">
        <v>1</v>
      </c>
      <c r="L40">
        <v>3419</v>
      </c>
      <c r="M40" t="str" cm="1">
        <f t="array" ref="M40">_xlfn.IFS(L40&lt;= 7000,"Low",L40&lt;=15000,"Medium",L40&lt;=20000,"High")</f>
        <v>Low</v>
      </c>
      <c r="N40" t="s">
        <v>18</v>
      </c>
      <c r="O40">
        <v>14</v>
      </c>
      <c r="P40">
        <v>3</v>
      </c>
      <c r="Q40">
        <v>4</v>
      </c>
      <c r="R40">
        <v>6</v>
      </c>
      <c r="S40">
        <v>4</v>
      </c>
      <c r="T40">
        <v>1</v>
      </c>
      <c r="U40">
        <v>1</v>
      </c>
    </row>
    <row r="41" spans="1:21" x14ac:dyDescent="0.35">
      <c r="A41">
        <v>33</v>
      </c>
      <c r="B41" t="str" cm="1">
        <f t="array" ref="B41">_xlfn.IFS(A41&gt;40,"Senior",A41&gt;30,"Adult",A41&gt;=18,"Teenager")</f>
        <v>Adult</v>
      </c>
      <c r="C41" t="s">
        <v>22</v>
      </c>
      <c r="D41">
        <f t="shared" si="0"/>
        <v>0</v>
      </c>
      <c r="E41" t="s">
        <v>19</v>
      </c>
      <c r="F41">
        <v>3</v>
      </c>
      <c r="G41" t="s">
        <v>20</v>
      </c>
      <c r="H41">
        <v>4</v>
      </c>
      <c r="I41">
        <v>2</v>
      </c>
      <c r="J41" t="s">
        <v>21</v>
      </c>
      <c r="K41">
        <v>1</v>
      </c>
      <c r="L41">
        <v>5376</v>
      </c>
      <c r="M41" t="str" cm="1">
        <f t="array" ref="M41">_xlfn.IFS(L41&lt;= 7000,"Low",L41&lt;=15000,"Medium",L41&lt;=20000,"High")</f>
        <v>Low</v>
      </c>
      <c r="N41" t="s">
        <v>22</v>
      </c>
      <c r="O41">
        <v>19</v>
      </c>
      <c r="P41">
        <v>3</v>
      </c>
      <c r="Q41">
        <v>1</v>
      </c>
      <c r="R41">
        <v>10</v>
      </c>
      <c r="S41">
        <v>3</v>
      </c>
      <c r="T41">
        <v>5</v>
      </c>
      <c r="U41">
        <v>3</v>
      </c>
    </row>
    <row r="42" spans="1:21" x14ac:dyDescent="0.35">
      <c r="A42">
        <v>35</v>
      </c>
      <c r="B42" t="str" cm="1">
        <f t="array" ref="B42">_xlfn.IFS(A42&gt;40,"Senior",A42&gt;30,"Adult",A42&gt;=18,"Teenager")</f>
        <v>Adult</v>
      </c>
      <c r="C42" t="s">
        <v>22</v>
      </c>
      <c r="D42">
        <f t="shared" si="0"/>
        <v>0</v>
      </c>
      <c r="E42" t="s">
        <v>23</v>
      </c>
      <c r="F42">
        <v>3</v>
      </c>
      <c r="G42" t="s">
        <v>24</v>
      </c>
      <c r="H42">
        <v>3</v>
      </c>
      <c r="I42">
        <v>1</v>
      </c>
      <c r="J42" t="s">
        <v>26</v>
      </c>
      <c r="K42">
        <v>4</v>
      </c>
      <c r="L42">
        <v>1951</v>
      </c>
      <c r="M42" t="str" cm="1">
        <f t="array" ref="M42">_xlfn.IFS(L42&lt;= 7000,"Low",L42&lt;=15000,"Medium",L42&lt;=20000,"High")</f>
        <v>Low</v>
      </c>
      <c r="N42" t="s">
        <v>22</v>
      </c>
      <c r="O42">
        <v>12</v>
      </c>
      <c r="P42">
        <v>3</v>
      </c>
      <c r="Q42">
        <v>3</v>
      </c>
      <c r="R42">
        <v>1</v>
      </c>
      <c r="S42">
        <v>3</v>
      </c>
      <c r="T42">
        <v>1</v>
      </c>
      <c r="U42">
        <v>0</v>
      </c>
    </row>
    <row r="43" spans="1:21" x14ac:dyDescent="0.35">
      <c r="A43">
        <v>27</v>
      </c>
      <c r="B43" t="str" cm="1">
        <f t="array" ref="B43">_xlfn.IFS(A43&gt;40,"Senior",A43&gt;30,"Adult",A43&gt;=18,"Teenager")</f>
        <v>Teenager</v>
      </c>
      <c r="C43" t="s">
        <v>22</v>
      </c>
      <c r="D43">
        <f t="shared" si="0"/>
        <v>0</v>
      </c>
      <c r="E43" t="s">
        <v>23</v>
      </c>
      <c r="F43">
        <v>4</v>
      </c>
      <c r="G43" t="s">
        <v>20</v>
      </c>
      <c r="H43">
        <v>3</v>
      </c>
      <c r="I43">
        <v>1</v>
      </c>
      <c r="J43" t="s">
        <v>26</v>
      </c>
      <c r="K43">
        <v>1</v>
      </c>
      <c r="L43">
        <v>2341</v>
      </c>
      <c r="M43" t="str" cm="1">
        <f t="array" ref="M43">_xlfn.IFS(L43&lt;= 7000,"Low",L43&lt;=15000,"Medium",L43&lt;=20000,"High")</f>
        <v>Low</v>
      </c>
      <c r="N43" t="s">
        <v>22</v>
      </c>
      <c r="O43">
        <v>13</v>
      </c>
      <c r="P43">
        <v>3</v>
      </c>
      <c r="Q43">
        <v>4</v>
      </c>
      <c r="R43">
        <v>1</v>
      </c>
      <c r="S43">
        <v>3</v>
      </c>
      <c r="T43">
        <v>1</v>
      </c>
      <c r="U43">
        <v>0</v>
      </c>
    </row>
    <row r="44" spans="1:21" x14ac:dyDescent="0.35">
      <c r="A44">
        <v>26</v>
      </c>
      <c r="B44" t="str" cm="1">
        <f t="array" ref="B44">_xlfn.IFS(A44&gt;40,"Senior",A44&gt;30,"Adult",A44&gt;=18,"Teenager")</f>
        <v>Teenager</v>
      </c>
      <c r="C44" t="s">
        <v>18</v>
      </c>
      <c r="D44">
        <f t="shared" si="0"/>
        <v>1</v>
      </c>
      <c r="E44" t="s">
        <v>23</v>
      </c>
      <c r="F44">
        <v>1</v>
      </c>
      <c r="G44" t="s">
        <v>24</v>
      </c>
      <c r="H44">
        <v>1</v>
      </c>
      <c r="I44">
        <v>1</v>
      </c>
      <c r="J44" t="s">
        <v>26</v>
      </c>
      <c r="K44">
        <v>3</v>
      </c>
      <c r="L44">
        <v>2293</v>
      </c>
      <c r="M44" t="str" cm="1">
        <f t="array" ref="M44">_xlfn.IFS(L44&lt;= 7000,"Low",L44&lt;=15000,"Medium",L44&lt;=20000,"High")</f>
        <v>Low</v>
      </c>
      <c r="N44" t="s">
        <v>22</v>
      </c>
      <c r="O44">
        <v>12</v>
      </c>
      <c r="P44">
        <v>3</v>
      </c>
      <c r="Q44">
        <v>3</v>
      </c>
      <c r="R44">
        <v>1</v>
      </c>
      <c r="S44">
        <v>2</v>
      </c>
      <c r="T44">
        <v>1</v>
      </c>
      <c r="U44">
        <v>0</v>
      </c>
    </row>
    <row r="45" spans="1:21" x14ac:dyDescent="0.35">
      <c r="A45">
        <v>27</v>
      </c>
      <c r="B45" t="str" cm="1">
        <f t="array" ref="B45">_xlfn.IFS(A45&gt;40,"Senior",A45&gt;30,"Adult",A45&gt;=18,"Teenager")</f>
        <v>Teenager</v>
      </c>
      <c r="C45" t="s">
        <v>22</v>
      </c>
      <c r="D45">
        <f t="shared" si="0"/>
        <v>0</v>
      </c>
      <c r="E45" t="s">
        <v>19</v>
      </c>
      <c r="F45">
        <v>4</v>
      </c>
      <c r="G45" t="s">
        <v>24</v>
      </c>
      <c r="H45">
        <v>3</v>
      </c>
      <c r="I45">
        <v>3</v>
      </c>
      <c r="J45" t="s">
        <v>21</v>
      </c>
      <c r="K45">
        <v>3</v>
      </c>
      <c r="L45">
        <v>8726</v>
      </c>
      <c r="M45" t="str" cm="1">
        <f t="array" ref="M45">_xlfn.IFS(L45&lt;= 7000,"Low",L45&lt;=15000,"Medium",L45&lt;=20000,"High")</f>
        <v>Medium</v>
      </c>
      <c r="N45" t="s">
        <v>22</v>
      </c>
      <c r="O45">
        <v>15</v>
      </c>
      <c r="P45">
        <v>3</v>
      </c>
      <c r="Q45">
        <v>4</v>
      </c>
      <c r="R45">
        <v>9</v>
      </c>
      <c r="S45">
        <v>3</v>
      </c>
      <c r="T45">
        <v>9</v>
      </c>
      <c r="U45">
        <v>8</v>
      </c>
    </row>
    <row r="46" spans="1:21" x14ac:dyDescent="0.35">
      <c r="A46">
        <v>30</v>
      </c>
      <c r="B46" t="str" cm="1">
        <f t="array" ref="B46">_xlfn.IFS(A46&gt;40,"Senior",A46&gt;30,"Adult",A46&gt;=18,"Teenager")</f>
        <v>Teenager</v>
      </c>
      <c r="C46" t="s">
        <v>22</v>
      </c>
      <c r="D46">
        <f t="shared" si="0"/>
        <v>0</v>
      </c>
      <c r="E46" t="s">
        <v>23</v>
      </c>
      <c r="F46">
        <v>3</v>
      </c>
      <c r="G46" t="s">
        <v>20</v>
      </c>
      <c r="H46">
        <v>3</v>
      </c>
      <c r="I46">
        <v>2</v>
      </c>
      <c r="J46" t="s">
        <v>26</v>
      </c>
      <c r="K46">
        <v>4</v>
      </c>
      <c r="L46">
        <v>4011</v>
      </c>
      <c r="M46" t="str" cm="1">
        <f t="array" ref="M46">_xlfn.IFS(L46&lt;= 7000,"Low",L46&lt;=15000,"Medium",L46&lt;=20000,"High")</f>
        <v>Low</v>
      </c>
      <c r="N46" t="s">
        <v>22</v>
      </c>
      <c r="O46">
        <v>23</v>
      </c>
      <c r="P46">
        <v>4</v>
      </c>
      <c r="Q46">
        <v>4</v>
      </c>
      <c r="R46">
        <v>12</v>
      </c>
      <c r="S46">
        <v>3</v>
      </c>
      <c r="T46">
        <v>12</v>
      </c>
      <c r="U46">
        <v>8</v>
      </c>
    </row>
    <row r="47" spans="1:21" x14ac:dyDescent="0.35">
      <c r="A47">
        <v>41</v>
      </c>
      <c r="B47" t="str" cm="1">
        <f t="array" ref="B47">_xlfn.IFS(A47&gt;40,"Senior",A47&gt;30,"Adult",A47&gt;=18,"Teenager")</f>
        <v>Senior</v>
      </c>
      <c r="C47" t="s">
        <v>18</v>
      </c>
      <c r="D47">
        <f t="shared" si="0"/>
        <v>1</v>
      </c>
      <c r="E47" t="s">
        <v>23</v>
      </c>
      <c r="F47">
        <v>2</v>
      </c>
      <c r="G47" t="s">
        <v>20</v>
      </c>
      <c r="H47">
        <v>3</v>
      </c>
      <c r="I47">
        <v>5</v>
      </c>
      <c r="J47" t="s">
        <v>31</v>
      </c>
      <c r="K47">
        <v>3</v>
      </c>
      <c r="L47">
        <v>19545</v>
      </c>
      <c r="M47" t="str" cm="1">
        <f t="array" ref="M47">_xlfn.IFS(L47&lt;= 7000,"Low",L47&lt;=15000,"Medium",L47&lt;=20000,"High")</f>
        <v>High</v>
      </c>
      <c r="N47" t="s">
        <v>22</v>
      </c>
      <c r="O47">
        <v>12</v>
      </c>
      <c r="P47">
        <v>3</v>
      </c>
      <c r="Q47">
        <v>4</v>
      </c>
      <c r="R47">
        <v>23</v>
      </c>
      <c r="S47">
        <v>3</v>
      </c>
      <c r="T47">
        <v>22</v>
      </c>
      <c r="U47">
        <v>15</v>
      </c>
    </row>
    <row r="48" spans="1:21" x14ac:dyDescent="0.35">
      <c r="A48">
        <v>34</v>
      </c>
      <c r="B48" t="str" cm="1">
        <f t="array" ref="B48">_xlfn.IFS(A48&gt;40,"Senior",A48&gt;30,"Adult",A48&gt;=18,"Teenager")</f>
        <v>Adult</v>
      </c>
      <c r="C48" t="s">
        <v>22</v>
      </c>
      <c r="D48">
        <f t="shared" si="0"/>
        <v>0</v>
      </c>
      <c r="E48" t="s">
        <v>19</v>
      </c>
      <c r="F48">
        <v>2</v>
      </c>
      <c r="G48" t="s">
        <v>24</v>
      </c>
      <c r="H48">
        <v>3</v>
      </c>
      <c r="I48">
        <v>2</v>
      </c>
      <c r="J48" t="s">
        <v>21</v>
      </c>
      <c r="K48">
        <v>3</v>
      </c>
      <c r="L48">
        <v>4568</v>
      </c>
      <c r="M48" t="str" cm="1">
        <f t="array" ref="M48">_xlfn.IFS(L48&lt;= 7000,"Low",L48&lt;=15000,"Medium",L48&lt;=20000,"High")</f>
        <v>Low</v>
      </c>
      <c r="N48" t="s">
        <v>22</v>
      </c>
      <c r="O48">
        <v>20</v>
      </c>
      <c r="P48">
        <v>4</v>
      </c>
      <c r="Q48">
        <v>3</v>
      </c>
      <c r="R48">
        <v>10</v>
      </c>
      <c r="S48">
        <v>3</v>
      </c>
      <c r="T48">
        <v>9</v>
      </c>
      <c r="U48">
        <v>5</v>
      </c>
    </row>
    <row r="49" spans="1:21" x14ac:dyDescent="0.35">
      <c r="A49">
        <v>37</v>
      </c>
      <c r="B49" t="str" cm="1">
        <f t="array" ref="B49">_xlfn.IFS(A49&gt;40,"Senior",A49&gt;30,"Adult",A49&gt;=18,"Teenager")</f>
        <v>Adult</v>
      </c>
      <c r="C49" t="s">
        <v>22</v>
      </c>
      <c r="D49">
        <f t="shared" si="0"/>
        <v>0</v>
      </c>
      <c r="E49" t="s">
        <v>23</v>
      </c>
      <c r="F49">
        <v>2</v>
      </c>
      <c r="G49" t="s">
        <v>24</v>
      </c>
      <c r="H49">
        <v>3</v>
      </c>
      <c r="I49">
        <v>1</v>
      </c>
      <c r="J49" t="s">
        <v>25</v>
      </c>
      <c r="K49">
        <v>2</v>
      </c>
      <c r="L49">
        <v>3022</v>
      </c>
      <c r="M49" t="str" cm="1">
        <f t="array" ref="M49">_xlfn.IFS(L49&lt;= 7000,"Low",L49&lt;=15000,"Medium",L49&lt;=20000,"High")</f>
        <v>Low</v>
      </c>
      <c r="N49" t="s">
        <v>22</v>
      </c>
      <c r="O49">
        <v>21</v>
      </c>
      <c r="P49">
        <v>4</v>
      </c>
      <c r="Q49">
        <v>1</v>
      </c>
      <c r="R49">
        <v>8</v>
      </c>
      <c r="S49">
        <v>3</v>
      </c>
      <c r="T49">
        <v>1</v>
      </c>
      <c r="U49">
        <v>0</v>
      </c>
    </row>
    <row r="50" spans="1:21" x14ac:dyDescent="0.35">
      <c r="A50">
        <v>46</v>
      </c>
      <c r="B50" t="str" cm="1">
        <f t="array" ref="B50">_xlfn.IFS(A50&gt;40,"Senior",A50&gt;30,"Adult",A50&gt;=18,"Teenager")</f>
        <v>Senior</v>
      </c>
      <c r="C50" t="s">
        <v>22</v>
      </c>
      <c r="D50">
        <f t="shared" si="0"/>
        <v>0</v>
      </c>
      <c r="E50" t="s">
        <v>19</v>
      </c>
      <c r="F50">
        <v>1</v>
      </c>
      <c r="G50" t="s">
        <v>24</v>
      </c>
      <c r="H50">
        <v>3</v>
      </c>
      <c r="I50">
        <v>2</v>
      </c>
      <c r="J50" t="s">
        <v>21</v>
      </c>
      <c r="K50">
        <v>4</v>
      </c>
      <c r="L50">
        <v>5772</v>
      </c>
      <c r="M50" t="str" cm="1">
        <f t="array" ref="M50">_xlfn.IFS(L50&lt;= 7000,"Low",L50&lt;=15000,"Medium",L50&lt;=20000,"High")</f>
        <v>Low</v>
      </c>
      <c r="N50" t="s">
        <v>18</v>
      </c>
      <c r="O50">
        <v>21</v>
      </c>
      <c r="P50">
        <v>4</v>
      </c>
      <c r="Q50">
        <v>3</v>
      </c>
      <c r="R50">
        <v>14</v>
      </c>
      <c r="S50">
        <v>3</v>
      </c>
      <c r="T50">
        <v>9</v>
      </c>
      <c r="U50">
        <v>6</v>
      </c>
    </row>
    <row r="51" spans="1:21" x14ac:dyDescent="0.35">
      <c r="A51">
        <v>35</v>
      </c>
      <c r="B51" t="str" cm="1">
        <f t="array" ref="B51">_xlfn.IFS(A51&gt;40,"Senior",A51&gt;30,"Adult",A51&gt;=18,"Teenager")</f>
        <v>Adult</v>
      </c>
      <c r="C51" t="s">
        <v>22</v>
      </c>
      <c r="D51">
        <f t="shared" si="0"/>
        <v>0</v>
      </c>
      <c r="E51" t="s">
        <v>23</v>
      </c>
      <c r="F51">
        <v>4</v>
      </c>
      <c r="G51" t="s">
        <v>24</v>
      </c>
      <c r="H51">
        <v>4</v>
      </c>
      <c r="I51">
        <v>1</v>
      </c>
      <c r="J51" t="s">
        <v>26</v>
      </c>
      <c r="K51">
        <v>4</v>
      </c>
      <c r="L51">
        <v>2269</v>
      </c>
      <c r="M51" t="str" cm="1">
        <f t="array" ref="M51">_xlfn.IFS(L51&lt;= 7000,"Low",L51&lt;=15000,"Medium",L51&lt;=20000,"High")</f>
        <v>Low</v>
      </c>
      <c r="N51" t="s">
        <v>22</v>
      </c>
      <c r="O51">
        <v>19</v>
      </c>
      <c r="P51">
        <v>3</v>
      </c>
      <c r="Q51">
        <v>4</v>
      </c>
      <c r="R51">
        <v>1</v>
      </c>
      <c r="S51">
        <v>3</v>
      </c>
      <c r="T51">
        <v>1</v>
      </c>
      <c r="U51">
        <v>0</v>
      </c>
    </row>
    <row r="52" spans="1:21" x14ac:dyDescent="0.35">
      <c r="A52">
        <v>48</v>
      </c>
      <c r="B52" t="str" cm="1">
        <f t="array" ref="B52">_xlfn.IFS(A52&gt;40,"Senior",A52&gt;30,"Adult",A52&gt;=18,"Teenager")</f>
        <v>Senior</v>
      </c>
      <c r="C52" t="s">
        <v>18</v>
      </c>
      <c r="D52">
        <f t="shared" si="0"/>
        <v>1</v>
      </c>
      <c r="E52" t="s">
        <v>23</v>
      </c>
      <c r="F52">
        <v>1</v>
      </c>
      <c r="G52" t="s">
        <v>24</v>
      </c>
      <c r="H52">
        <v>2</v>
      </c>
      <c r="I52">
        <v>3</v>
      </c>
      <c r="J52" t="s">
        <v>26</v>
      </c>
      <c r="K52">
        <v>3</v>
      </c>
      <c r="L52">
        <v>5381</v>
      </c>
      <c r="M52" t="str" cm="1">
        <f t="array" ref="M52">_xlfn.IFS(L52&lt;= 7000,"Low",L52&lt;=15000,"Medium",L52&lt;=20000,"High")</f>
        <v>Low</v>
      </c>
      <c r="N52" t="s">
        <v>18</v>
      </c>
      <c r="O52">
        <v>13</v>
      </c>
      <c r="P52">
        <v>3</v>
      </c>
      <c r="Q52">
        <v>4</v>
      </c>
      <c r="R52">
        <v>23</v>
      </c>
      <c r="S52">
        <v>3</v>
      </c>
      <c r="T52">
        <v>1</v>
      </c>
      <c r="U52">
        <v>0</v>
      </c>
    </row>
    <row r="53" spans="1:21" x14ac:dyDescent="0.35">
      <c r="A53">
        <v>28</v>
      </c>
      <c r="B53" t="str" cm="1">
        <f t="array" ref="B53">_xlfn.IFS(A53&gt;40,"Senior",A53&gt;30,"Adult",A53&gt;=18,"Teenager")</f>
        <v>Teenager</v>
      </c>
      <c r="C53" t="s">
        <v>18</v>
      </c>
      <c r="D53">
        <f t="shared" si="0"/>
        <v>1</v>
      </c>
      <c r="E53" t="s">
        <v>23</v>
      </c>
      <c r="F53">
        <v>3</v>
      </c>
      <c r="G53" t="s">
        <v>24</v>
      </c>
      <c r="H53">
        <v>3</v>
      </c>
      <c r="I53">
        <v>1</v>
      </c>
      <c r="J53" t="s">
        <v>26</v>
      </c>
      <c r="K53">
        <v>3</v>
      </c>
      <c r="L53">
        <v>3441</v>
      </c>
      <c r="M53" t="str" cm="1">
        <f t="array" ref="M53">_xlfn.IFS(L53&lt;= 7000,"Low",L53&lt;=15000,"Medium",L53&lt;=20000,"High")</f>
        <v>Low</v>
      </c>
      <c r="N53" t="s">
        <v>18</v>
      </c>
      <c r="O53">
        <v>13</v>
      </c>
      <c r="P53">
        <v>3</v>
      </c>
      <c r="Q53">
        <v>3</v>
      </c>
      <c r="R53">
        <v>2</v>
      </c>
      <c r="S53">
        <v>2</v>
      </c>
      <c r="T53">
        <v>2</v>
      </c>
      <c r="U53">
        <v>2</v>
      </c>
    </row>
    <row r="54" spans="1:21" x14ac:dyDescent="0.35">
      <c r="A54">
        <v>44</v>
      </c>
      <c r="B54" t="str" cm="1">
        <f t="array" ref="B54">_xlfn.IFS(A54&gt;40,"Senior",A54&gt;30,"Adult",A54&gt;=18,"Teenager")</f>
        <v>Senior</v>
      </c>
      <c r="C54" t="s">
        <v>22</v>
      </c>
      <c r="D54">
        <f t="shared" si="0"/>
        <v>0</v>
      </c>
      <c r="E54" t="s">
        <v>19</v>
      </c>
      <c r="F54">
        <v>2</v>
      </c>
      <c r="G54" t="s">
        <v>20</v>
      </c>
      <c r="H54">
        <v>3</v>
      </c>
      <c r="I54">
        <v>2</v>
      </c>
      <c r="J54" t="s">
        <v>21</v>
      </c>
      <c r="K54">
        <v>1</v>
      </c>
      <c r="L54">
        <v>5454</v>
      </c>
      <c r="M54" t="str" cm="1">
        <f t="array" ref="M54">_xlfn.IFS(L54&lt;= 7000,"Low",L54&lt;=15000,"Medium",L54&lt;=20000,"High")</f>
        <v>Low</v>
      </c>
      <c r="N54" t="s">
        <v>18</v>
      </c>
      <c r="O54">
        <v>21</v>
      </c>
      <c r="P54">
        <v>4</v>
      </c>
      <c r="Q54">
        <v>3</v>
      </c>
      <c r="R54">
        <v>9</v>
      </c>
      <c r="S54">
        <v>2</v>
      </c>
      <c r="T54">
        <v>4</v>
      </c>
      <c r="U54">
        <v>3</v>
      </c>
    </row>
    <row r="55" spans="1:21" x14ac:dyDescent="0.35">
      <c r="A55">
        <v>35</v>
      </c>
      <c r="B55" t="str" cm="1">
        <f t="array" ref="B55">_xlfn.IFS(A55&gt;40,"Senior",A55&gt;30,"Adult",A55&gt;=18,"Teenager")</f>
        <v>Adult</v>
      </c>
      <c r="C55" t="s">
        <v>22</v>
      </c>
      <c r="D55">
        <f t="shared" si="0"/>
        <v>0</v>
      </c>
      <c r="E55" t="s">
        <v>23</v>
      </c>
      <c r="F55">
        <v>3</v>
      </c>
      <c r="G55" t="s">
        <v>24</v>
      </c>
      <c r="H55">
        <v>2</v>
      </c>
      <c r="I55">
        <v>3</v>
      </c>
      <c r="J55" t="s">
        <v>28</v>
      </c>
      <c r="K55">
        <v>1</v>
      </c>
      <c r="L55">
        <v>9884</v>
      </c>
      <c r="M55" t="str" cm="1">
        <f t="array" ref="M55">_xlfn.IFS(L55&lt;= 7000,"Low",L55&lt;=15000,"Medium",L55&lt;=20000,"High")</f>
        <v>Medium</v>
      </c>
      <c r="N55" t="s">
        <v>18</v>
      </c>
      <c r="O55">
        <v>13</v>
      </c>
      <c r="P55">
        <v>3</v>
      </c>
      <c r="Q55">
        <v>3</v>
      </c>
      <c r="R55">
        <v>10</v>
      </c>
      <c r="S55">
        <v>3</v>
      </c>
      <c r="T55">
        <v>4</v>
      </c>
      <c r="U55">
        <v>0</v>
      </c>
    </row>
    <row r="56" spans="1:21" x14ac:dyDescent="0.35">
      <c r="A56">
        <v>26</v>
      </c>
      <c r="B56" t="str" cm="1">
        <f t="array" ref="B56">_xlfn.IFS(A56&gt;40,"Senior",A56&gt;30,"Adult",A56&gt;=18,"Teenager")</f>
        <v>Teenager</v>
      </c>
      <c r="C56" t="s">
        <v>22</v>
      </c>
      <c r="D56">
        <f t="shared" si="0"/>
        <v>0</v>
      </c>
      <c r="E56" t="s">
        <v>19</v>
      </c>
      <c r="F56">
        <v>3</v>
      </c>
      <c r="G56" t="s">
        <v>20</v>
      </c>
      <c r="H56">
        <v>2</v>
      </c>
      <c r="I56">
        <v>2</v>
      </c>
      <c r="J56" t="s">
        <v>21</v>
      </c>
      <c r="K56">
        <v>4</v>
      </c>
      <c r="L56">
        <v>4157</v>
      </c>
      <c r="M56" t="str" cm="1">
        <f t="array" ref="M56">_xlfn.IFS(L56&lt;= 7000,"Low",L56&lt;=15000,"Medium",L56&lt;=20000,"High")</f>
        <v>Low</v>
      </c>
      <c r="N56" t="s">
        <v>18</v>
      </c>
      <c r="O56">
        <v>19</v>
      </c>
      <c r="P56">
        <v>3</v>
      </c>
      <c r="Q56">
        <v>3</v>
      </c>
      <c r="R56">
        <v>5</v>
      </c>
      <c r="S56">
        <v>2</v>
      </c>
      <c r="T56">
        <v>2</v>
      </c>
      <c r="U56">
        <v>2</v>
      </c>
    </row>
    <row r="57" spans="1:21" x14ac:dyDescent="0.35">
      <c r="A57">
        <v>33</v>
      </c>
      <c r="B57" t="str" cm="1">
        <f t="array" ref="B57">_xlfn.IFS(A57&gt;40,"Senior",A57&gt;30,"Adult",A57&gt;=18,"Teenager")</f>
        <v>Adult</v>
      </c>
      <c r="C57" t="s">
        <v>22</v>
      </c>
      <c r="D57">
        <f t="shared" si="0"/>
        <v>0</v>
      </c>
      <c r="E57" t="s">
        <v>23</v>
      </c>
      <c r="F57">
        <v>1</v>
      </c>
      <c r="G57" t="s">
        <v>20</v>
      </c>
      <c r="H57">
        <v>3</v>
      </c>
      <c r="I57">
        <v>3</v>
      </c>
      <c r="J57" t="s">
        <v>31</v>
      </c>
      <c r="K57">
        <v>4</v>
      </c>
      <c r="L57">
        <v>13458</v>
      </c>
      <c r="M57" t="str" cm="1">
        <f t="array" ref="M57">_xlfn.IFS(L57&lt;= 7000,"Low",L57&lt;=15000,"Medium",L57&lt;=20000,"High")</f>
        <v>Medium</v>
      </c>
      <c r="N57" t="s">
        <v>18</v>
      </c>
      <c r="O57">
        <v>12</v>
      </c>
      <c r="P57">
        <v>3</v>
      </c>
      <c r="Q57">
        <v>3</v>
      </c>
      <c r="R57">
        <v>15</v>
      </c>
      <c r="S57">
        <v>3</v>
      </c>
      <c r="T57">
        <v>15</v>
      </c>
      <c r="U57">
        <v>14</v>
      </c>
    </row>
    <row r="58" spans="1:21" x14ac:dyDescent="0.35">
      <c r="A58">
        <v>35</v>
      </c>
      <c r="B58" t="str" cm="1">
        <f t="array" ref="B58">_xlfn.IFS(A58&gt;40,"Senior",A58&gt;30,"Adult",A58&gt;=18,"Teenager")</f>
        <v>Adult</v>
      </c>
      <c r="C58" t="s">
        <v>22</v>
      </c>
      <c r="D58">
        <f t="shared" si="0"/>
        <v>0</v>
      </c>
      <c r="E58" t="s">
        <v>19</v>
      </c>
      <c r="F58">
        <v>2</v>
      </c>
      <c r="G58" t="s">
        <v>24</v>
      </c>
      <c r="H58">
        <v>3</v>
      </c>
      <c r="I58">
        <v>3</v>
      </c>
      <c r="J58" t="s">
        <v>21</v>
      </c>
      <c r="K58">
        <v>1</v>
      </c>
      <c r="L58">
        <v>9069</v>
      </c>
      <c r="M58" t="str" cm="1">
        <f t="array" ref="M58">_xlfn.IFS(L58&lt;= 7000,"Low",L58&lt;=15000,"Medium",L58&lt;=20000,"High")</f>
        <v>Medium</v>
      </c>
      <c r="N58" t="s">
        <v>22</v>
      </c>
      <c r="O58">
        <v>22</v>
      </c>
      <c r="P58">
        <v>4</v>
      </c>
      <c r="Q58">
        <v>4</v>
      </c>
      <c r="R58">
        <v>9</v>
      </c>
      <c r="S58">
        <v>2</v>
      </c>
      <c r="T58">
        <v>9</v>
      </c>
      <c r="U58">
        <v>8</v>
      </c>
    </row>
    <row r="59" spans="1:21" x14ac:dyDescent="0.35">
      <c r="A59">
        <v>35</v>
      </c>
      <c r="B59" t="str" cm="1">
        <f t="array" ref="B59">_xlfn.IFS(A59&gt;40,"Senior",A59&gt;30,"Adult",A59&gt;=18,"Teenager")</f>
        <v>Adult</v>
      </c>
      <c r="C59" t="s">
        <v>22</v>
      </c>
      <c r="D59">
        <f t="shared" si="0"/>
        <v>0</v>
      </c>
      <c r="E59" t="s">
        <v>23</v>
      </c>
      <c r="F59">
        <v>3</v>
      </c>
      <c r="G59" t="s">
        <v>20</v>
      </c>
      <c r="H59">
        <v>3</v>
      </c>
      <c r="I59">
        <v>1</v>
      </c>
      <c r="J59" t="s">
        <v>26</v>
      </c>
      <c r="K59">
        <v>1</v>
      </c>
      <c r="L59">
        <v>4014</v>
      </c>
      <c r="M59" t="str" cm="1">
        <f t="array" ref="M59">_xlfn.IFS(L59&lt;= 7000,"Low",L59&lt;=15000,"Medium",L59&lt;=20000,"High")</f>
        <v>Low</v>
      </c>
      <c r="N59" t="s">
        <v>18</v>
      </c>
      <c r="O59">
        <v>15</v>
      </c>
      <c r="P59">
        <v>3</v>
      </c>
      <c r="Q59">
        <v>3</v>
      </c>
      <c r="R59">
        <v>4</v>
      </c>
      <c r="S59">
        <v>3</v>
      </c>
      <c r="T59">
        <v>2</v>
      </c>
      <c r="U59">
        <v>2</v>
      </c>
    </row>
    <row r="60" spans="1:21" x14ac:dyDescent="0.35">
      <c r="A60">
        <v>31</v>
      </c>
      <c r="B60" t="str" cm="1">
        <f t="array" ref="B60">_xlfn.IFS(A60&gt;40,"Senior",A60&gt;30,"Adult",A60&gt;=18,"Teenager")</f>
        <v>Adult</v>
      </c>
      <c r="C60" t="s">
        <v>22</v>
      </c>
      <c r="D60">
        <f t="shared" si="0"/>
        <v>0</v>
      </c>
      <c r="E60" t="s">
        <v>23</v>
      </c>
      <c r="F60">
        <v>4</v>
      </c>
      <c r="G60" t="s">
        <v>24</v>
      </c>
      <c r="H60">
        <v>3</v>
      </c>
      <c r="I60">
        <v>2</v>
      </c>
      <c r="J60" t="s">
        <v>26</v>
      </c>
      <c r="K60">
        <v>4</v>
      </c>
      <c r="L60">
        <v>5915</v>
      </c>
      <c r="M60" t="str" cm="1">
        <f t="array" ref="M60">_xlfn.IFS(L60&lt;= 7000,"Low",L60&lt;=15000,"Medium",L60&lt;=20000,"High")</f>
        <v>Low</v>
      </c>
      <c r="N60" t="s">
        <v>22</v>
      </c>
      <c r="O60">
        <v>22</v>
      </c>
      <c r="P60">
        <v>4</v>
      </c>
      <c r="Q60">
        <v>4</v>
      </c>
      <c r="R60">
        <v>10</v>
      </c>
      <c r="S60">
        <v>2</v>
      </c>
      <c r="T60">
        <v>7</v>
      </c>
      <c r="U60">
        <v>7</v>
      </c>
    </row>
    <row r="61" spans="1:21" x14ac:dyDescent="0.35">
      <c r="A61">
        <v>37</v>
      </c>
      <c r="B61" t="str" cm="1">
        <f t="array" ref="B61">_xlfn.IFS(A61&gt;40,"Senior",A61&gt;30,"Adult",A61&gt;=18,"Teenager")</f>
        <v>Adult</v>
      </c>
      <c r="C61" t="s">
        <v>22</v>
      </c>
      <c r="D61">
        <f t="shared" si="0"/>
        <v>0</v>
      </c>
      <c r="E61" t="s">
        <v>23</v>
      </c>
      <c r="F61">
        <v>1</v>
      </c>
      <c r="G61" t="s">
        <v>24</v>
      </c>
      <c r="H61">
        <v>2</v>
      </c>
      <c r="I61">
        <v>2</v>
      </c>
      <c r="J61" t="s">
        <v>27</v>
      </c>
      <c r="K61">
        <v>3</v>
      </c>
      <c r="L61">
        <v>5993</v>
      </c>
      <c r="M61" t="str" cm="1">
        <f t="array" ref="M61">_xlfn.IFS(L61&lt;= 7000,"Low",L61&lt;=15000,"Medium",L61&lt;=20000,"High")</f>
        <v>Low</v>
      </c>
      <c r="N61" t="s">
        <v>22</v>
      </c>
      <c r="O61">
        <v>18</v>
      </c>
      <c r="P61">
        <v>3</v>
      </c>
      <c r="Q61">
        <v>3</v>
      </c>
      <c r="R61">
        <v>7</v>
      </c>
      <c r="S61">
        <v>4</v>
      </c>
      <c r="T61">
        <v>7</v>
      </c>
      <c r="U61">
        <v>5</v>
      </c>
    </row>
    <row r="62" spans="1:21" x14ac:dyDescent="0.35">
      <c r="A62">
        <v>32</v>
      </c>
      <c r="B62" t="str" cm="1">
        <f t="array" ref="B62">_xlfn.IFS(A62&gt;40,"Senior",A62&gt;30,"Adult",A62&gt;=18,"Teenager")</f>
        <v>Adult</v>
      </c>
      <c r="C62" t="s">
        <v>22</v>
      </c>
      <c r="D62">
        <f t="shared" si="0"/>
        <v>0</v>
      </c>
      <c r="E62" t="s">
        <v>23</v>
      </c>
      <c r="F62">
        <v>1</v>
      </c>
      <c r="G62" t="s">
        <v>24</v>
      </c>
      <c r="H62">
        <v>3</v>
      </c>
      <c r="I62">
        <v>2</v>
      </c>
      <c r="J62" t="s">
        <v>27</v>
      </c>
      <c r="K62">
        <v>4</v>
      </c>
      <c r="L62">
        <v>6162</v>
      </c>
      <c r="M62" t="str" cm="1">
        <f t="array" ref="M62">_xlfn.IFS(L62&lt;= 7000,"Low",L62&lt;=15000,"Medium",L62&lt;=20000,"High")</f>
        <v>Low</v>
      </c>
      <c r="N62" t="s">
        <v>18</v>
      </c>
      <c r="O62">
        <v>22</v>
      </c>
      <c r="P62">
        <v>4</v>
      </c>
      <c r="Q62">
        <v>2</v>
      </c>
      <c r="R62">
        <v>9</v>
      </c>
      <c r="S62">
        <v>3</v>
      </c>
      <c r="T62">
        <v>9</v>
      </c>
      <c r="U62">
        <v>8</v>
      </c>
    </row>
    <row r="63" spans="1:21" x14ac:dyDescent="0.35">
      <c r="A63">
        <v>38</v>
      </c>
      <c r="B63" t="str" cm="1">
        <f t="array" ref="B63">_xlfn.IFS(A63&gt;40,"Senior",A63&gt;30,"Adult",A63&gt;=18,"Teenager")</f>
        <v>Adult</v>
      </c>
      <c r="C63" t="s">
        <v>22</v>
      </c>
      <c r="D63">
        <f t="shared" si="0"/>
        <v>0</v>
      </c>
      <c r="E63" t="s">
        <v>23</v>
      </c>
      <c r="F63">
        <v>4</v>
      </c>
      <c r="G63" t="s">
        <v>20</v>
      </c>
      <c r="H63">
        <v>3</v>
      </c>
      <c r="I63">
        <v>2</v>
      </c>
      <c r="J63" t="s">
        <v>26</v>
      </c>
      <c r="K63">
        <v>4</v>
      </c>
      <c r="L63">
        <v>2406</v>
      </c>
      <c r="M63" t="str" cm="1">
        <f t="array" ref="M63">_xlfn.IFS(L63&lt;= 7000,"Low",L63&lt;=15000,"Medium",L63&lt;=20000,"High")</f>
        <v>Low</v>
      </c>
      <c r="N63" t="s">
        <v>22</v>
      </c>
      <c r="O63">
        <v>11</v>
      </c>
      <c r="P63">
        <v>3</v>
      </c>
      <c r="Q63">
        <v>4</v>
      </c>
      <c r="R63">
        <v>10</v>
      </c>
      <c r="S63">
        <v>3</v>
      </c>
      <c r="T63">
        <v>10</v>
      </c>
      <c r="U63">
        <v>3</v>
      </c>
    </row>
    <row r="64" spans="1:21" x14ac:dyDescent="0.35">
      <c r="A64">
        <v>50</v>
      </c>
      <c r="B64" t="str" cm="1">
        <f t="array" ref="B64">_xlfn.IFS(A64&gt;40,"Senior",A64&gt;30,"Adult",A64&gt;=18,"Teenager")</f>
        <v>Senior</v>
      </c>
      <c r="C64" t="s">
        <v>22</v>
      </c>
      <c r="D64">
        <f t="shared" si="0"/>
        <v>0</v>
      </c>
      <c r="E64" t="s">
        <v>23</v>
      </c>
      <c r="F64">
        <v>2</v>
      </c>
      <c r="G64" t="s">
        <v>20</v>
      </c>
      <c r="H64">
        <v>2</v>
      </c>
      <c r="I64">
        <v>5</v>
      </c>
      <c r="J64" t="s">
        <v>31</v>
      </c>
      <c r="K64">
        <v>3</v>
      </c>
      <c r="L64">
        <v>18740</v>
      </c>
      <c r="M64" t="str" cm="1">
        <f t="array" ref="M64">_xlfn.IFS(L64&lt;= 7000,"Low",L64&lt;=15000,"Medium",L64&lt;=20000,"High")</f>
        <v>High</v>
      </c>
      <c r="N64" t="s">
        <v>18</v>
      </c>
      <c r="O64">
        <v>12</v>
      </c>
      <c r="P64">
        <v>3</v>
      </c>
      <c r="Q64">
        <v>4</v>
      </c>
      <c r="R64">
        <v>29</v>
      </c>
      <c r="S64">
        <v>2</v>
      </c>
      <c r="T64">
        <v>27</v>
      </c>
      <c r="U64">
        <v>3</v>
      </c>
    </row>
    <row r="65" spans="1:21" x14ac:dyDescent="0.35">
      <c r="A65">
        <v>59</v>
      </c>
      <c r="B65" t="str" cm="1">
        <f t="array" ref="B65">_xlfn.IFS(A65&gt;40,"Senior",A65&gt;30,"Adult",A65&gt;=18,"Teenager")</f>
        <v>Senior</v>
      </c>
      <c r="C65" t="s">
        <v>22</v>
      </c>
      <c r="D65">
        <f t="shared" si="0"/>
        <v>0</v>
      </c>
      <c r="E65" t="s">
        <v>19</v>
      </c>
      <c r="F65">
        <v>1</v>
      </c>
      <c r="G65" t="s">
        <v>20</v>
      </c>
      <c r="H65">
        <v>3</v>
      </c>
      <c r="I65">
        <v>3</v>
      </c>
      <c r="J65" t="s">
        <v>21</v>
      </c>
      <c r="K65">
        <v>1</v>
      </c>
      <c r="L65">
        <v>7637</v>
      </c>
      <c r="M65" t="str" cm="1">
        <f t="array" ref="M65">_xlfn.IFS(L65&lt;= 7000,"Low",L65&lt;=15000,"Medium",L65&lt;=20000,"High")</f>
        <v>Medium</v>
      </c>
      <c r="N65" t="s">
        <v>22</v>
      </c>
      <c r="O65">
        <v>11</v>
      </c>
      <c r="P65">
        <v>3</v>
      </c>
      <c r="Q65">
        <v>4</v>
      </c>
      <c r="R65">
        <v>28</v>
      </c>
      <c r="S65">
        <v>2</v>
      </c>
      <c r="T65">
        <v>21</v>
      </c>
      <c r="U65">
        <v>16</v>
      </c>
    </row>
    <row r="66" spans="1:21" x14ac:dyDescent="0.35">
      <c r="A66">
        <v>36</v>
      </c>
      <c r="B66" t="str" cm="1">
        <f t="array" ref="B66">_xlfn.IFS(A66&gt;40,"Senior",A66&gt;30,"Adult",A66&gt;=18,"Teenager")</f>
        <v>Adult</v>
      </c>
      <c r="C66" t="s">
        <v>22</v>
      </c>
      <c r="D66">
        <f t="shared" si="0"/>
        <v>0</v>
      </c>
      <c r="E66" t="s">
        <v>23</v>
      </c>
      <c r="F66">
        <v>3</v>
      </c>
      <c r="G66" t="s">
        <v>20</v>
      </c>
      <c r="H66">
        <v>3</v>
      </c>
      <c r="I66">
        <v>3</v>
      </c>
      <c r="J66" t="s">
        <v>28</v>
      </c>
      <c r="K66">
        <v>3</v>
      </c>
      <c r="L66">
        <v>10096</v>
      </c>
      <c r="M66" t="str" cm="1">
        <f t="array" ref="M66">_xlfn.IFS(L66&lt;= 7000,"Low",L66&lt;=15000,"Medium",L66&lt;=20000,"High")</f>
        <v>Medium</v>
      </c>
      <c r="N66" t="s">
        <v>22</v>
      </c>
      <c r="O66">
        <v>13</v>
      </c>
      <c r="P66">
        <v>3</v>
      </c>
      <c r="Q66">
        <v>2</v>
      </c>
      <c r="R66">
        <v>17</v>
      </c>
      <c r="S66">
        <v>3</v>
      </c>
      <c r="T66">
        <v>17</v>
      </c>
      <c r="U66">
        <v>14</v>
      </c>
    </row>
    <row r="67" spans="1:21" x14ac:dyDescent="0.35">
      <c r="A67">
        <v>55</v>
      </c>
      <c r="B67" t="str" cm="1">
        <f t="array" ref="B67">_xlfn.IFS(A67&gt;40,"Senior",A67&gt;30,"Adult",A67&gt;=18,"Teenager")</f>
        <v>Senior</v>
      </c>
      <c r="C67" t="s">
        <v>22</v>
      </c>
      <c r="D67">
        <f t="shared" ref="D67:D130" si="1">IF(C67="Yes",1,0)</f>
        <v>0</v>
      </c>
      <c r="E67" t="s">
        <v>23</v>
      </c>
      <c r="F67">
        <v>4</v>
      </c>
      <c r="G67" t="s">
        <v>20</v>
      </c>
      <c r="H67">
        <v>3</v>
      </c>
      <c r="I67">
        <v>4</v>
      </c>
      <c r="J67" t="s">
        <v>29</v>
      </c>
      <c r="K67">
        <v>3</v>
      </c>
      <c r="L67">
        <v>14756</v>
      </c>
      <c r="M67" t="str" cm="1">
        <f t="array" ref="M67">_xlfn.IFS(L67&lt;= 7000,"Low",L67&lt;=15000,"Medium",L67&lt;=20000,"High")</f>
        <v>Medium</v>
      </c>
      <c r="N67" t="s">
        <v>18</v>
      </c>
      <c r="O67">
        <v>14</v>
      </c>
      <c r="P67">
        <v>3</v>
      </c>
      <c r="Q67">
        <v>3</v>
      </c>
      <c r="R67">
        <v>21</v>
      </c>
      <c r="S67">
        <v>3</v>
      </c>
      <c r="T67">
        <v>5</v>
      </c>
      <c r="U67">
        <v>0</v>
      </c>
    </row>
    <row r="68" spans="1:21" x14ac:dyDescent="0.35">
      <c r="A68">
        <v>36</v>
      </c>
      <c r="B68" t="str" cm="1">
        <f t="array" ref="B68">_xlfn.IFS(A68&gt;40,"Senior",A68&gt;30,"Adult",A68&gt;=18,"Teenager")</f>
        <v>Adult</v>
      </c>
      <c r="C68" t="s">
        <v>22</v>
      </c>
      <c r="D68">
        <f t="shared" si="1"/>
        <v>0</v>
      </c>
      <c r="E68" t="s">
        <v>23</v>
      </c>
      <c r="F68">
        <v>2</v>
      </c>
      <c r="G68" t="s">
        <v>24</v>
      </c>
      <c r="H68">
        <v>2</v>
      </c>
      <c r="I68">
        <v>2</v>
      </c>
      <c r="J68" t="s">
        <v>27</v>
      </c>
      <c r="K68">
        <v>2</v>
      </c>
      <c r="L68">
        <v>6499</v>
      </c>
      <c r="M68" t="str" cm="1">
        <f t="array" ref="M68">_xlfn.IFS(L68&lt;= 7000,"Low",L68&lt;=15000,"Medium",L68&lt;=20000,"High")</f>
        <v>Low</v>
      </c>
      <c r="N68" t="s">
        <v>22</v>
      </c>
      <c r="O68">
        <v>13</v>
      </c>
      <c r="P68">
        <v>3</v>
      </c>
      <c r="Q68">
        <v>3</v>
      </c>
      <c r="R68">
        <v>6</v>
      </c>
      <c r="S68">
        <v>3</v>
      </c>
      <c r="T68">
        <v>6</v>
      </c>
      <c r="U68">
        <v>5</v>
      </c>
    </row>
    <row r="69" spans="1:21" x14ac:dyDescent="0.35">
      <c r="A69">
        <v>45</v>
      </c>
      <c r="B69" t="str" cm="1">
        <f t="array" ref="B69">_xlfn.IFS(A69&gt;40,"Senior",A69&gt;30,"Adult",A69&gt;=18,"Teenager")</f>
        <v>Senior</v>
      </c>
      <c r="C69" t="s">
        <v>22</v>
      </c>
      <c r="D69">
        <f t="shared" si="1"/>
        <v>0</v>
      </c>
      <c r="E69" t="s">
        <v>23</v>
      </c>
      <c r="F69">
        <v>2</v>
      </c>
      <c r="G69" t="s">
        <v>24</v>
      </c>
      <c r="H69">
        <v>3</v>
      </c>
      <c r="I69">
        <v>3</v>
      </c>
      <c r="J69" t="s">
        <v>25</v>
      </c>
      <c r="K69">
        <v>1</v>
      </c>
      <c r="L69">
        <v>9724</v>
      </c>
      <c r="M69" t="str" cm="1">
        <f t="array" ref="M69">_xlfn.IFS(L69&lt;= 7000,"Low",L69&lt;=15000,"Medium",L69&lt;=20000,"High")</f>
        <v>Medium</v>
      </c>
      <c r="N69" t="s">
        <v>22</v>
      </c>
      <c r="O69">
        <v>17</v>
      </c>
      <c r="P69">
        <v>3</v>
      </c>
      <c r="Q69">
        <v>3</v>
      </c>
      <c r="R69">
        <v>25</v>
      </c>
      <c r="S69">
        <v>3</v>
      </c>
      <c r="T69">
        <v>1</v>
      </c>
      <c r="U69">
        <v>0</v>
      </c>
    </row>
    <row r="70" spans="1:21" x14ac:dyDescent="0.35">
      <c r="A70">
        <v>35</v>
      </c>
      <c r="B70" t="str" cm="1">
        <f t="array" ref="B70">_xlfn.IFS(A70&gt;40,"Senior",A70&gt;30,"Adult",A70&gt;=18,"Teenager")</f>
        <v>Adult</v>
      </c>
      <c r="C70" t="s">
        <v>22</v>
      </c>
      <c r="D70">
        <f t="shared" si="1"/>
        <v>0</v>
      </c>
      <c r="E70" t="s">
        <v>23</v>
      </c>
      <c r="F70">
        <v>2</v>
      </c>
      <c r="G70" t="s">
        <v>24</v>
      </c>
      <c r="H70">
        <v>3</v>
      </c>
      <c r="I70">
        <v>1</v>
      </c>
      <c r="J70" t="s">
        <v>25</v>
      </c>
      <c r="K70">
        <v>1</v>
      </c>
      <c r="L70">
        <v>2194</v>
      </c>
      <c r="M70" t="str" cm="1">
        <f t="array" ref="M70">_xlfn.IFS(L70&lt;= 7000,"Low",L70&lt;=15000,"Medium",L70&lt;=20000,"High")</f>
        <v>Low</v>
      </c>
      <c r="N70" t="s">
        <v>22</v>
      </c>
      <c r="O70">
        <v>13</v>
      </c>
      <c r="P70">
        <v>3</v>
      </c>
      <c r="Q70">
        <v>4</v>
      </c>
      <c r="R70">
        <v>5</v>
      </c>
      <c r="S70">
        <v>2</v>
      </c>
      <c r="T70">
        <v>3</v>
      </c>
      <c r="U70">
        <v>2</v>
      </c>
    </row>
    <row r="71" spans="1:21" x14ac:dyDescent="0.35">
      <c r="A71">
        <v>36</v>
      </c>
      <c r="B71" t="str" cm="1">
        <f t="array" ref="B71">_xlfn.IFS(A71&gt;40,"Senior",A71&gt;30,"Adult",A71&gt;=18,"Teenager")</f>
        <v>Adult</v>
      </c>
      <c r="C71" t="s">
        <v>18</v>
      </c>
      <c r="D71">
        <f t="shared" si="1"/>
        <v>1</v>
      </c>
      <c r="E71" t="s">
        <v>23</v>
      </c>
      <c r="F71">
        <v>4</v>
      </c>
      <c r="G71" t="s">
        <v>24</v>
      </c>
      <c r="H71">
        <v>2</v>
      </c>
      <c r="I71">
        <v>1</v>
      </c>
      <c r="J71" t="s">
        <v>25</v>
      </c>
      <c r="K71">
        <v>3</v>
      </c>
      <c r="L71">
        <v>3388</v>
      </c>
      <c r="M71" t="str" cm="1">
        <f t="array" ref="M71">_xlfn.IFS(L71&lt;= 7000,"Low",L71&lt;=15000,"Medium",L71&lt;=20000,"High")</f>
        <v>Low</v>
      </c>
      <c r="N71" t="s">
        <v>18</v>
      </c>
      <c r="O71">
        <v>17</v>
      </c>
      <c r="P71">
        <v>3</v>
      </c>
      <c r="Q71">
        <v>1</v>
      </c>
      <c r="R71">
        <v>2</v>
      </c>
      <c r="S71">
        <v>2</v>
      </c>
      <c r="T71">
        <v>1</v>
      </c>
      <c r="U71">
        <v>0</v>
      </c>
    </row>
    <row r="72" spans="1:21" x14ac:dyDescent="0.35">
      <c r="A72">
        <v>59</v>
      </c>
      <c r="B72" t="str" cm="1">
        <f t="array" ref="B72">_xlfn.IFS(A72&gt;40,"Senior",A72&gt;30,"Adult",A72&gt;=18,"Teenager")</f>
        <v>Senior</v>
      </c>
      <c r="C72" t="s">
        <v>22</v>
      </c>
      <c r="D72">
        <f t="shared" si="1"/>
        <v>0</v>
      </c>
      <c r="E72" t="s">
        <v>19</v>
      </c>
      <c r="F72">
        <v>1</v>
      </c>
      <c r="G72" t="s">
        <v>20</v>
      </c>
      <c r="H72">
        <v>2</v>
      </c>
      <c r="I72">
        <v>2</v>
      </c>
      <c r="J72" t="s">
        <v>21</v>
      </c>
      <c r="K72">
        <v>3</v>
      </c>
      <c r="L72">
        <v>5473</v>
      </c>
      <c r="M72" t="str" cm="1">
        <f t="array" ref="M72">_xlfn.IFS(L72&lt;= 7000,"Low",L72&lt;=15000,"Medium",L72&lt;=20000,"High")</f>
        <v>Low</v>
      </c>
      <c r="N72" t="s">
        <v>22</v>
      </c>
      <c r="O72">
        <v>11</v>
      </c>
      <c r="P72">
        <v>3</v>
      </c>
      <c r="Q72">
        <v>4</v>
      </c>
      <c r="R72">
        <v>20</v>
      </c>
      <c r="S72">
        <v>2</v>
      </c>
      <c r="T72">
        <v>4</v>
      </c>
      <c r="U72">
        <v>3</v>
      </c>
    </row>
    <row r="73" spans="1:21" x14ac:dyDescent="0.35">
      <c r="A73">
        <v>29</v>
      </c>
      <c r="B73" t="str" cm="1">
        <f t="array" ref="B73">_xlfn.IFS(A73&gt;40,"Senior",A73&gt;30,"Adult",A73&gt;=18,"Teenager")</f>
        <v>Teenager</v>
      </c>
      <c r="C73" t="s">
        <v>22</v>
      </c>
      <c r="D73">
        <f t="shared" si="1"/>
        <v>0</v>
      </c>
      <c r="E73" t="s">
        <v>23</v>
      </c>
      <c r="F73">
        <v>3</v>
      </c>
      <c r="G73" t="s">
        <v>24</v>
      </c>
      <c r="H73">
        <v>3</v>
      </c>
      <c r="I73">
        <v>1</v>
      </c>
      <c r="J73" t="s">
        <v>25</v>
      </c>
      <c r="K73">
        <v>2</v>
      </c>
      <c r="L73">
        <v>2703</v>
      </c>
      <c r="M73" t="str" cm="1">
        <f t="array" ref="M73">_xlfn.IFS(L73&lt;= 7000,"Low",L73&lt;=15000,"Medium",L73&lt;=20000,"High")</f>
        <v>Low</v>
      </c>
      <c r="N73" t="s">
        <v>22</v>
      </c>
      <c r="O73">
        <v>23</v>
      </c>
      <c r="P73">
        <v>4</v>
      </c>
      <c r="Q73">
        <v>4</v>
      </c>
      <c r="R73">
        <v>6</v>
      </c>
      <c r="S73">
        <v>3</v>
      </c>
      <c r="T73">
        <v>5</v>
      </c>
      <c r="U73">
        <v>4</v>
      </c>
    </row>
    <row r="74" spans="1:21" x14ac:dyDescent="0.35">
      <c r="A74">
        <v>31</v>
      </c>
      <c r="B74" t="str" cm="1">
        <f t="array" ref="B74">_xlfn.IFS(A74&gt;40,"Senior",A74&gt;30,"Adult",A74&gt;=18,"Teenager")</f>
        <v>Adult</v>
      </c>
      <c r="C74" t="s">
        <v>22</v>
      </c>
      <c r="D74">
        <f t="shared" si="1"/>
        <v>0</v>
      </c>
      <c r="E74" t="s">
        <v>23</v>
      </c>
      <c r="F74">
        <v>3</v>
      </c>
      <c r="G74" t="s">
        <v>24</v>
      </c>
      <c r="H74">
        <v>3</v>
      </c>
      <c r="I74">
        <v>1</v>
      </c>
      <c r="J74" t="s">
        <v>25</v>
      </c>
      <c r="K74">
        <v>2</v>
      </c>
      <c r="L74">
        <v>2501</v>
      </c>
      <c r="M74" t="str" cm="1">
        <f t="array" ref="M74">_xlfn.IFS(L74&lt;= 7000,"Low",L74&lt;=15000,"Medium",L74&lt;=20000,"High")</f>
        <v>Low</v>
      </c>
      <c r="N74" t="s">
        <v>22</v>
      </c>
      <c r="O74">
        <v>17</v>
      </c>
      <c r="P74">
        <v>3</v>
      </c>
      <c r="Q74">
        <v>2</v>
      </c>
      <c r="R74">
        <v>1</v>
      </c>
      <c r="S74">
        <v>3</v>
      </c>
      <c r="T74">
        <v>1</v>
      </c>
      <c r="U74">
        <v>1</v>
      </c>
    </row>
    <row r="75" spans="1:21" x14ac:dyDescent="0.35">
      <c r="A75">
        <v>32</v>
      </c>
      <c r="B75" t="str" cm="1">
        <f t="array" ref="B75">_xlfn.IFS(A75&gt;40,"Senior",A75&gt;30,"Adult",A75&gt;=18,"Teenager")</f>
        <v>Adult</v>
      </c>
      <c r="C75" t="s">
        <v>22</v>
      </c>
      <c r="D75">
        <f t="shared" si="1"/>
        <v>0</v>
      </c>
      <c r="E75" t="s">
        <v>23</v>
      </c>
      <c r="F75">
        <v>2</v>
      </c>
      <c r="G75" t="s">
        <v>24</v>
      </c>
      <c r="H75">
        <v>3</v>
      </c>
      <c r="I75">
        <v>2</v>
      </c>
      <c r="J75" t="s">
        <v>25</v>
      </c>
      <c r="K75">
        <v>2</v>
      </c>
      <c r="L75">
        <v>6220</v>
      </c>
      <c r="M75" t="str" cm="1">
        <f t="array" ref="M75">_xlfn.IFS(L75&lt;= 7000,"Low",L75&lt;=15000,"Medium",L75&lt;=20000,"High")</f>
        <v>Low</v>
      </c>
      <c r="N75" t="s">
        <v>22</v>
      </c>
      <c r="O75">
        <v>17</v>
      </c>
      <c r="P75">
        <v>3</v>
      </c>
      <c r="Q75">
        <v>2</v>
      </c>
      <c r="R75">
        <v>10</v>
      </c>
      <c r="S75">
        <v>3</v>
      </c>
      <c r="T75">
        <v>10</v>
      </c>
      <c r="U75">
        <v>4</v>
      </c>
    </row>
    <row r="76" spans="1:21" x14ac:dyDescent="0.35">
      <c r="A76">
        <v>36</v>
      </c>
      <c r="B76" t="str" cm="1">
        <f t="array" ref="B76">_xlfn.IFS(A76&gt;40,"Senior",A76&gt;30,"Adult",A76&gt;=18,"Teenager")</f>
        <v>Adult</v>
      </c>
      <c r="C76" t="s">
        <v>22</v>
      </c>
      <c r="D76">
        <f t="shared" si="1"/>
        <v>0</v>
      </c>
      <c r="E76" t="s">
        <v>23</v>
      </c>
      <c r="F76">
        <v>2</v>
      </c>
      <c r="G76" t="s">
        <v>20</v>
      </c>
      <c r="H76">
        <v>4</v>
      </c>
      <c r="I76">
        <v>1</v>
      </c>
      <c r="J76" t="s">
        <v>26</v>
      </c>
      <c r="K76">
        <v>4</v>
      </c>
      <c r="L76">
        <v>3038</v>
      </c>
      <c r="M76" t="str" cm="1">
        <f t="array" ref="M76">_xlfn.IFS(L76&lt;= 7000,"Low",L76&lt;=15000,"Medium",L76&lt;=20000,"High")</f>
        <v>Low</v>
      </c>
      <c r="N76" t="s">
        <v>22</v>
      </c>
      <c r="O76">
        <v>12</v>
      </c>
      <c r="P76">
        <v>3</v>
      </c>
      <c r="Q76">
        <v>2</v>
      </c>
      <c r="R76">
        <v>5</v>
      </c>
      <c r="S76">
        <v>3</v>
      </c>
      <c r="T76">
        <v>1</v>
      </c>
      <c r="U76">
        <v>0</v>
      </c>
    </row>
    <row r="77" spans="1:21" x14ac:dyDescent="0.35">
      <c r="A77">
        <v>31</v>
      </c>
      <c r="B77" t="str" cm="1">
        <f t="array" ref="B77">_xlfn.IFS(A77&gt;40,"Senior",A77&gt;30,"Adult",A77&gt;=18,"Teenager")</f>
        <v>Adult</v>
      </c>
      <c r="C77" t="s">
        <v>22</v>
      </c>
      <c r="D77">
        <f t="shared" si="1"/>
        <v>0</v>
      </c>
      <c r="E77" t="s">
        <v>23</v>
      </c>
      <c r="F77">
        <v>3</v>
      </c>
      <c r="G77" t="s">
        <v>20</v>
      </c>
      <c r="H77">
        <v>3</v>
      </c>
      <c r="I77">
        <v>2</v>
      </c>
      <c r="J77" t="s">
        <v>27</v>
      </c>
      <c r="K77">
        <v>4</v>
      </c>
      <c r="L77">
        <v>4424</v>
      </c>
      <c r="M77" t="str" cm="1">
        <f t="array" ref="M77">_xlfn.IFS(L77&lt;= 7000,"Low",L77&lt;=15000,"Medium",L77&lt;=20000,"High")</f>
        <v>Low</v>
      </c>
      <c r="N77" t="s">
        <v>22</v>
      </c>
      <c r="O77">
        <v>23</v>
      </c>
      <c r="P77">
        <v>4</v>
      </c>
      <c r="Q77">
        <v>4</v>
      </c>
      <c r="R77">
        <v>11</v>
      </c>
      <c r="S77">
        <v>3</v>
      </c>
      <c r="T77">
        <v>11</v>
      </c>
      <c r="U77">
        <v>7</v>
      </c>
    </row>
    <row r="78" spans="1:21" x14ac:dyDescent="0.35">
      <c r="A78">
        <v>35</v>
      </c>
      <c r="B78" t="str" cm="1">
        <f t="array" ref="B78">_xlfn.IFS(A78&gt;40,"Senior",A78&gt;30,"Adult",A78&gt;=18,"Teenager")</f>
        <v>Adult</v>
      </c>
      <c r="C78" t="s">
        <v>22</v>
      </c>
      <c r="D78">
        <f t="shared" si="1"/>
        <v>0</v>
      </c>
      <c r="E78" t="s">
        <v>19</v>
      </c>
      <c r="F78">
        <v>3</v>
      </c>
      <c r="G78" t="s">
        <v>24</v>
      </c>
      <c r="H78">
        <v>2</v>
      </c>
      <c r="I78">
        <v>2</v>
      </c>
      <c r="J78" t="s">
        <v>21</v>
      </c>
      <c r="K78">
        <v>1</v>
      </c>
      <c r="L78">
        <v>4312</v>
      </c>
      <c r="M78" t="str" cm="1">
        <f t="array" ref="M78">_xlfn.IFS(L78&lt;= 7000,"Low",L78&lt;=15000,"Medium",L78&lt;=20000,"High")</f>
        <v>Low</v>
      </c>
      <c r="N78" t="s">
        <v>22</v>
      </c>
      <c r="O78">
        <v>14</v>
      </c>
      <c r="P78">
        <v>3</v>
      </c>
      <c r="Q78">
        <v>2</v>
      </c>
      <c r="R78">
        <v>16</v>
      </c>
      <c r="S78">
        <v>3</v>
      </c>
      <c r="T78">
        <v>15</v>
      </c>
      <c r="U78">
        <v>13</v>
      </c>
    </row>
    <row r="79" spans="1:21" x14ac:dyDescent="0.35">
      <c r="A79">
        <v>45</v>
      </c>
      <c r="B79" t="str" cm="1">
        <f t="array" ref="B79">_xlfn.IFS(A79&gt;40,"Senior",A79&gt;30,"Adult",A79&gt;=18,"Teenager")</f>
        <v>Senior</v>
      </c>
      <c r="C79" t="s">
        <v>22</v>
      </c>
      <c r="D79">
        <f t="shared" si="1"/>
        <v>0</v>
      </c>
      <c r="E79" t="s">
        <v>23</v>
      </c>
      <c r="F79">
        <v>4</v>
      </c>
      <c r="G79" t="s">
        <v>24</v>
      </c>
      <c r="H79">
        <v>3</v>
      </c>
      <c r="I79">
        <v>3</v>
      </c>
      <c r="J79" t="s">
        <v>31</v>
      </c>
      <c r="K79">
        <v>1</v>
      </c>
      <c r="L79">
        <v>13245</v>
      </c>
      <c r="M79" t="str" cm="1">
        <f t="array" ref="M79">_xlfn.IFS(L79&lt;= 7000,"Low",L79&lt;=15000,"Medium",L79&lt;=20000,"High")</f>
        <v>Medium</v>
      </c>
      <c r="N79" t="s">
        <v>18</v>
      </c>
      <c r="O79">
        <v>14</v>
      </c>
      <c r="P79">
        <v>3</v>
      </c>
      <c r="Q79">
        <v>2</v>
      </c>
      <c r="R79">
        <v>17</v>
      </c>
      <c r="S79">
        <v>4</v>
      </c>
      <c r="T79">
        <v>0</v>
      </c>
      <c r="U79">
        <v>0</v>
      </c>
    </row>
    <row r="80" spans="1:21" x14ac:dyDescent="0.35">
      <c r="A80">
        <v>37</v>
      </c>
      <c r="B80" t="str" cm="1">
        <f t="array" ref="B80">_xlfn.IFS(A80&gt;40,"Senior",A80&gt;30,"Adult",A80&gt;=18,"Teenager")</f>
        <v>Adult</v>
      </c>
      <c r="C80" t="s">
        <v>22</v>
      </c>
      <c r="D80">
        <f t="shared" si="1"/>
        <v>0</v>
      </c>
      <c r="E80" t="s">
        <v>23</v>
      </c>
      <c r="F80">
        <v>1</v>
      </c>
      <c r="G80" t="s">
        <v>24</v>
      </c>
      <c r="H80">
        <v>3</v>
      </c>
      <c r="I80">
        <v>3</v>
      </c>
      <c r="J80" t="s">
        <v>31</v>
      </c>
      <c r="K80">
        <v>3</v>
      </c>
      <c r="L80">
        <v>13664</v>
      </c>
      <c r="M80" t="str" cm="1">
        <f t="array" ref="M80">_xlfn.IFS(L80&lt;= 7000,"Low",L80&lt;=15000,"Medium",L80&lt;=20000,"High")</f>
        <v>Medium</v>
      </c>
      <c r="N80" t="s">
        <v>22</v>
      </c>
      <c r="O80">
        <v>13</v>
      </c>
      <c r="P80">
        <v>3</v>
      </c>
      <c r="Q80">
        <v>1</v>
      </c>
      <c r="R80">
        <v>16</v>
      </c>
      <c r="S80">
        <v>4</v>
      </c>
      <c r="T80">
        <v>5</v>
      </c>
      <c r="U80">
        <v>2</v>
      </c>
    </row>
    <row r="81" spans="1:21" x14ac:dyDescent="0.35">
      <c r="A81">
        <v>46</v>
      </c>
      <c r="B81" t="str" cm="1">
        <f t="array" ref="B81">_xlfn.IFS(A81&gt;40,"Senior",A81&gt;30,"Adult",A81&gt;=18,"Teenager")</f>
        <v>Senior</v>
      </c>
      <c r="C81" t="s">
        <v>22</v>
      </c>
      <c r="D81">
        <f t="shared" si="1"/>
        <v>0</v>
      </c>
      <c r="E81" t="s">
        <v>32</v>
      </c>
      <c r="F81">
        <v>2</v>
      </c>
      <c r="G81" t="s">
        <v>24</v>
      </c>
      <c r="H81">
        <v>3</v>
      </c>
      <c r="I81">
        <v>2</v>
      </c>
      <c r="J81" t="s">
        <v>32</v>
      </c>
      <c r="K81">
        <v>2</v>
      </c>
      <c r="L81">
        <v>5021</v>
      </c>
      <c r="M81" t="str" cm="1">
        <f t="array" ref="M81">_xlfn.IFS(L81&lt;= 7000,"Low",L81&lt;=15000,"Medium",L81&lt;=20000,"High")</f>
        <v>Low</v>
      </c>
      <c r="N81" t="s">
        <v>18</v>
      </c>
      <c r="O81">
        <v>22</v>
      </c>
      <c r="P81">
        <v>4</v>
      </c>
      <c r="Q81">
        <v>4</v>
      </c>
      <c r="R81">
        <v>16</v>
      </c>
      <c r="S81">
        <v>3</v>
      </c>
      <c r="T81">
        <v>4</v>
      </c>
      <c r="U81">
        <v>2</v>
      </c>
    </row>
    <row r="82" spans="1:21" x14ac:dyDescent="0.35">
      <c r="A82">
        <v>30</v>
      </c>
      <c r="B82" t="str" cm="1">
        <f t="array" ref="B82">_xlfn.IFS(A82&gt;40,"Senior",A82&gt;30,"Adult",A82&gt;=18,"Teenager")</f>
        <v>Teenager</v>
      </c>
      <c r="C82" t="s">
        <v>22</v>
      </c>
      <c r="D82">
        <f t="shared" si="1"/>
        <v>0</v>
      </c>
      <c r="E82" t="s">
        <v>23</v>
      </c>
      <c r="F82">
        <v>4</v>
      </c>
      <c r="G82" t="s">
        <v>24</v>
      </c>
      <c r="H82">
        <v>2</v>
      </c>
      <c r="I82">
        <v>2</v>
      </c>
      <c r="J82" t="s">
        <v>26</v>
      </c>
      <c r="K82">
        <v>4</v>
      </c>
      <c r="L82">
        <v>5126</v>
      </c>
      <c r="M82" t="str" cm="1">
        <f t="array" ref="M82">_xlfn.IFS(L82&lt;= 7000,"Low",L82&lt;=15000,"Medium",L82&lt;=20000,"High")</f>
        <v>Low</v>
      </c>
      <c r="N82" t="s">
        <v>18</v>
      </c>
      <c r="O82">
        <v>12</v>
      </c>
      <c r="P82">
        <v>3</v>
      </c>
      <c r="Q82">
        <v>3</v>
      </c>
      <c r="R82">
        <v>10</v>
      </c>
      <c r="S82">
        <v>2</v>
      </c>
      <c r="T82">
        <v>10</v>
      </c>
      <c r="U82">
        <v>8</v>
      </c>
    </row>
    <row r="83" spans="1:21" x14ac:dyDescent="0.35">
      <c r="A83">
        <v>35</v>
      </c>
      <c r="B83" t="str" cm="1">
        <f t="array" ref="B83">_xlfn.IFS(A83&gt;40,"Senior",A83&gt;30,"Adult",A83&gt;=18,"Teenager")</f>
        <v>Adult</v>
      </c>
      <c r="C83" t="s">
        <v>22</v>
      </c>
      <c r="D83">
        <f t="shared" si="1"/>
        <v>0</v>
      </c>
      <c r="E83" t="s">
        <v>23</v>
      </c>
      <c r="F83">
        <v>2</v>
      </c>
      <c r="G83" t="s">
        <v>24</v>
      </c>
      <c r="H83">
        <v>2</v>
      </c>
      <c r="I83">
        <v>1</v>
      </c>
      <c r="J83" t="s">
        <v>25</v>
      </c>
      <c r="K83">
        <v>3</v>
      </c>
      <c r="L83">
        <v>2859</v>
      </c>
      <c r="M83" t="str" cm="1">
        <f t="array" ref="M83">_xlfn.IFS(L83&lt;= 7000,"Low",L83&lt;=15000,"Medium",L83&lt;=20000,"High")</f>
        <v>Low</v>
      </c>
      <c r="N83" t="s">
        <v>22</v>
      </c>
      <c r="O83">
        <v>18</v>
      </c>
      <c r="P83">
        <v>3</v>
      </c>
      <c r="Q83">
        <v>1</v>
      </c>
      <c r="R83">
        <v>6</v>
      </c>
      <c r="S83">
        <v>3</v>
      </c>
      <c r="T83">
        <v>6</v>
      </c>
      <c r="U83">
        <v>4</v>
      </c>
    </row>
    <row r="84" spans="1:21" x14ac:dyDescent="0.35">
      <c r="A84">
        <v>55</v>
      </c>
      <c r="B84" t="str" cm="1">
        <f t="array" ref="B84">_xlfn.IFS(A84&gt;40,"Senior",A84&gt;30,"Adult",A84&gt;=18,"Teenager")</f>
        <v>Senior</v>
      </c>
      <c r="C84" t="s">
        <v>22</v>
      </c>
      <c r="D84">
        <f t="shared" si="1"/>
        <v>0</v>
      </c>
      <c r="E84" t="s">
        <v>19</v>
      </c>
      <c r="F84">
        <v>1</v>
      </c>
      <c r="G84" t="s">
        <v>24</v>
      </c>
      <c r="H84">
        <v>3</v>
      </c>
      <c r="I84">
        <v>3</v>
      </c>
      <c r="J84" t="s">
        <v>21</v>
      </c>
      <c r="K84">
        <v>4</v>
      </c>
      <c r="L84">
        <v>10239</v>
      </c>
      <c r="M84" t="str" cm="1">
        <f t="array" ref="M84">_xlfn.IFS(L84&lt;= 7000,"Low",L84&lt;=15000,"Medium",L84&lt;=20000,"High")</f>
        <v>Medium</v>
      </c>
      <c r="N84" t="s">
        <v>22</v>
      </c>
      <c r="O84">
        <v>14</v>
      </c>
      <c r="P84">
        <v>3</v>
      </c>
      <c r="Q84">
        <v>4</v>
      </c>
      <c r="R84">
        <v>24</v>
      </c>
      <c r="S84">
        <v>3</v>
      </c>
      <c r="T84">
        <v>1</v>
      </c>
      <c r="U84">
        <v>0</v>
      </c>
    </row>
    <row r="85" spans="1:21" x14ac:dyDescent="0.35">
      <c r="A85">
        <v>38</v>
      </c>
      <c r="B85" t="str" cm="1">
        <f t="array" ref="B85">_xlfn.IFS(A85&gt;40,"Senior",A85&gt;30,"Adult",A85&gt;=18,"Teenager")</f>
        <v>Adult</v>
      </c>
      <c r="C85" t="s">
        <v>22</v>
      </c>
      <c r="D85">
        <f t="shared" si="1"/>
        <v>0</v>
      </c>
      <c r="E85" t="s">
        <v>23</v>
      </c>
      <c r="F85">
        <v>2</v>
      </c>
      <c r="G85" t="s">
        <v>20</v>
      </c>
      <c r="H85">
        <v>1</v>
      </c>
      <c r="I85">
        <v>2</v>
      </c>
      <c r="J85" t="s">
        <v>25</v>
      </c>
      <c r="K85">
        <v>4</v>
      </c>
      <c r="L85">
        <v>5329</v>
      </c>
      <c r="M85" t="str" cm="1">
        <f t="array" ref="M85">_xlfn.IFS(L85&lt;= 7000,"Low",L85&lt;=15000,"Medium",L85&lt;=20000,"High")</f>
        <v>Low</v>
      </c>
      <c r="N85" t="s">
        <v>18</v>
      </c>
      <c r="O85">
        <v>12</v>
      </c>
      <c r="P85">
        <v>3</v>
      </c>
      <c r="Q85">
        <v>4</v>
      </c>
      <c r="R85">
        <v>17</v>
      </c>
      <c r="S85">
        <v>3</v>
      </c>
      <c r="T85">
        <v>13</v>
      </c>
      <c r="U85">
        <v>11</v>
      </c>
    </row>
    <row r="86" spans="1:21" x14ac:dyDescent="0.35">
      <c r="A86">
        <v>34</v>
      </c>
      <c r="B86" t="str" cm="1">
        <f t="array" ref="B86">_xlfn.IFS(A86&gt;40,"Senior",A86&gt;30,"Adult",A86&gt;=18,"Teenager")</f>
        <v>Adult</v>
      </c>
      <c r="C86" t="s">
        <v>22</v>
      </c>
      <c r="D86">
        <f t="shared" si="1"/>
        <v>0</v>
      </c>
      <c r="E86" t="s">
        <v>23</v>
      </c>
      <c r="F86">
        <v>1</v>
      </c>
      <c r="G86" t="s">
        <v>24</v>
      </c>
      <c r="H86">
        <v>3</v>
      </c>
      <c r="I86">
        <v>2</v>
      </c>
      <c r="J86" t="s">
        <v>27</v>
      </c>
      <c r="K86">
        <v>2</v>
      </c>
      <c r="L86">
        <v>4325</v>
      </c>
      <c r="M86" t="str" cm="1">
        <f t="array" ref="M86">_xlfn.IFS(L86&lt;= 7000,"Low",L86&lt;=15000,"Medium",L86&lt;=20000,"High")</f>
        <v>Low</v>
      </c>
      <c r="N86" t="s">
        <v>22</v>
      </c>
      <c r="O86">
        <v>15</v>
      </c>
      <c r="P86">
        <v>3</v>
      </c>
      <c r="Q86">
        <v>3</v>
      </c>
      <c r="R86">
        <v>5</v>
      </c>
      <c r="S86">
        <v>3</v>
      </c>
      <c r="T86">
        <v>5</v>
      </c>
      <c r="U86">
        <v>2</v>
      </c>
    </row>
    <row r="87" spans="1:21" x14ac:dyDescent="0.35">
      <c r="A87">
        <v>56</v>
      </c>
      <c r="B87" t="str" cm="1">
        <f t="array" ref="B87">_xlfn.IFS(A87&gt;40,"Senior",A87&gt;30,"Adult",A87&gt;=18,"Teenager")</f>
        <v>Senior</v>
      </c>
      <c r="C87" t="s">
        <v>22</v>
      </c>
      <c r="D87">
        <f t="shared" si="1"/>
        <v>0</v>
      </c>
      <c r="E87" t="s">
        <v>23</v>
      </c>
      <c r="F87">
        <v>4</v>
      </c>
      <c r="G87" t="s">
        <v>24</v>
      </c>
      <c r="H87">
        <v>1</v>
      </c>
      <c r="I87">
        <v>3</v>
      </c>
      <c r="J87" t="s">
        <v>27</v>
      </c>
      <c r="K87">
        <v>4</v>
      </c>
      <c r="L87">
        <v>7260</v>
      </c>
      <c r="M87" t="str" cm="1">
        <f t="array" ref="M87">_xlfn.IFS(L87&lt;= 7000,"Low",L87&lt;=15000,"Medium",L87&lt;=20000,"High")</f>
        <v>Medium</v>
      </c>
      <c r="N87" t="s">
        <v>22</v>
      </c>
      <c r="O87">
        <v>11</v>
      </c>
      <c r="P87">
        <v>3</v>
      </c>
      <c r="Q87">
        <v>1</v>
      </c>
      <c r="R87">
        <v>37</v>
      </c>
      <c r="S87">
        <v>2</v>
      </c>
      <c r="T87">
        <v>6</v>
      </c>
      <c r="U87">
        <v>4</v>
      </c>
    </row>
    <row r="88" spans="1:21" x14ac:dyDescent="0.35">
      <c r="A88">
        <v>23</v>
      </c>
      <c r="B88" t="str" cm="1">
        <f t="array" ref="B88">_xlfn.IFS(A88&gt;40,"Senior",A88&gt;30,"Adult",A88&gt;=18,"Teenager")</f>
        <v>Teenager</v>
      </c>
      <c r="C88" t="s">
        <v>22</v>
      </c>
      <c r="D88">
        <f t="shared" si="1"/>
        <v>0</v>
      </c>
      <c r="E88" t="s">
        <v>19</v>
      </c>
      <c r="F88">
        <v>3</v>
      </c>
      <c r="G88" t="s">
        <v>24</v>
      </c>
      <c r="H88">
        <v>3</v>
      </c>
      <c r="I88">
        <v>1</v>
      </c>
      <c r="J88" t="s">
        <v>30</v>
      </c>
      <c r="K88">
        <v>1</v>
      </c>
      <c r="L88">
        <v>2322</v>
      </c>
      <c r="M88" t="str" cm="1">
        <f t="array" ref="M88">_xlfn.IFS(L88&lt;= 7000,"Low",L88&lt;=15000,"Medium",L88&lt;=20000,"High")</f>
        <v>Low</v>
      </c>
      <c r="N88" t="s">
        <v>22</v>
      </c>
      <c r="O88">
        <v>13</v>
      </c>
      <c r="P88">
        <v>3</v>
      </c>
      <c r="Q88">
        <v>3</v>
      </c>
      <c r="R88">
        <v>3</v>
      </c>
      <c r="S88">
        <v>3</v>
      </c>
      <c r="T88">
        <v>0</v>
      </c>
      <c r="U88">
        <v>0</v>
      </c>
    </row>
    <row r="89" spans="1:21" x14ac:dyDescent="0.35">
      <c r="A89">
        <v>51</v>
      </c>
      <c r="B89" t="str" cm="1">
        <f t="array" ref="B89">_xlfn.IFS(A89&gt;40,"Senior",A89&gt;30,"Adult",A89&gt;=18,"Teenager")</f>
        <v>Senior</v>
      </c>
      <c r="C89" t="s">
        <v>22</v>
      </c>
      <c r="D89">
        <f t="shared" si="1"/>
        <v>0</v>
      </c>
      <c r="E89" t="s">
        <v>23</v>
      </c>
      <c r="F89">
        <v>4</v>
      </c>
      <c r="G89" t="s">
        <v>24</v>
      </c>
      <c r="H89">
        <v>3</v>
      </c>
      <c r="I89">
        <v>1</v>
      </c>
      <c r="J89" t="s">
        <v>26</v>
      </c>
      <c r="K89">
        <v>4</v>
      </c>
      <c r="L89">
        <v>2075</v>
      </c>
      <c r="M89" t="str" cm="1">
        <f t="array" ref="M89">_xlfn.IFS(L89&lt;= 7000,"Low",L89&lt;=15000,"Medium",L89&lt;=20000,"High")</f>
        <v>Low</v>
      </c>
      <c r="N89" t="s">
        <v>22</v>
      </c>
      <c r="O89">
        <v>23</v>
      </c>
      <c r="P89">
        <v>4</v>
      </c>
      <c r="Q89">
        <v>2</v>
      </c>
      <c r="R89">
        <v>10</v>
      </c>
      <c r="S89">
        <v>3</v>
      </c>
      <c r="T89">
        <v>4</v>
      </c>
      <c r="U89">
        <v>2</v>
      </c>
    </row>
    <row r="90" spans="1:21" x14ac:dyDescent="0.35">
      <c r="A90">
        <v>30</v>
      </c>
      <c r="B90" t="str" cm="1">
        <f t="array" ref="B90">_xlfn.IFS(A90&gt;40,"Senior",A90&gt;30,"Adult",A90&gt;=18,"Teenager")</f>
        <v>Teenager</v>
      </c>
      <c r="C90" t="s">
        <v>22</v>
      </c>
      <c r="D90">
        <f t="shared" si="1"/>
        <v>0</v>
      </c>
      <c r="E90" t="s">
        <v>23</v>
      </c>
      <c r="F90">
        <v>3</v>
      </c>
      <c r="G90" t="s">
        <v>24</v>
      </c>
      <c r="H90">
        <v>2</v>
      </c>
      <c r="I90">
        <v>2</v>
      </c>
      <c r="J90" t="s">
        <v>28</v>
      </c>
      <c r="K90">
        <v>4</v>
      </c>
      <c r="L90">
        <v>4152</v>
      </c>
      <c r="M90" t="str" cm="1">
        <f t="array" ref="M90">_xlfn.IFS(L90&lt;= 7000,"Low",L90&lt;=15000,"Medium",L90&lt;=20000,"High")</f>
        <v>Low</v>
      </c>
      <c r="N90" t="s">
        <v>22</v>
      </c>
      <c r="O90">
        <v>19</v>
      </c>
      <c r="P90">
        <v>3</v>
      </c>
      <c r="Q90">
        <v>1</v>
      </c>
      <c r="R90">
        <v>11</v>
      </c>
      <c r="S90">
        <v>3</v>
      </c>
      <c r="T90">
        <v>11</v>
      </c>
      <c r="U90">
        <v>10</v>
      </c>
    </row>
    <row r="91" spans="1:21" x14ac:dyDescent="0.35">
      <c r="A91">
        <v>46</v>
      </c>
      <c r="B91" t="str" cm="1">
        <f t="array" ref="B91">_xlfn.IFS(A91&gt;40,"Senior",A91&gt;30,"Adult",A91&gt;=18,"Teenager")</f>
        <v>Senior</v>
      </c>
      <c r="C91" t="s">
        <v>18</v>
      </c>
      <c r="D91">
        <f t="shared" si="1"/>
        <v>1</v>
      </c>
      <c r="E91" t="s">
        <v>19</v>
      </c>
      <c r="F91">
        <v>3</v>
      </c>
      <c r="G91" t="s">
        <v>24</v>
      </c>
      <c r="H91">
        <v>2</v>
      </c>
      <c r="I91">
        <v>3</v>
      </c>
      <c r="J91" t="s">
        <v>21</v>
      </c>
      <c r="K91">
        <v>4</v>
      </c>
      <c r="L91">
        <v>9619</v>
      </c>
      <c r="M91" t="str" cm="1">
        <f t="array" ref="M91">_xlfn.IFS(L91&lt;= 7000,"Low",L91&lt;=15000,"Medium",L91&lt;=20000,"High")</f>
        <v>Medium</v>
      </c>
      <c r="N91" t="s">
        <v>22</v>
      </c>
      <c r="O91">
        <v>16</v>
      </c>
      <c r="P91">
        <v>3</v>
      </c>
      <c r="Q91">
        <v>4</v>
      </c>
      <c r="R91">
        <v>9</v>
      </c>
      <c r="S91">
        <v>3</v>
      </c>
      <c r="T91">
        <v>9</v>
      </c>
      <c r="U91">
        <v>8</v>
      </c>
    </row>
    <row r="92" spans="1:21" x14ac:dyDescent="0.35">
      <c r="A92">
        <v>40</v>
      </c>
      <c r="B92" t="str" cm="1">
        <f t="array" ref="B92">_xlfn.IFS(A92&gt;40,"Senior",A92&gt;30,"Adult",A92&gt;=18,"Teenager")</f>
        <v>Adult</v>
      </c>
      <c r="C92" t="s">
        <v>22</v>
      </c>
      <c r="D92">
        <f t="shared" si="1"/>
        <v>0</v>
      </c>
      <c r="E92" t="s">
        <v>23</v>
      </c>
      <c r="F92">
        <v>3</v>
      </c>
      <c r="G92" t="s">
        <v>24</v>
      </c>
      <c r="H92">
        <v>2</v>
      </c>
      <c r="I92">
        <v>4</v>
      </c>
      <c r="J92" t="s">
        <v>28</v>
      </c>
      <c r="K92">
        <v>2</v>
      </c>
      <c r="L92">
        <v>13503</v>
      </c>
      <c r="M92" t="str" cm="1">
        <f t="array" ref="M92">_xlfn.IFS(L92&lt;= 7000,"Low",L92&lt;=15000,"Medium",L92&lt;=20000,"High")</f>
        <v>Medium</v>
      </c>
      <c r="N92" t="s">
        <v>22</v>
      </c>
      <c r="O92">
        <v>22</v>
      </c>
      <c r="P92">
        <v>4</v>
      </c>
      <c r="Q92">
        <v>4</v>
      </c>
      <c r="R92">
        <v>22</v>
      </c>
      <c r="S92">
        <v>2</v>
      </c>
      <c r="T92">
        <v>22</v>
      </c>
      <c r="U92">
        <v>3</v>
      </c>
    </row>
    <row r="93" spans="1:21" x14ac:dyDescent="0.35">
      <c r="A93">
        <v>51</v>
      </c>
      <c r="B93" t="str" cm="1">
        <f t="array" ref="B93">_xlfn.IFS(A93&gt;40,"Senior",A93&gt;30,"Adult",A93&gt;=18,"Teenager")</f>
        <v>Senior</v>
      </c>
      <c r="C93" t="s">
        <v>22</v>
      </c>
      <c r="D93">
        <f t="shared" si="1"/>
        <v>0</v>
      </c>
      <c r="E93" t="s">
        <v>19</v>
      </c>
      <c r="F93">
        <v>3</v>
      </c>
      <c r="G93" t="s">
        <v>24</v>
      </c>
      <c r="H93">
        <v>3</v>
      </c>
      <c r="I93">
        <v>2</v>
      </c>
      <c r="J93" t="s">
        <v>21</v>
      </c>
      <c r="K93">
        <v>4</v>
      </c>
      <c r="L93">
        <v>5441</v>
      </c>
      <c r="M93" t="str" cm="1">
        <f t="array" ref="M93">_xlfn.IFS(L93&lt;= 7000,"Low",L93&lt;=15000,"Medium",L93&lt;=20000,"High")</f>
        <v>Low</v>
      </c>
      <c r="N93" t="s">
        <v>18</v>
      </c>
      <c r="O93">
        <v>22</v>
      </c>
      <c r="P93">
        <v>4</v>
      </c>
      <c r="Q93">
        <v>4</v>
      </c>
      <c r="R93">
        <v>11</v>
      </c>
      <c r="S93">
        <v>1</v>
      </c>
      <c r="T93">
        <v>10</v>
      </c>
      <c r="U93">
        <v>7</v>
      </c>
    </row>
    <row r="94" spans="1:21" x14ac:dyDescent="0.35">
      <c r="A94">
        <v>30</v>
      </c>
      <c r="B94" t="str" cm="1">
        <f t="array" ref="B94">_xlfn.IFS(A94&gt;40,"Senior",A94&gt;30,"Adult",A94&gt;=18,"Teenager")</f>
        <v>Teenager</v>
      </c>
      <c r="C94" t="s">
        <v>22</v>
      </c>
      <c r="D94">
        <f t="shared" si="1"/>
        <v>0</v>
      </c>
      <c r="E94" t="s">
        <v>19</v>
      </c>
      <c r="F94">
        <v>3</v>
      </c>
      <c r="G94" t="s">
        <v>20</v>
      </c>
      <c r="H94">
        <v>2</v>
      </c>
      <c r="I94">
        <v>2</v>
      </c>
      <c r="J94" t="s">
        <v>21</v>
      </c>
      <c r="K94">
        <v>2</v>
      </c>
      <c r="L94">
        <v>5209</v>
      </c>
      <c r="M94" t="str" cm="1">
        <f t="array" ref="M94">_xlfn.IFS(L94&lt;= 7000,"Low",L94&lt;=15000,"Medium",L94&lt;=20000,"High")</f>
        <v>Low</v>
      </c>
      <c r="N94" t="s">
        <v>18</v>
      </c>
      <c r="O94">
        <v>12</v>
      </c>
      <c r="P94">
        <v>3</v>
      </c>
      <c r="Q94">
        <v>2</v>
      </c>
      <c r="R94">
        <v>11</v>
      </c>
      <c r="S94">
        <v>2</v>
      </c>
      <c r="T94">
        <v>11</v>
      </c>
      <c r="U94">
        <v>8</v>
      </c>
    </row>
    <row r="95" spans="1:21" x14ac:dyDescent="0.35">
      <c r="A95">
        <v>46</v>
      </c>
      <c r="B95" t="str" cm="1">
        <f t="array" ref="B95">_xlfn.IFS(A95&gt;40,"Senior",A95&gt;30,"Adult",A95&gt;=18,"Teenager")</f>
        <v>Senior</v>
      </c>
      <c r="C95" t="s">
        <v>22</v>
      </c>
      <c r="D95">
        <f t="shared" si="1"/>
        <v>0</v>
      </c>
      <c r="E95" t="s">
        <v>23</v>
      </c>
      <c r="F95">
        <v>3</v>
      </c>
      <c r="G95" t="s">
        <v>24</v>
      </c>
      <c r="H95">
        <v>2</v>
      </c>
      <c r="I95">
        <v>3</v>
      </c>
      <c r="J95" t="s">
        <v>28</v>
      </c>
      <c r="K95">
        <v>1</v>
      </c>
      <c r="L95">
        <v>10673</v>
      </c>
      <c r="M95" t="str" cm="1">
        <f t="array" ref="M95">_xlfn.IFS(L95&lt;= 7000,"Low",L95&lt;=15000,"Medium",L95&lt;=20000,"High")</f>
        <v>Medium</v>
      </c>
      <c r="N95" t="s">
        <v>18</v>
      </c>
      <c r="O95">
        <v>13</v>
      </c>
      <c r="P95">
        <v>3</v>
      </c>
      <c r="Q95">
        <v>3</v>
      </c>
      <c r="R95">
        <v>21</v>
      </c>
      <c r="S95">
        <v>2</v>
      </c>
      <c r="T95">
        <v>10</v>
      </c>
      <c r="U95">
        <v>9</v>
      </c>
    </row>
    <row r="96" spans="1:21" x14ac:dyDescent="0.35">
      <c r="A96">
        <v>32</v>
      </c>
      <c r="B96" t="str" cm="1">
        <f t="array" ref="B96">_xlfn.IFS(A96&gt;40,"Senior",A96&gt;30,"Adult",A96&gt;=18,"Teenager")</f>
        <v>Adult</v>
      </c>
      <c r="C96" t="s">
        <v>22</v>
      </c>
      <c r="D96">
        <f t="shared" si="1"/>
        <v>0</v>
      </c>
      <c r="E96" t="s">
        <v>19</v>
      </c>
      <c r="F96">
        <v>2</v>
      </c>
      <c r="G96" t="s">
        <v>24</v>
      </c>
      <c r="H96">
        <v>3</v>
      </c>
      <c r="I96">
        <v>2</v>
      </c>
      <c r="J96" t="s">
        <v>21</v>
      </c>
      <c r="K96">
        <v>3</v>
      </c>
      <c r="L96">
        <v>5010</v>
      </c>
      <c r="M96" t="str" cm="1">
        <f t="array" ref="M96">_xlfn.IFS(L96&lt;= 7000,"Low",L96&lt;=15000,"Medium",L96&lt;=20000,"High")</f>
        <v>Low</v>
      </c>
      <c r="N96" t="s">
        <v>22</v>
      </c>
      <c r="O96">
        <v>16</v>
      </c>
      <c r="P96">
        <v>3</v>
      </c>
      <c r="Q96">
        <v>1</v>
      </c>
      <c r="R96">
        <v>12</v>
      </c>
      <c r="S96">
        <v>3</v>
      </c>
      <c r="T96">
        <v>11</v>
      </c>
      <c r="U96">
        <v>8</v>
      </c>
    </row>
    <row r="97" spans="1:21" x14ac:dyDescent="0.35">
      <c r="A97">
        <v>54</v>
      </c>
      <c r="B97" t="str" cm="1">
        <f t="array" ref="B97">_xlfn.IFS(A97&gt;40,"Senior",A97&gt;30,"Adult",A97&gt;=18,"Teenager")</f>
        <v>Senior</v>
      </c>
      <c r="C97" t="s">
        <v>22</v>
      </c>
      <c r="D97">
        <f t="shared" si="1"/>
        <v>0</v>
      </c>
      <c r="E97" t="s">
        <v>23</v>
      </c>
      <c r="F97">
        <v>1</v>
      </c>
      <c r="G97" t="s">
        <v>20</v>
      </c>
      <c r="H97">
        <v>3</v>
      </c>
      <c r="I97">
        <v>3</v>
      </c>
      <c r="J97" t="s">
        <v>31</v>
      </c>
      <c r="K97">
        <v>3</v>
      </c>
      <c r="L97">
        <v>13549</v>
      </c>
      <c r="M97" t="str" cm="1">
        <f t="array" ref="M97">_xlfn.IFS(L97&lt;= 7000,"Low",L97&lt;=15000,"Medium",L97&lt;=20000,"High")</f>
        <v>Medium</v>
      </c>
      <c r="N97" t="s">
        <v>22</v>
      </c>
      <c r="O97">
        <v>12</v>
      </c>
      <c r="P97">
        <v>3</v>
      </c>
      <c r="Q97">
        <v>1</v>
      </c>
      <c r="R97">
        <v>16</v>
      </c>
      <c r="S97">
        <v>1</v>
      </c>
      <c r="T97">
        <v>4</v>
      </c>
      <c r="U97">
        <v>3</v>
      </c>
    </row>
    <row r="98" spans="1:21" x14ac:dyDescent="0.35">
      <c r="A98">
        <v>24</v>
      </c>
      <c r="B98" t="str" cm="1">
        <f t="array" ref="B98">_xlfn.IFS(A98&gt;40,"Senior",A98&gt;30,"Adult",A98&gt;=18,"Teenager")</f>
        <v>Teenager</v>
      </c>
      <c r="C98" t="s">
        <v>22</v>
      </c>
      <c r="D98">
        <f t="shared" si="1"/>
        <v>0</v>
      </c>
      <c r="E98" t="s">
        <v>19</v>
      </c>
      <c r="F98">
        <v>1</v>
      </c>
      <c r="G98" t="s">
        <v>20</v>
      </c>
      <c r="H98">
        <v>3</v>
      </c>
      <c r="I98">
        <v>2</v>
      </c>
      <c r="J98" t="s">
        <v>21</v>
      </c>
      <c r="K98">
        <v>3</v>
      </c>
      <c r="L98">
        <v>4999</v>
      </c>
      <c r="M98" t="str" cm="1">
        <f t="array" ref="M98">_xlfn.IFS(L98&lt;= 7000,"Low",L98&lt;=15000,"Medium",L98&lt;=20000,"High")</f>
        <v>Low</v>
      </c>
      <c r="N98" t="s">
        <v>22</v>
      </c>
      <c r="O98">
        <v>21</v>
      </c>
      <c r="P98">
        <v>4</v>
      </c>
      <c r="Q98">
        <v>1</v>
      </c>
      <c r="R98">
        <v>4</v>
      </c>
      <c r="S98">
        <v>2</v>
      </c>
      <c r="T98">
        <v>3</v>
      </c>
      <c r="U98">
        <v>2</v>
      </c>
    </row>
    <row r="99" spans="1:21" x14ac:dyDescent="0.35">
      <c r="A99">
        <v>28</v>
      </c>
      <c r="B99" t="str" cm="1">
        <f t="array" ref="B99">_xlfn.IFS(A99&gt;40,"Senior",A99&gt;30,"Adult",A99&gt;=18,"Teenager")</f>
        <v>Teenager</v>
      </c>
      <c r="C99" t="s">
        <v>22</v>
      </c>
      <c r="D99">
        <f t="shared" si="1"/>
        <v>0</v>
      </c>
      <c r="E99" t="s">
        <v>19</v>
      </c>
      <c r="F99">
        <v>2</v>
      </c>
      <c r="G99" t="s">
        <v>24</v>
      </c>
      <c r="H99">
        <v>3</v>
      </c>
      <c r="I99">
        <v>2</v>
      </c>
      <c r="J99" t="s">
        <v>21</v>
      </c>
      <c r="K99">
        <v>3</v>
      </c>
      <c r="L99">
        <v>4221</v>
      </c>
      <c r="M99" t="str" cm="1">
        <f t="array" ref="M99">_xlfn.IFS(L99&lt;= 7000,"Low",L99&lt;=15000,"Medium",L99&lt;=20000,"High")</f>
        <v>Low</v>
      </c>
      <c r="N99" t="s">
        <v>22</v>
      </c>
      <c r="O99">
        <v>15</v>
      </c>
      <c r="P99">
        <v>3</v>
      </c>
      <c r="Q99">
        <v>2</v>
      </c>
      <c r="R99">
        <v>5</v>
      </c>
      <c r="S99">
        <v>4</v>
      </c>
      <c r="T99">
        <v>5</v>
      </c>
      <c r="U99">
        <v>4</v>
      </c>
    </row>
    <row r="100" spans="1:21" x14ac:dyDescent="0.35">
      <c r="A100">
        <v>58</v>
      </c>
      <c r="B100" t="str" cm="1">
        <f t="array" ref="B100">_xlfn.IFS(A100&gt;40,"Senior",A100&gt;30,"Adult",A100&gt;=18,"Teenager")</f>
        <v>Senior</v>
      </c>
      <c r="C100" t="s">
        <v>22</v>
      </c>
      <c r="D100">
        <f t="shared" si="1"/>
        <v>0</v>
      </c>
      <c r="E100" t="s">
        <v>19</v>
      </c>
      <c r="F100">
        <v>4</v>
      </c>
      <c r="G100" t="s">
        <v>24</v>
      </c>
      <c r="H100">
        <v>3</v>
      </c>
      <c r="I100">
        <v>4</v>
      </c>
      <c r="J100" t="s">
        <v>21</v>
      </c>
      <c r="K100">
        <v>3</v>
      </c>
      <c r="L100">
        <v>13872</v>
      </c>
      <c r="M100" t="str" cm="1">
        <f t="array" ref="M100">_xlfn.IFS(L100&lt;= 7000,"Low",L100&lt;=15000,"Medium",L100&lt;=20000,"High")</f>
        <v>Medium</v>
      </c>
      <c r="N100" t="s">
        <v>22</v>
      </c>
      <c r="O100">
        <v>13</v>
      </c>
      <c r="P100">
        <v>3</v>
      </c>
      <c r="Q100">
        <v>3</v>
      </c>
      <c r="R100">
        <v>38</v>
      </c>
      <c r="S100">
        <v>2</v>
      </c>
      <c r="T100">
        <v>37</v>
      </c>
      <c r="U100">
        <v>10</v>
      </c>
    </row>
    <row r="101" spans="1:21" x14ac:dyDescent="0.35">
      <c r="A101">
        <v>44</v>
      </c>
      <c r="B101" t="str" cm="1">
        <f t="array" ref="B101">_xlfn.IFS(A101&gt;40,"Senior",A101&gt;30,"Adult",A101&gt;=18,"Teenager")</f>
        <v>Senior</v>
      </c>
      <c r="C101" t="s">
        <v>22</v>
      </c>
      <c r="D101">
        <f t="shared" si="1"/>
        <v>0</v>
      </c>
      <c r="E101" t="s">
        <v>23</v>
      </c>
      <c r="F101">
        <v>2</v>
      </c>
      <c r="G101" t="s">
        <v>24</v>
      </c>
      <c r="H101">
        <v>3</v>
      </c>
      <c r="I101">
        <v>2</v>
      </c>
      <c r="J101" t="s">
        <v>26</v>
      </c>
      <c r="K101">
        <v>2</v>
      </c>
      <c r="L101">
        <v>2042</v>
      </c>
      <c r="M101" t="str" cm="1">
        <f t="array" ref="M101">_xlfn.IFS(L101&lt;= 7000,"Low",L101&lt;=15000,"Medium",L101&lt;=20000,"High")</f>
        <v>Low</v>
      </c>
      <c r="N101" t="s">
        <v>22</v>
      </c>
      <c r="O101">
        <v>12</v>
      </c>
      <c r="P101">
        <v>3</v>
      </c>
      <c r="Q101">
        <v>3</v>
      </c>
      <c r="R101">
        <v>17</v>
      </c>
      <c r="S101">
        <v>4</v>
      </c>
      <c r="T101">
        <v>3</v>
      </c>
      <c r="U101">
        <v>2</v>
      </c>
    </row>
    <row r="102" spans="1:21" x14ac:dyDescent="0.35">
      <c r="A102">
        <v>37</v>
      </c>
      <c r="B102" t="str" cm="1">
        <f t="array" ref="B102">_xlfn.IFS(A102&gt;40,"Senior",A102&gt;30,"Adult",A102&gt;=18,"Teenager")</f>
        <v>Adult</v>
      </c>
      <c r="C102" t="s">
        <v>18</v>
      </c>
      <c r="D102">
        <f t="shared" si="1"/>
        <v>1</v>
      </c>
      <c r="E102" t="s">
        <v>32</v>
      </c>
      <c r="F102">
        <v>3</v>
      </c>
      <c r="G102" t="s">
        <v>24</v>
      </c>
      <c r="H102">
        <v>3</v>
      </c>
      <c r="I102">
        <v>1</v>
      </c>
      <c r="J102" t="s">
        <v>32</v>
      </c>
      <c r="K102">
        <v>1</v>
      </c>
      <c r="L102">
        <v>2073</v>
      </c>
      <c r="M102" t="str" cm="1">
        <f t="array" ref="M102">_xlfn.IFS(L102&lt;= 7000,"Low",L102&lt;=15000,"Medium",L102&lt;=20000,"High")</f>
        <v>Low</v>
      </c>
      <c r="N102" t="s">
        <v>18</v>
      </c>
      <c r="O102">
        <v>22</v>
      </c>
      <c r="P102">
        <v>4</v>
      </c>
      <c r="Q102">
        <v>4</v>
      </c>
      <c r="R102">
        <v>7</v>
      </c>
      <c r="S102">
        <v>3</v>
      </c>
      <c r="T102">
        <v>3</v>
      </c>
      <c r="U102">
        <v>2</v>
      </c>
    </row>
    <row r="103" spans="1:21" x14ac:dyDescent="0.35">
      <c r="A103">
        <v>32</v>
      </c>
      <c r="B103" t="str" cm="1">
        <f t="array" ref="B103">_xlfn.IFS(A103&gt;40,"Senior",A103&gt;30,"Adult",A103&gt;=18,"Teenager")</f>
        <v>Adult</v>
      </c>
      <c r="C103" t="s">
        <v>22</v>
      </c>
      <c r="D103">
        <f t="shared" si="1"/>
        <v>0</v>
      </c>
      <c r="E103" t="s">
        <v>23</v>
      </c>
      <c r="F103">
        <v>4</v>
      </c>
      <c r="G103" t="s">
        <v>24</v>
      </c>
      <c r="H103">
        <v>3</v>
      </c>
      <c r="I103">
        <v>1</v>
      </c>
      <c r="J103" t="s">
        <v>25</v>
      </c>
      <c r="K103">
        <v>1</v>
      </c>
      <c r="L103">
        <v>2956</v>
      </c>
      <c r="M103" t="str" cm="1">
        <f t="array" ref="M103">_xlfn.IFS(L103&lt;= 7000,"Low",L103&lt;=15000,"Medium",L103&lt;=20000,"High")</f>
        <v>Low</v>
      </c>
      <c r="N103" t="s">
        <v>22</v>
      </c>
      <c r="O103">
        <v>13</v>
      </c>
      <c r="P103">
        <v>3</v>
      </c>
      <c r="Q103">
        <v>4</v>
      </c>
      <c r="R103">
        <v>1</v>
      </c>
      <c r="S103">
        <v>3</v>
      </c>
      <c r="T103">
        <v>1</v>
      </c>
      <c r="U103">
        <v>0</v>
      </c>
    </row>
    <row r="104" spans="1:21" x14ac:dyDescent="0.35">
      <c r="A104">
        <v>20</v>
      </c>
      <c r="B104" t="str" cm="1">
        <f t="array" ref="B104">_xlfn.IFS(A104&gt;40,"Senior",A104&gt;30,"Adult",A104&gt;=18,"Teenager")</f>
        <v>Teenager</v>
      </c>
      <c r="C104" t="s">
        <v>18</v>
      </c>
      <c r="D104">
        <f t="shared" si="1"/>
        <v>1</v>
      </c>
      <c r="E104" t="s">
        <v>23</v>
      </c>
      <c r="F104">
        <v>4</v>
      </c>
      <c r="G104" t="s">
        <v>20</v>
      </c>
      <c r="H104">
        <v>2</v>
      </c>
      <c r="I104">
        <v>1</v>
      </c>
      <c r="J104" t="s">
        <v>26</v>
      </c>
      <c r="K104">
        <v>4</v>
      </c>
      <c r="L104">
        <v>2926</v>
      </c>
      <c r="M104" t="str" cm="1">
        <f t="array" ref="M104">_xlfn.IFS(L104&lt;= 7000,"Low",L104&lt;=15000,"Medium",L104&lt;=20000,"High")</f>
        <v>Low</v>
      </c>
      <c r="N104" t="s">
        <v>18</v>
      </c>
      <c r="O104">
        <v>18</v>
      </c>
      <c r="P104">
        <v>3</v>
      </c>
      <c r="Q104">
        <v>2</v>
      </c>
      <c r="R104">
        <v>1</v>
      </c>
      <c r="S104">
        <v>3</v>
      </c>
      <c r="T104">
        <v>1</v>
      </c>
      <c r="U104">
        <v>0</v>
      </c>
    </row>
    <row r="105" spans="1:21" x14ac:dyDescent="0.35">
      <c r="A105">
        <v>34</v>
      </c>
      <c r="B105" t="str" cm="1">
        <f t="array" ref="B105">_xlfn.IFS(A105&gt;40,"Senior",A105&gt;30,"Adult",A105&gt;=18,"Teenager")</f>
        <v>Adult</v>
      </c>
      <c r="C105" t="s">
        <v>22</v>
      </c>
      <c r="D105">
        <f t="shared" si="1"/>
        <v>0</v>
      </c>
      <c r="E105" t="s">
        <v>23</v>
      </c>
      <c r="F105">
        <v>1</v>
      </c>
      <c r="G105" t="s">
        <v>20</v>
      </c>
      <c r="H105">
        <v>3</v>
      </c>
      <c r="I105">
        <v>2</v>
      </c>
      <c r="J105" t="s">
        <v>25</v>
      </c>
      <c r="K105">
        <v>3</v>
      </c>
      <c r="L105">
        <v>4809</v>
      </c>
      <c r="M105" t="str" cm="1">
        <f t="array" ref="M105">_xlfn.IFS(L105&lt;= 7000,"Low",L105&lt;=15000,"Medium",L105&lt;=20000,"High")</f>
        <v>Low</v>
      </c>
      <c r="N105" t="s">
        <v>22</v>
      </c>
      <c r="O105">
        <v>14</v>
      </c>
      <c r="P105">
        <v>3</v>
      </c>
      <c r="Q105">
        <v>3</v>
      </c>
      <c r="R105">
        <v>16</v>
      </c>
      <c r="S105">
        <v>3</v>
      </c>
      <c r="T105">
        <v>16</v>
      </c>
      <c r="U105">
        <v>13</v>
      </c>
    </row>
    <row r="106" spans="1:21" x14ac:dyDescent="0.35">
      <c r="A106">
        <v>37</v>
      </c>
      <c r="B106" t="str" cm="1">
        <f t="array" ref="B106">_xlfn.IFS(A106&gt;40,"Senior",A106&gt;30,"Adult",A106&gt;=18,"Teenager")</f>
        <v>Adult</v>
      </c>
      <c r="C106" t="s">
        <v>22</v>
      </c>
      <c r="D106">
        <f t="shared" si="1"/>
        <v>0</v>
      </c>
      <c r="E106" t="s">
        <v>23</v>
      </c>
      <c r="F106">
        <v>3</v>
      </c>
      <c r="G106" t="s">
        <v>24</v>
      </c>
      <c r="H106">
        <v>2</v>
      </c>
      <c r="I106">
        <v>2</v>
      </c>
      <c r="J106" t="s">
        <v>28</v>
      </c>
      <c r="K106">
        <v>4</v>
      </c>
      <c r="L106">
        <v>5163</v>
      </c>
      <c r="M106" t="str" cm="1">
        <f t="array" ref="M106">_xlfn.IFS(L106&lt;= 7000,"Low",L106&lt;=15000,"Medium",L106&lt;=20000,"High")</f>
        <v>Low</v>
      </c>
      <c r="N106" t="s">
        <v>22</v>
      </c>
      <c r="O106">
        <v>14</v>
      </c>
      <c r="P106">
        <v>3</v>
      </c>
      <c r="Q106">
        <v>4</v>
      </c>
      <c r="R106">
        <v>17</v>
      </c>
      <c r="S106">
        <v>4</v>
      </c>
      <c r="T106">
        <v>1</v>
      </c>
      <c r="U106">
        <v>0</v>
      </c>
    </row>
    <row r="107" spans="1:21" x14ac:dyDescent="0.35">
      <c r="A107">
        <v>59</v>
      </c>
      <c r="B107" t="str" cm="1">
        <f t="array" ref="B107">_xlfn.IFS(A107&gt;40,"Senior",A107&gt;30,"Adult",A107&gt;=18,"Teenager")</f>
        <v>Senior</v>
      </c>
      <c r="C107" t="s">
        <v>22</v>
      </c>
      <c r="D107">
        <f t="shared" si="1"/>
        <v>0</v>
      </c>
      <c r="E107" t="s">
        <v>32</v>
      </c>
      <c r="F107">
        <v>3</v>
      </c>
      <c r="G107" t="s">
        <v>20</v>
      </c>
      <c r="H107">
        <v>2</v>
      </c>
      <c r="I107">
        <v>5</v>
      </c>
      <c r="J107" t="s">
        <v>29</v>
      </c>
      <c r="K107">
        <v>4</v>
      </c>
      <c r="L107">
        <v>18844</v>
      </c>
      <c r="M107" t="str" cm="1">
        <f t="array" ref="M107">_xlfn.IFS(L107&lt;= 7000,"Low",L107&lt;=15000,"Medium",L107&lt;=20000,"High")</f>
        <v>High</v>
      </c>
      <c r="N107" t="s">
        <v>22</v>
      </c>
      <c r="O107">
        <v>21</v>
      </c>
      <c r="P107">
        <v>4</v>
      </c>
      <c r="Q107">
        <v>4</v>
      </c>
      <c r="R107">
        <v>30</v>
      </c>
      <c r="S107">
        <v>3</v>
      </c>
      <c r="T107">
        <v>3</v>
      </c>
      <c r="U107">
        <v>2</v>
      </c>
    </row>
    <row r="108" spans="1:21" x14ac:dyDescent="0.35">
      <c r="A108">
        <v>50</v>
      </c>
      <c r="B108" t="str" cm="1">
        <f t="array" ref="B108">_xlfn.IFS(A108&gt;40,"Senior",A108&gt;30,"Adult",A108&gt;=18,"Teenager")</f>
        <v>Senior</v>
      </c>
      <c r="C108" t="s">
        <v>22</v>
      </c>
      <c r="D108">
        <f t="shared" si="1"/>
        <v>0</v>
      </c>
      <c r="E108" t="s">
        <v>23</v>
      </c>
      <c r="F108">
        <v>1</v>
      </c>
      <c r="G108" t="s">
        <v>20</v>
      </c>
      <c r="H108">
        <v>3</v>
      </c>
      <c r="I108">
        <v>5</v>
      </c>
      <c r="J108" t="s">
        <v>31</v>
      </c>
      <c r="K108">
        <v>2</v>
      </c>
      <c r="L108">
        <v>18172</v>
      </c>
      <c r="M108" t="str" cm="1">
        <f t="array" ref="M108">_xlfn.IFS(L108&lt;= 7000,"Low",L108&lt;=15000,"Medium",L108&lt;=20000,"High")</f>
        <v>High</v>
      </c>
      <c r="N108" t="s">
        <v>18</v>
      </c>
      <c r="O108">
        <v>19</v>
      </c>
      <c r="P108">
        <v>3</v>
      </c>
      <c r="Q108">
        <v>1</v>
      </c>
      <c r="R108">
        <v>28</v>
      </c>
      <c r="S108">
        <v>2</v>
      </c>
      <c r="T108">
        <v>8</v>
      </c>
      <c r="U108">
        <v>3</v>
      </c>
    </row>
    <row r="109" spans="1:21" x14ac:dyDescent="0.35">
      <c r="A109">
        <v>25</v>
      </c>
      <c r="B109" t="str" cm="1">
        <f t="array" ref="B109">_xlfn.IFS(A109&gt;40,"Senior",A109&gt;30,"Adult",A109&gt;=18,"Teenager")</f>
        <v>Teenager</v>
      </c>
      <c r="C109" t="s">
        <v>18</v>
      </c>
      <c r="D109">
        <f t="shared" si="1"/>
        <v>1</v>
      </c>
      <c r="E109" t="s">
        <v>19</v>
      </c>
      <c r="F109">
        <v>3</v>
      </c>
      <c r="G109" t="s">
        <v>24</v>
      </c>
      <c r="H109">
        <v>2</v>
      </c>
      <c r="I109">
        <v>2</v>
      </c>
      <c r="J109" t="s">
        <v>21</v>
      </c>
      <c r="K109">
        <v>3</v>
      </c>
      <c r="L109">
        <v>5744</v>
      </c>
      <c r="M109" t="str" cm="1">
        <f t="array" ref="M109">_xlfn.IFS(L109&lt;= 7000,"Low",L109&lt;=15000,"Medium",L109&lt;=20000,"High")</f>
        <v>Low</v>
      </c>
      <c r="N109" t="s">
        <v>18</v>
      </c>
      <c r="O109">
        <v>11</v>
      </c>
      <c r="P109">
        <v>3</v>
      </c>
      <c r="Q109">
        <v>4</v>
      </c>
      <c r="R109">
        <v>6</v>
      </c>
      <c r="S109">
        <v>3</v>
      </c>
      <c r="T109">
        <v>6</v>
      </c>
      <c r="U109">
        <v>4</v>
      </c>
    </row>
    <row r="110" spans="1:21" x14ac:dyDescent="0.35">
      <c r="A110">
        <v>25</v>
      </c>
      <c r="B110" t="str" cm="1">
        <f t="array" ref="B110">_xlfn.IFS(A110&gt;40,"Senior",A110&gt;30,"Adult",A110&gt;=18,"Teenager")</f>
        <v>Teenager</v>
      </c>
      <c r="C110" t="s">
        <v>22</v>
      </c>
      <c r="D110">
        <f t="shared" si="1"/>
        <v>0</v>
      </c>
      <c r="E110" t="s">
        <v>23</v>
      </c>
      <c r="F110">
        <v>4</v>
      </c>
      <c r="G110" t="s">
        <v>24</v>
      </c>
      <c r="H110">
        <v>2</v>
      </c>
      <c r="I110">
        <v>1</v>
      </c>
      <c r="J110" t="s">
        <v>25</v>
      </c>
      <c r="K110">
        <v>4</v>
      </c>
      <c r="L110">
        <v>2889</v>
      </c>
      <c r="M110" t="str" cm="1">
        <f t="array" ref="M110">_xlfn.IFS(L110&lt;= 7000,"Low",L110&lt;=15000,"Medium",L110&lt;=20000,"High")</f>
        <v>Low</v>
      </c>
      <c r="N110" t="s">
        <v>22</v>
      </c>
      <c r="O110">
        <v>11</v>
      </c>
      <c r="P110">
        <v>3</v>
      </c>
      <c r="Q110">
        <v>3</v>
      </c>
      <c r="R110">
        <v>2</v>
      </c>
      <c r="S110">
        <v>3</v>
      </c>
      <c r="T110">
        <v>2</v>
      </c>
      <c r="U110">
        <v>2</v>
      </c>
    </row>
    <row r="111" spans="1:21" x14ac:dyDescent="0.35">
      <c r="A111">
        <v>22</v>
      </c>
      <c r="B111" t="str" cm="1">
        <f t="array" ref="B111">_xlfn.IFS(A111&gt;40,"Senior",A111&gt;30,"Adult",A111&gt;=18,"Teenager")</f>
        <v>Teenager</v>
      </c>
      <c r="C111" t="s">
        <v>22</v>
      </c>
      <c r="D111">
        <f t="shared" si="1"/>
        <v>0</v>
      </c>
      <c r="E111" t="s">
        <v>23</v>
      </c>
      <c r="F111">
        <v>2</v>
      </c>
      <c r="G111" t="s">
        <v>20</v>
      </c>
      <c r="H111">
        <v>3</v>
      </c>
      <c r="I111">
        <v>1</v>
      </c>
      <c r="J111" t="s">
        <v>26</v>
      </c>
      <c r="K111">
        <v>4</v>
      </c>
      <c r="L111">
        <v>2871</v>
      </c>
      <c r="M111" t="str" cm="1">
        <f t="array" ref="M111">_xlfn.IFS(L111&lt;= 7000,"Low",L111&lt;=15000,"Medium",L111&lt;=20000,"High")</f>
        <v>Low</v>
      </c>
      <c r="N111" t="s">
        <v>22</v>
      </c>
      <c r="O111">
        <v>15</v>
      </c>
      <c r="P111">
        <v>3</v>
      </c>
      <c r="Q111">
        <v>3</v>
      </c>
      <c r="R111">
        <v>1</v>
      </c>
      <c r="S111">
        <v>3</v>
      </c>
      <c r="T111">
        <v>0</v>
      </c>
      <c r="U111">
        <v>0</v>
      </c>
    </row>
    <row r="112" spans="1:21" x14ac:dyDescent="0.35">
      <c r="A112">
        <v>51</v>
      </c>
      <c r="B112" t="str" cm="1">
        <f t="array" ref="B112">_xlfn.IFS(A112&gt;40,"Senior",A112&gt;30,"Adult",A112&gt;=18,"Teenager")</f>
        <v>Senior</v>
      </c>
      <c r="C112" t="s">
        <v>22</v>
      </c>
      <c r="D112">
        <f t="shared" si="1"/>
        <v>0</v>
      </c>
      <c r="E112" t="s">
        <v>23</v>
      </c>
      <c r="F112">
        <v>1</v>
      </c>
      <c r="G112" t="s">
        <v>20</v>
      </c>
      <c r="H112">
        <v>2</v>
      </c>
      <c r="I112">
        <v>3</v>
      </c>
      <c r="J112" t="s">
        <v>28</v>
      </c>
      <c r="K112">
        <v>1</v>
      </c>
      <c r="L112">
        <v>7484</v>
      </c>
      <c r="M112" t="str" cm="1">
        <f t="array" ref="M112">_xlfn.IFS(L112&lt;= 7000,"Low",L112&lt;=15000,"Medium",L112&lt;=20000,"High")</f>
        <v>Medium</v>
      </c>
      <c r="N112" t="s">
        <v>22</v>
      </c>
      <c r="O112">
        <v>20</v>
      </c>
      <c r="P112">
        <v>4</v>
      </c>
      <c r="Q112">
        <v>3</v>
      </c>
      <c r="R112">
        <v>23</v>
      </c>
      <c r="S112">
        <v>2</v>
      </c>
      <c r="T112">
        <v>13</v>
      </c>
      <c r="U112">
        <v>12</v>
      </c>
    </row>
    <row r="113" spans="1:21" x14ac:dyDescent="0.35">
      <c r="A113">
        <v>34</v>
      </c>
      <c r="B113" t="str" cm="1">
        <f t="array" ref="B113">_xlfn.IFS(A113&gt;40,"Senior",A113&gt;30,"Adult",A113&gt;=18,"Teenager")</f>
        <v>Adult</v>
      </c>
      <c r="C113" t="s">
        <v>18</v>
      </c>
      <c r="D113">
        <f t="shared" si="1"/>
        <v>1</v>
      </c>
      <c r="E113" t="s">
        <v>23</v>
      </c>
      <c r="F113">
        <v>1</v>
      </c>
      <c r="G113" t="s">
        <v>24</v>
      </c>
      <c r="H113">
        <v>1</v>
      </c>
      <c r="I113">
        <v>2</v>
      </c>
      <c r="J113" t="s">
        <v>26</v>
      </c>
      <c r="K113">
        <v>3</v>
      </c>
      <c r="L113">
        <v>6074</v>
      </c>
      <c r="M113" t="str" cm="1">
        <f t="array" ref="M113">_xlfn.IFS(L113&lt;= 7000,"Low",L113&lt;=15000,"Medium",L113&lt;=20000,"High")</f>
        <v>Low</v>
      </c>
      <c r="N113" t="s">
        <v>18</v>
      </c>
      <c r="O113">
        <v>24</v>
      </c>
      <c r="P113">
        <v>4</v>
      </c>
      <c r="Q113">
        <v>4</v>
      </c>
      <c r="R113">
        <v>9</v>
      </c>
      <c r="S113">
        <v>3</v>
      </c>
      <c r="T113">
        <v>9</v>
      </c>
      <c r="U113">
        <v>7</v>
      </c>
    </row>
    <row r="114" spans="1:21" x14ac:dyDescent="0.35">
      <c r="A114">
        <v>54</v>
      </c>
      <c r="B114" t="str" cm="1">
        <f t="array" ref="B114">_xlfn.IFS(A114&gt;40,"Senior",A114&gt;30,"Adult",A114&gt;=18,"Teenager")</f>
        <v>Senior</v>
      </c>
      <c r="C114" t="s">
        <v>22</v>
      </c>
      <c r="D114">
        <f t="shared" si="1"/>
        <v>0</v>
      </c>
      <c r="E114" t="s">
        <v>32</v>
      </c>
      <c r="F114">
        <v>4</v>
      </c>
      <c r="G114" t="s">
        <v>20</v>
      </c>
      <c r="H114">
        <v>4</v>
      </c>
      <c r="I114">
        <v>4</v>
      </c>
      <c r="J114" t="s">
        <v>29</v>
      </c>
      <c r="K114">
        <v>4</v>
      </c>
      <c r="L114">
        <v>17328</v>
      </c>
      <c r="M114" t="str" cm="1">
        <f t="array" ref="M114">_xlfn.IFS(L114&lt;= 7000,"Low",L114&lt;=15000,"Medium",L114&lt;=20000,"High")</f>
        <v>High</v>
      </c>
      <c r="N114" t="s">
        <v>18</v>
      </c>
      <c r="O114">
        <v>12</v>
      </c>
      <c r="P114">
        <v>3</v>
      </c>
      <c r="Q114">
        <v>3</v>
      </c>
      <c r="R114">
        <v>23</v>
      </c>
      <c r="S114">
        <v>3</v>
      </c>
      <c r="T114">
        <v>5</v>
      </c>
      <c r="U114">
        <v>3</v>
      </c>
    </row>
    <row r="115" spans="1:21" x14ac:dyDescent="0.35">
      <c r="A115">
        <v>24</v>
      </c>
      <c r="B115" t="str" cm="1">
        <f t="array" ref="B115">_xlfn.IFS(A115&gt;40,"Senior",A115&gt;30,"Adult",A115&gt;=18,"Teenager")</f>
        <v>Teenager</v>
      </c>
      <c r="C115" t="s">
        <v>22</v>
      </c>
      <c r="D115">
        <f t="shared" si="1"/>
        <v>0</v>
      </c>
      <c r="E115" t="s">
        <v>23</v>
      </c>
      <c r="F115">
        <v>2</v>
      </c>
      <c r="G115" t="s">
        <v>24</v>
      </c>
      <c r="H115">
        <v>3</v>
      </c>
      <c r="I115">
        <v>1</v>
      </c>
      <c r="J115" t="s">
        <v>26</v>
      </c>
      <c r="K115">
        <v>3</v>
      </c>
      <c r="L115">
        <v>2774</v>
      </c>
      <c r="M115" t="str" cm="1">
        <f t="array" ref="M115">_xlfn.IFS(L115&lt;= 7000,"Low",L115&lt;=15000,"Medium",L115&lt;=20000,"High")</f>
        <v>Low</v>
      </c>
      <c r="N115" t="s">
        <v>22</v>
      </c>
      <c r="O115">
        <v>12</v>
      </c>
      <c r="P115">
        <v>3</v>
      </c>
      <c r="Q115">
        <v>3</v>
      </c>
      <c r="R115">
        <v>6</v>
      </c>
      <c r="S115">
        <v>3</v>
      </c>
      <c r="T115">
        <v>5</v>
      </c>
      <c r="U115">
        <v>3</v>
      </c>
    </row>
    <row r="116" spans="1:21" x14ac:dyDescent="0.35">
      <c r="A116">
        <v>34</v>
      </c>
      <c r="B116" t="str" cm="1">
        <f t="array" ref="B116">_xlfn.IFS(A116&gt;40,"Senior",A116&gt;30,"Adult",A116&gt;=18,"Teenager")</f>
        <v>Adult</v>
      </c>
      <c r="C116" t="s">
        <v>22</v>
      </c>
      <c r="D116">
        <f t="shared" si="1"/>
        <v>0</v>
      </c>
      <c r="E116" t="s">
        <v>23</v>
      </c>
      <c r="F116">
        <v>3</v>
      </c>
      <c r="G116" t="s">
        <v>20</v>
      </c>
      <c r="H116">
        <v>2</v>
      </c>
      <c r="I116">
        <v>2</v>
      </c>
      <c r="J116" t="s">
        <v>25</v>
      </c>
      <c r="K116">
        <v>2</v>
      </c>
      <c r="L116">
        <v>4505</v>
      </c>
      <c r="M116" t="str" cm="1">
        <f t="array" ref="M116">_xlfn.IFS(L116&lt;= 7000,"Low",L116&lt;=15000,"Medium",L116&lt;=20000,"High")</f>
        <v>Low</v>
      </c>
      <c r="N116" t="s">
        <v>22</v>
      </c>
      <c r="O116">
        <v>15</v>
      </c>
      <c r="P116">
        <v>3</v>
      </c>
      <c r="Q116">
        <v>3</v>
      </c>
      <c r="R116">
        <v>12</v>
      </c>
      <c r="S116">
        <v>3</v>
      </c>
      <c r="T116">
        <v>1</v>
      </c>
      <c r="U116">
        <v>0</v>
      </c>
    </row>
    <row r="117" spans="1:21" x14ac:dyDescent="0.35">
      <c r="A117">
        <v>37</v>
      </c>
      <c r="B117" t="str" cm="1">
        <f t="array" ref="B117">_xlfn.IFS(A117&gt;40,"Senior",A117&gt;30,"Adult",A117&gt;=18,"Teenager")</f>
        <v>Adult</v>
      </c>
      <c r="C117" t="s">
        <v>22</v>
      </c>
      <c r="D117">
        <f t="shared" si="1"/>
        <v>0</v>
      </c>
      <c r="E117" t="s">
        <v>19</v>
      </c>
      <c r="F117">
        <v>3</v>
      </c>
      <c r="G117" t="s">
        <v>24</v>
      </c>
      <c r="H117">
        <v>3</v>
      </c>
      <c r="I117">
        <v>3</v>
      </c>
      <c r="J117" t="s">
        <v>21</v>
      </c>
      <c r="K117">
        <v>4</v>
      </c>
      <c r="L117">
        <v>7428</v>
      </c>
      <c r="M117" t="str" cm="1">
        <f t="array" ref="M117">_xlfn.IFS(L117&lt;= 7000,"Low",L117&lt;=15000,"Medium",L117&lt;=20000,"High")</f>
        <v>Medium</v>
      </c>
      <c r="N117" t="s">
        <v>22</v>
      </c>
      <c r="O117">
        <v>12</v>
      </c>
      <c r="P117">
        <v>3</v>
      </c>
      <c r="Q117">
        <v>1</v>
      </c>
      <c r="R117">
        <v>12</v>
      </c>
      <c r="S117">
        <v>3</v>
      </c>
      <c r="T117">
        <v>5</v>
      </c>
      <c r="U117">
        <v>3</v>
      </c>
    </row>
    <row r="118" spans="1:21" x14ac:dyDescent="0.35">
      <c r="A118">
        <v>34</v>
      </c>
      <c r="B118" t="str" cm="1">
        <f t="array" ref="B118">_xlfn.IFS(A118&gt;40,"Senior",A118&gt;30,"Adult",A118&gt;=18,"Teenager")</f>
        <v>Adult</v>
      </c>
      <c r="C118" t="s">
        <v>22</v>
      </c>
      <c r="D118">
        <f t="shared" si="1"/>
        <v>0</v>
      </c>
      <c r="E118" t="s">
        <v>23</v>
      </c>
      <c r="F118">
        <v>3</v>
      </c>
      <c r="G118" t="s">
        <v>20</v>
      </c>
      <c r="H118">
        <v>2</v>
      </c>
      <c r="I118">
        <v>3</v>
      </c>
      <c r="J118" t="s">
        <v>29</v>
      </c>
      <c r="K118">
        <v>1</v>
      </c>
      <c r="L118">
        <v>11631</v>
      </c>
      <c r="M118" t="str" cm="1">
        <f t="array" ref="M118">_xlfn.IFS(L118&lt;= 7000,"Low",L118&lt;=15000,"Medium",L118&lt;=20000,"High")</f>
        <v>Medium</v>
      </c>
      <c r="N118" t="s">
        <v>22</v>
      </c>
      <c r="O118">
        <v>12</v>
      </c>
      <c r="P118">
        <v>3</v>
      </c>
      <c r="Q118">
        <v>4</v>
      </c>
      <c r="R118">
        <v>14</v>
      </c>
      <c r="S118">
        <v>3</v>
      </c>
      <c r="T118">
        <v>11</v>
      </c>
      <c r="U118">
        <v>10</v>
      </c>
    </row>
    <row r="119" spans="1:21" x14ac:dyDescent="0.35">
      <c r="A119">
        <v>36</v>
      </c>
      <c r="B119" t="str" cm="1">
        <f t="array" ref="B119">_xlfn.IFS(A119&gt;40,"Senior",A119&gt;30,"Adult",A119&gt;=18,"Teenager")</f>
        <v>Adult</v>
      </c>
      <c r="C119" t="s">
        <v>22</v>
      </c>
      <c r="D119">
        <f t="shared" si="1"/>
        <v>0</v>
      </c>
      <c r="E119" t="s">
        <v>19</v>
      </c>
      <c r="F119">
        <v>2</v>
      </c>
      <c r="G119" t="s">
        <v>20</v>
      </c>
      <c r="H119">
        <v>3</v>
      </c>
      <c r="I119">
        <v>3</v>
      </c>
      <c r="J119" t="s">
        <v>21</v>
      </c>
      <c r="K119">
        <v>4</v>
      </c>
      <c r="L119">
        <v>9738</v>
      </c>
      <c r="M119" t="str" cm="1">
        <f t="array" ref="M119">_xlfn.IFS(L119&lt;= 7000,"Low",L119&lt;=15000,"Medium",L119&lt;=20000,"High")</f>
        <v>Medium</v>
      </c>
      <c r="N119" t="s">
        <v>22</v>
      </c>
      <c r="O119">
        <v>14</v>
      </c>
      <c r="P119">
        <v>3</v>
      </c>
      <c r="Q119">
        <v>3</v>
      </c>
      <c r="R119">
        <v>10</v>
      </c>
      <c r="S119">
        <v>3</v>
      </c>
      <c r="T119">
        <v>9</v>
      </c>
      <c r="U119">
        <v>7</v>
      </c>
    </row>
    <row r="120" spans="1:21" x14ac:dyDescent="0.35">
      <c r="A120">
        <v>36</v>
      </c>
      <c r="B120" t="str" cm="1">
        <f t="array" ref="B120">_xlfn.IFS(A120&gt;40,"Senior",A120&gt;30,"Adult",A120&gt;=18,"Teenager")</f>
        <v>Adult</v>
      </c>
      <c r="C120" t="s">
        <v>22</v>
      </c>
      <c r="D120">
        <f t="shared" si="1"/>
        <v>0</v>
      </c>
      <c r="E120" t="s">
        <v>23</v>
      </c>
      <c r="F120">
        <v>1</v>
      </c>
      <c r="G120" t="s">
        <v>20</v>
      </c>
      <c r="H120">
        <v>3</v>
      </c>
      <c r="I120">
        <v>1</v>
      </c>
      <c r="J120" t="s">
        <v>26</v>
      </c>
      <c r="K120">
        <v>4</v>
      </c>
      <c r="L120">
        <v>2835</v>
      </c>
      <c r="M120" t="str" cm="1">
        <f t="array" ref="M120">_xlfn.IFS(L120&lt;= 7000,"Low",L120&lt;=15000,"Medium",L120&lt;=20000,"High")</f>
        <v>Low</v>
      </c>
      <c r="N120" t="s">
        <v>22</v>
      </c>
      <c r="O120">
        <v>22</v>
      </c>
      <c r="P120">
        <v>4</v>
      </c>
      <c r="Q120">
        <v>1</v>
      </c>
      <c r="R120">
        <v>7</v>
      </c>
      <c r="S120">
        <v>3</v>
      </c>
      <c r="T120">
        <v>1</v>
      </c>
      <c r="U120">
        <v>0</v>
      </c>
    </row>
    <row r="121" spans="1:21" x14ac:dyDescent="0.35">
      <c r="A121">
        <v>43</v>
      </c>
      <c r="B121" t="str" cm="1">
        <f t="array" ref="B121">_xlfn.IFS(A121&gt;40,"Senior",A121&gt;30,"Adult",A121&gt;=18,"Teenager")</f>
        <v>Senior</v>
      </c>
      <c r="C121" t="s">
        <v>22</v>
      </c>
      <c r="D121">
        <f t="shared" si="1"/>
        <v>0</v>
      </c>
      <c r="E121" t="s">
        <v>19</v>
      </c>
      <c r="F121">
        <v>3</v>
      </c>
      <c r="G121" t="s">
        <v>24</v>
      </c>
      <c r="H121">
        <v>3</v>
      </c>
      <c r="I121">
        <v>4</v>
      </c>
      <c r="J121" t="s">
        <v>29</v>
      </c>
      <c r="K121">
        <v>4</v>
      </c>
      <c r="L121">
        <v>16959</v>
      </c>
      <c r="M121" t="str" cm="1">
        <f t="array" ref="M121">_xlfn.IFS(L121&lt;= 7000,"Low",L121&lt;=15000,"Medium",L121&lt;=20000,"High")</f>
        <v>High</v>
      </c>
      <c r="N121" t="s">
        <v>18</v>
      </c>
      <c r="O121">
        <v>12</v>
      </c>
      <c r="P121">
        <v>3</v>
      </c>
      <c r="Q121">
        <v>4</v>
      </c>
      <c r="R121">
        <v>25</v>
      </c>
      <c r="S121">
        <v>4</v>
      </c>
      <c r="T121">
        <v>25</v>
      </c>
      <c r="U121">
        <v>12</v>
      </c>
    </row>
    <row r="122" spans="1:21" x14ac:dyDescent="0.35">
      <c r="A122">
        <v>30</v>
      </c>
      <c r="B122" t="str" cm="1">
        <f t="array" ref="B122">_xlfn.IFS(A122&gt;40,"Senior",A122&gt;30,"Adult",A122&gt;=18,"Teenager")</f>
        <v>Teenager</v>
      </c>
      <c r="C122" t="s">
        <v>22</v>
      </c>
      <c r="D122">
        <f t="shared" si="1"/>
        <v>0</v>
      </c>
      <c r="E122" t="s">
        <v>23</v>
      </c>
      <c r="F122">
        <v>1</v>
      </c>
      <c r="G122" t="s">
        <v>24</v>
      </c>
      <c r="H122">
        <v>1</v>
      </c>
      <c r="I122">
        <v>1</v>
      </c>
      <c r="J122" t="s">
        <v>25</v>
      </c>
      <c r="K122">
        <v>3</v>
      </c>
      <c r="L122">
        <v>2613</v>
      </c>
      <c r="M122" t="str" cm="1">
        <f t="array" ref="M122">_xlfn.IFS(L122&lt;= 7000,"Low",L122&lt;=15000,"Medium",L122&lt;=20000,"High")</f>
        <v>Low</v>
      </c>
      <c r="N122" t="s">
        <v>22</v>
      </c>
      <c r="O122">
        <v>25</v>
      </c>
      <c r="P122">
        <v>4</v>
      </c>
      <c r="Q122">
        <v>3</v>
      </c>
      <c r="R122">
        <v>10</v>
      </c>
      <c r="S122">
        <v>2</v>
      </c>
      <c r="T122">
        <v>10</v>
      </c>
      <c r="U122">
        <v>7</v>
      </c>
    </row>
    <row r="123" spans="1:21" x14ac:dyDescent="0.35">
      <c r="A123">
        <v>33</v>
      </c>
      <c r="B123" t="str" cm="1">
        <f t="array" ref="B123">_xlfn.IFS(A123&gt;40,"Senior",A123&gt;30,"Adult",A123&gt;=18,"Teenager")</f>
        <v>Adult</v>
      </c>
      <c r="C123" t="s">
        <v>22</v>
      </c>
      <c r="D123">
        <f t="shared" si="1"/>
        <v>0</v>
      </c>
      <c r="E123" t="s">
        <v>19</v>
      </c>
      <c r="F123">
        <v>3</v>
      </c>
      <c r="G123" t="s">
        <v>24</v>
      </c>
      <c r="H123">
        <v>3</v>
      </c>
      <c r="I123">
        <v>2</v>
      </c>
      <c r="J123" t="s">
        <v>21</v>
      </c>
      <c r="K123">
        <v>2</v>
      </c>
      <c r="L123">
        <v>6146</v>
      </c>
      <c r="M123" t="str" cm="1">
        <f t="array" ref="M123">_xlfn.IFS(L123&lt;= 7000,"Low",L123&lt;=15000,"Medium",L123&lt;=20000,"High")</f>
        <v>Low</v>
      </c>
      <c r="N123" t="s">
        <v>22</v>
      </c>
      <c r="O123">
        <v>13</v>
      </c>
      <c r="P123">
        <v>3</v>
      </c>
      <c r="Q123">
        <v>1</v>
      </c>
      <c r="R123">
        <v>8</v>
      </c>
      <c r="S123">
        <v>4</v>
      </c>
      <c r="T123">
        <v>7</v>
      </c>
      <c r="U123">
        <v>7</v>
      </c>
    </row>
    <row r="124" spans="1:21" x14ac:dyDescent="0.35">
      <c r="A124">
        <v>56</v>
      </c>
      <c r="B124" t="str" cm="1">
        <f t="array" ref="B124">_xlfn.IFS(A124&gt;40,"Senior",A124&gt;30,"Adult",A124&gt;=18,"Teenager")</f>
        <v>Senior</v>
      </c>
      <c r="C124" t="s">
        <v>18</v>
      </c>
      <c r="D124">
        <f t="shared" si="1"/>
        <v>1</v>
      </c>
      <c r="E124" t="s">
        <v>23</v>
      </c>
      <c r="F124">
        <v>2</v>
      </c>
      <c r="G124" t="s">
        <v>20</v>
      </c>
      <c r="H124">
        <v>3</v>
      </c>
      <c r="I124">
        <v>1</v>
      </c>
      <c r="J124" t="s">
        <v>25</v>
      </c>
      <c r="K124">
        <v>2</v>
      </c>
      <c r="L124">
        <v>4963</v>
      </c>
      <c r="M124" t="str" cm="1">
        <f t="array" ref="M124">_xlfn.IFS(L124&lt;= 7000,"Low",L124&lt;=15000,"Medium",L124&lt;=20000,"High")</f>
        <v>Low</v>
      </c>
      <c r="N124" t="s">
        <v>18</v>
      </c>
      <c r="O124">
        <v>18</v>
      </c>
      <c r="P124">
        <v>3</v>
      </c>
      <c r="Q124">
        <v>1</v>
      </c>
      <c r="R124">
        <v>7</v>
      </c>
      <c r="S124">
        <v>3</v>
      </c>
      <c r="T124">
        <v>5</v>
      </c>
      <c r="U124">
        <v>4</v>
      </c>
    </row>
    <row r="125" spans="1:21" x14ac:dyDescent="0.35">
      <c r="A125">
        <v>51</v>
      </c>
      <c r="B125" t="str" cm="1">
        <f t="array" ref="B125">_xlfn.IFS(A125&gt;40,"Senior",A125&gt;30,"Adult",A125&gt;=18,"Teenager")</f>
        <v>Senior</v>
      </c>
      <c r="C125" t="s">
        <v>22</v>
      </c>
      <c r="D125">
        <f t="shared" si="1"/>
        <v>0</v>
      </c>
      <c r="E125" t="s">
        <v>23</v>
      </c>
      <c r="F125">
        <v>1</v>
      </c>
      <c r="G125" t="s">
        <v>24</v>
      </c>
      <c r="H125">
        <v>3</v>
      </c>
      <c r="I125">
        <v>5</v>
      </c>
      <c r="J125" t="s">
        <v>31</v>
      </c>
      <c r="K125">
        <v>3</v>
      </c>
      <c r="L125">
        <v>19537</v>
      </c>
      <c r="M125" t="str" cm="1">
        <f t="array" ref="M125">_xlfn.IFS(L125&lt;= 7000,"Low",L125&lt;=15000,"Medium",L125&lt;=20000,"High")</f>
        <v>High</v>
      </c>
      <c r="N125" t="s">
        <v>22</v>
      </c>
      <c r="O125">
        <v>13</v>
      </c>
      <c r="P125">
        <v>3</v>
      </c>
      <c r="Q125">
        <v>3</v>
      </c>
      <c r="R125">
        <v>23</v>
      </c>
      <c r="S125">
        <v>3</v>
      </c>
      <c r="T125">
        <v>20</v>
      </c>
      <c r="U125">
        <v>18</v>
      </c>
    </row>
    <row r="126" spans="1:21" x14ac:dyDescent="0.35">
      <c r="A126">
        <v>31</v>
      </c>
      <c r="B126" t="str" cm="1">
        <f t="array" ref="B126">_xlfn.IFS(A126&gt;40,"Senior",A126&gt;30,"Adult",A126&gt;=18,"Teenager")</f>
        <v>Adult</v>
      </c>
      <c r="C126" t="s">
        <v>18</v>
      </c>
      <c r="D126">
        <f t="shared" si="1"/>
        <v>1</v>
      </c>
      <c r="E126" t="s">
        <v>19</v>
      </c>
      <c r="F126">
        <v>2</v>
      </c>
      <c r="G126" t="s">
        <v>24</v>
      </c>
      <c r="H126">
        <v>1</v>
      </c>
      <c r="I126">
        <v>2</v>
      </c>
      <c r="J126" t="s">
        <v>21</v>
      </c>
      <c r="K126">
        <v>3</v>
      </c>
      <c r="L126">
        <v>6172</v>
      </c>
      <c r="M126" t="str" cm="1">
        <f t="array" ref="M126">_xlfn.IFS(L126&lt;= 7000,"Low",L126&lt;=15000,"Medium",L126&lt;=20000,"High")</f>
        <v>Low</v>
      </c>
      <c r="N126" t="s">
        <v>18</v>
      </c>
      <c r="O126">
        <v>18</v>
      </c>
      <c r="P126">
        <v>3</v>
      </c>
      <c r="Q126">
        <v>2</v>
      </c>
      <c r="R126">
        <v>12</v>
      </c>
      <c r="S126">
        <v>2</v>
      </c>
      <c r="T126">
        <v>7</v>
      </c>
      <c r="U126">
        <v>7</v>
      </c>
    </row>
    <row r="127" spans="1:21" x14ac:dyDescent="0.35">
      <c r="A127">
        <v>26</v>
      </c>
      <c r="B127" t="str" cm="1">
        <f t="array" ref="B127">_xlfn.IFS(A127&gt;40,"Senior",A127&gt;30,"Adult",A127&gt;=18,"Teenager")</f>
        <v>Teenager</v>
      </c>
      <c r="C127" t="s">
        <v>22</v>
      </c>
      <c r="D127">
        <f t="shared" si="1"/>
        <v>0</v>
      </c>
      <c r="E127" t="s">
        <v>23</v>
      </c>
      <c r="F127">
        <v>3</v>
      </c>
      <c r="G127" t="s">
        <v>20</v>
      </c>
      <c r="H127">
        <v>2</v>
      </c>
      <c r="I127">
        <v>1</v>
      </c>
      <c r="J127" t="s">
        <v>25</v>
      </c>
      <c r="K127">
        <v>2</v>
      </c>
      <c r="L127">
        <v>2368</v>
      </c>
      <c r="M127" t="str" cm="1">
        <f t="array" ref="M127">_xlfn.IFS(L127&lt;= 7000,"Low",L127&lt;=15000,"Medium",L127&lt;=20000,"High")</f>
        <v>Low</v>
      </c>
      <c r="N127" t="s">
        <v>22</v>
      </c>
      <c r="O127">
        <v>19</v>
      </c>
      <c r="P127">
        <v>3</v>
      </c>
      <c r="Q127">
        <v>3</v>
      </c>
      <c r="R127">
        <v>5</v>
      </c>
      <c r="S127">
        <v>2</v>
      </c>
      <c r="T127">
        <v>5</v>
      </c>
      <c r="U127">
        <v>4</v>
      </c>
    </row>
    <row r="128" spans="1:21" x14ac:dyDescent="0.35">
      <c r="A128">
        <v>58</v>
      </c>
      <c r="B128" t="str" cm="1">
        <f t="array" ref="B128">_xlfn.IFS(A128&gt;40,"Senior",A128&gt;30,"Adult",A128&gt;=18,"Teenager")</f>
        <v>Senior</v>
      </c>
      <c r="C128" t="s">
        <v>18</v>
      </c>
      <c r="D128">
        <f t="shared" si="1"/>
        <v>1</v>
      </c>
      <c r="E128" t="s">
        <v>23</v>
      </c>
      <c r="F128">
        <v>4</v>
      </c>
      <c r="G128" t="s">
        <v>20</v>
      </c>
      <c r="H128">
        <v>3</v>
      </c>
      <c r="I128">
        <v>3</v>
      </c>
      <c r="J128" t="s">
        <v>28</v>
      </c>
      <c r="K128">
        <v>4</v>
      </c>
      <c r="L128">
        <v>10312</v>
      </c>
      <c r="M128" t="str" cm="1">
        <f t="array" ref="M128">_xlfn.IFS(L128&lt;= 7000,"Low",L128&lt;=15000,"Medium",L128&lt;=20000,"High")</f>
        <v>Medium</v>
      </c>
      <c r="N128" t="s">
        <v>22</v>
      </c>
      <c r="O128">
        <v>12</v>
      </c>
      <c r="P128">
        <v>3</v>
      </c>
      <c r="Q128">
        <v>4</v>
      </c>
      <c r="R128">
        <v>40</v>
      </c>
      <c r="S128">
        <v>2</v>
      </c>
      <c r="T128">
        <v>40</v>
      </c>
      <c r="U128">
        <v>10</v>
      </c>
    </row>
    <row r="129" spans="1:21" x14ac:dyDescent="0.35">
      <c r="A129">
        <v>19</v>
      </c>
      <c r="B129" t="str" cm="1">
        <f t="array" ref="B129">_xlfn.IFS(A129&gt;40,"Senior",A129&gt;30,"Adult",A129&gt;=18,"Teenager")</f>
        <v>Teenager</v>
      </c>
      <c r="C129" t="s">
        <v>18</v>
      </c>
      <c r="D129">
        <f t="shared" si="1"/>
        <v>1</v>
      </c>
      <c r="E129" t="s">
        <v>19</v>
      </c>
      <c r="F129">
        <v>4</v>
      </c>
      <c r="G129" t="s">
        <v>24</v>
      </c>
      <c r="H129">
        <v>3</v>
      </c>
      <c r="I129">
        <v>1</v>
      </c>
      <c r="J129" t="s">
        <v>30</v>
      </c>
      <c r="K129">
        <v>3</v>
      </c>
      <c r="L129">
        <v>1675</v>
      </c>
      <c r="M129" t="str" cm="1">
        <f t="array" ref="M129">_xlfn.IFS(L129&lt;= 7000,"Low",L129&lt;=15000,"Medium",L129&lt;=20000,"High")</f>
        <v>Low</v>
      </c>
      <c r="N129" t="s">
        <v>18</v>
      </c>
      <c r="O129">
        <v>19</v>
      </c>
      <c r="P129">
        <v>3</v>
      </c>
      <c r="Q129">
        <v>4</v>
      </c>
      <c r="R129">
        <v>0</v>
      </c>
      <c r="S129">
        <v>2</v>
      </c>
      <c r="T129">
        <v>0</v>
      </c>
      <c r="U129">
        <v>0</v>
      </c>
    </row>
    <row r="130" spans="1:21" x14ac:dyDescent="0.35">
      <c r="A130">
        <v>22</v>
      </c>
      <c r="B130" t="str" cm="1">
        <f t="array" ref="B130">_xlfn.IFS(A130&gt;40,"Senior",A130&gt;30,"Adult",A130&gt;=18,"Teenager")</f>
        <v>Teenager</v>
      </c>
      <c r="C130" t="s">
        <v>22</v>
      </c>
      <c r="D130">
        <f t="shared" si="1"/>
        <v>0</v>
      </c>
      <c r="E130" t="s">
        <v>23</v>
      </c>
      <c r="F130">
        <v>3</v>
      </c>
      <c r="G130" t="s">
        <v>24</v>
      </c>
      <c r="H130">
        <v>3</v>
      </c>
      <c r="I130">
        <v>1</v>
      </c>
      <c r="J130" t="s">
        <v>26</v>
      </c>
      <c r="K130">
        <v>4</v>
      </c>
      <c r="L130">
        <v>2523</v>
      </c>
      <c r="M130" t="str" cm="1">
        <f t="array" ref="M130">_xlfn.IFS(L130&lt;= 7000,"Low",L130&lt;=15000,"Medium",L130&lt;=20000,"High")</f>
        <v>Low</v>
      </c>
      <c r="N130" t="s">
        <v>22</v>
      </c>
      <c r="O130">
        <v>14</v>
      </c>
      <c r="P130">
        <v>3</v>
      </c>
      <c r="Q130">
        <v>3</v>
      </c>
      <c r="R130">
        <v>3</v>
      </c>
      <c r="S130">
        <v>3</v>
      </c>
      <c r="T130">
        <v>2</v>
      </c>
      <c r="U130">
        <v>1</v>
      </c>
    </row>
    <row r="131" spans="1:21" x14ac:dyDescent="0.35">
      <c r="A131">
        <v>49</v>
      </c>
      <c r="B131" t="str" cm="1">
        <f t="array" ref="B131">_xlfn.IFS(A131&gt;40,"Senior",A131&gt;30,"Adult",A131&gt;=18,"Teenager")</f>
        <v>Senior</v>
      </c>
      <c r="C131" t="s">
        <v>22</v>
      </c>
      <c r="D131">
        <f t="shared" ref="D131:D194" si="2">IF(C131="Yes",1,0)</f>
        <v>0</v>
      </c>
      <c r="E131" t="s">
        <v>23</v>
      </c>
      <c r="F131">
        <v>3</v>
      </c>
      <c r="G131" t="s">
        <v>20</v>
      </c>
      <c r="H131">
        <v>3</v>
      </c>
      <c r="I131">
        <v>2</v>
      </c>
      <c r="J131" t="s">
        <v>27</v>
      </c>
      <c r="K131">
        <v>1</v>
      </c>
      <c r="L131">
        <v>6567</v>
      </c>
      <c r="M131" t="str" cm="1">
        <f t="array" ref="M131">_xlfn.IFS(L131&lt;= 7000,"Low",L131&lt;=15000,"Medium",L131&lt;=20000,"High")</f>
        <v>Low</v>
      </c>
      <c r="N131" t="s">
        <v>22</v>
      </c>
      <c r="O131">
        <v>14</v>
      </c>
      <c r="P131">
        <v>3</v>
      </c>
      <c r="Q131">
        <v>3</v>
      </c>
      <c r="R131">
        <v>16</v>
      </c>
      <c r="S131">
        <v>2</v>
      </c>
      <c r="T131">
        <v>15</v>
      </c>
      <c r="U131">
        <v>11</v>
      </c>
    </row>
    <row r="132" spans="1:21" x14ac:dyDescent="0.35">
      <c r="A132">
        <v>43</v>
      </c>
      <c r="B132" t="str" cm="1">
        <f t="array" ref="B132">_xlfn.IFS(A132&gt;40,"Senior",A132&gt;30,"Adult",A132&gt;=18,"Teenager")</f>
        <v>Senior</v>
      </c>
      <c r="C132" t="s">
        <v>22</v>
      </c>
      <c r="D132">
        <f t="shared" si="2"/>
        <v>0</v>
      </c>
      <c r="E132" t="s">
        <v>23</v>
      </c>
      <c r="F132">
        <v>2</v>
      </c>
      <c r="G132" t="s">
        <v>20</v>
      </c>
      <c r="H132">
        <v>4</v>
      </c>
      <c r="I132">
        <v>1</v>
      </c>
      <c r="J132" t="s">
        <v>25</v>
      </c>
      <c r="K132">
        <v>3</v>
      </c>
      <c r="L132">
        <v>4739</v>
      </c>
      <c r="M132" t="str" cm="1">
        <f t="array" ref="M132">_xlfn.IFS(L132&lt;= 7000,"Low",L132&lt;=15000,"Medium",L132&lt;=20000,"High")</f>
        <v>Low</v>
      </c>
      <c r="N132" t="s">
        <v>22</v>
      </c>
      <c r="O132">
        <v>12</v>
      </c>
      <c r="P132">
        <v>3</v>
      </c>
      <c r="Q132">
        <v>4</v>
      </c>
      <c r="R132">
        <v>18</v>
      </c>
      <c r="S132">
        <v>3</v>
      </c>
      <c r="T132">
        <v>3</v>
      </c>
      <c r="U132">
        <v>2</v>
      </c>
    </row>
    <row r="133" spans="1:21" x14ac:dyDescent="0.35">
      <c r="A133">
        <v>50</v>
      </c>
      <c r="B133" t="str" cm="1">
        <f t="array" ref="B133">_xlfn.IFS(A133&gt;40,"Senior",A133&gt;30,"Adult",A133&gt;=18,"Teenager")</f>
        <v>Senior</v>
      </c>
      <c r="C133" t="s">
        <v>22</v>
      </c>
      <c r="D133">
        <f t="shared" si="2"/>
        <v>0</v>
      </c>
      <c r="E133" t="s">
        <v>19</v>
      </c>
      <c r="F133">
        <v>3</v>
      </c>
      <c r="G133" t="s">
        <v>20</v>
      </c>
      <c r="H133">
        <v>3</v>
      </c>
      <c r="I133">
        <v>3</v>
      </c>
      <c r="J133" t="s">
        <v>21</v>
      </c>
      <c r="K133">
        <v>4</v>
      </c>
      <c r="L133">
        <v>9208</v>
      </c>
      <c r="M133" t="str" cm="1">
        <f t="array" ref="M133">_xlfn.IFS(L133&lt;= 7000,"Low",L133&lt;=15000,"Medium",L133&lt;=20000,"High")</f>
        <v>Medium</v>
      </c>
      <c r="N133" t="s">
        <v>22</v>
      </c>
      <c r="O133">
        <v>11</v>
      </c>
      <c r="P133">
        <v>3</v>
      </c>
      <c r="Q133">
        <v>4</v>
      </c>
      <c r="R133">
        <v>16</v>
      </c>
      <c r="S133">
        <v>3</v>
      </c>
      <c r="T133">
        <v>2</v>
      </c>
      <c r="U133">
        <v>2</v>
      </c>
    </row>
    <row r="134" spans="1:21" x14ac:dyDescent="0.35">
      <c r="A134">
        <v>31</v>
      </c>
      <c r="B134" t="str" cm="1">
        <f t="array" ref="B134">_xlfn.IFS(A134&gt;40,"Senior",A134&gt;30,"Adult",A134&gt;=18,"Teenager")</f>
        <v>Adult</v>
      </c>
      <c r="C134" t="s">
        <v>18</v>
      </c>
      <c r="D134">
        <f t="shared" si="2"/>
        <v>1</v>
      </c>
      <c r="E134" t="s">
        <v>19</v>
      </c>
      <c r="F134">
        <v>2</v>
      </c>
      <c r="G134" t="s">
        <v>20</v>
      </c>
      <c r="H134">
        <v>1</v>
      </c>
      <c r="I134">
        <v>2</v>
      </c>
      <c r="J134" t="s">
        <v>21</v>
      </c>
      <c r="K134">
        <v>3</v>
      </c>
      <c r="L134">
        <v>4559</v>
      </c>
      <c r="M134" t="str" cm="1">
        <f t="array" ref="M134">_xlfn.IFS(L134&lt;= 7000,"Low",L134&lt;=15000,"Medium",L134&lt;=20000,"High")</f>
        <v>Low</v>
      </c>
      <c r="N134" t="s">
        <v>18</v>
      </c>
      <c r="O134">
        <v>11</v>
      </c>
      <c r="P134">
        <v>3</v>
      </c>
      <c r="Q134">
        <v>3</v>
      </c>
      <c r="R134">
        <v>4</v>
      </c>
      <c r="S134">
        <v>3</v>
      </c>
      <c r="T134">
        <v>2</v>
      </c>
      <c r="U134">
        <v>2</v>
      </c>
    </row>
    <row r="135" spans="1:21" x14ac:dyDescent="0.35">
      <c r="A135">
        <v>41</v>
      </c>
      <c r="B135" t="str" cm="1">
        <f t="array" ref="B135">_xlfn.IFS(A135&gt;40,"Senior",A135&gt;30,"Adult",A135&gt;=18,"Teenager")</f>
        <v>Senior</v>
      </c>
      <c r="C135" t="s">
        <v>22</v>
      </c>
      <c r="D135">
        <f t="shared" si="2"/>
        <v>0</v>
      </c>
      <c r="E135" t="s">
        <v>19</v>
      </c>
      <c r="F135">
        <v>3</v>
      </c>
      <c r="G135" t="s">
        <v>24</v>
      </c>
      <c r="H135">
        <v>3</v>
      </c>
      <c r="I135">
        <v>3</v>
      </c>
      <c r="J135" t="s">
        <v>21</v>
      </c>
      <c r="K135">
        <v>3</v>
      </c>
      <c r="L135">
        <v>8189</v>
      </c>
      <c r="M135" t="str" cm="1">
        <f t="array" ref="M135">_xlfn.IFS(L135&lt;= 7000,"Low",L135&lt;=15000,"Medium",L135&lt;=20000,"High")</f>
        <v>Medium</v>
      </c>
      <c r="N135" t="s">
        <v>18</v>
      </c>
      <c r="O135">
        <v>13</v>
      </c>
      <c r="P135">
        <v>3</v>
      </c>
      <c r="Q135">
        <v>3</v>
      </c>
      <c r="R135">
        <v>12</v>
      </c>
      <c r="S135">
        <v>3</v>
      </c>
      <c r="T135">
        <v>9</v>
      </c>
      <c r="U135">
        <v>7</v>
      </c>
    </row>
    <row r="136" spans="1:21" x14ac:dyDescent="0.35">
      <c r="A136">
        <v>26</v>
      </c>
      <c r="B136" t="str" cm="1">
        <f t="array" ref="B136">_xlfn.IFS(A136&gt;40,"Senior",A136&gt;30,"Adult",A136&gt;=18,"Teenager")</f>
        <v>Teenager</v>
      </c>
      <c r="C136" t="s">
        <v>22</v>
      </c>
      <c r="D136">
        <f t="shared" si="2"/>
        <v>0</v>
      </c>
      <c r="E136" t="s">
        <v>32</v>
      </c>
      <c r="F136">
        <v>3</v>
      </c>
      <c r="G136" t="s">
        <v>20</v>
      </c>
      <c r="H136">
        <v>3</v>
      </c>
      <c r="I136">
        <v>1</v>
      </c>
      <c r="J136" t="s">
        <v>32</v>
      </c>
      <c r="K136">
        <v>3</v>
      </c>
      <c r="L136">
        <v>2942</v>
      </c>
      <c r="M136" t="str" cm="1">
        <f t="array" ref="M136">_xlfn.IFS(L136&lt;= 7000,"Low",L136&lt;=15000,"Medium",L136&lt;=20000,"High")</f>
        <v>Low</v>
      </c>
      <c r="N136" t="s">
        <v>22</v>
      </c>
      <c r="O136">
        <v>23</v>
      </c>
      <c r="P136">
        <v>4</v>
      </c>
      <c r="Q136">
        <v>4</v>
      </c>
      <c r="R136">
        <v>8</v>
      </c>
      <c r="S136">
        <v>3</v>
      </c>
      <c r="T136">
        <v>8</v>
      </c>
      <c r="U136">
        <v>7</v>
      </c>
    </row>
    <row r="137" spans="1:21" x14ac:dyDescent="0.35">
      <c r="A137">
        <v>36</v>
      </c>
      <c r="B137" t="str" cm="1">
        <f t="array" ref="B137">_xlfn.IFS(A137&gt;40,"Senior",A137&gt;30,"Adult",A137&gt;=18,"Teenager")</f>
        <v>Adult</v>
      </c>
      <c r="C137" t="s">
        <v>22</v>
      </c>
      <c r="D137">
        <f t="shared" si="2"/>
        <v>0</v>
      </c>
      <c r="E137" t="s">
        <v>23</v>
      </c>
      <c r="F137">
        <v>2</v>
      </c>
      <c r="G137" t="s">
        <v>24</v>
      </c>
      <c r="H137">
        <v>3</v>
      </c>
      <c r="I137">
        <v>2</v>
      </c>
      <c r="J137" t="s">
        <v>27</v>
      </c>
      <c r="K137">
        <v>2</v>
      </c>
      <c r="L137">
        <v>4941</v>
      </c>
      <c r="M137" t="str" cm="1">
        <f t="array" ref="M137">_xlfn.IFS(L137&lt;= 7000,"Low",L137&lt;=15000,"Medium",L137&lt;=20000,"High")</f>
        <v>Low</v>
      </c>
      <c r="N137" t="s">
        <v>22</v>
      </c>
      <c r="O137">
        <v>20</v>
      </c>
      <c r="P137">
        <v>4</v>
      </c>
      <c r="Q137">
        <v>4</v>
      </c>
      <c r="R137">
        <v>7</v>
      </c>
      <c r="S137">
        <v>3</v>
      </c>
      <c r="T137">
        <v>3</v>
      </c>
      <c r="U137">
        <v>2</v>
      </c>
    </row>
    <row r="138" spans="1:21" x14ac:dyDescent="0.35">
      <c r="A138">
        <v>51</v>
      </c>
      <c r="B138" t="str" cm="1">
        <f t="array" ref="B138">_xlfn.IFS(A138&gt;40,"Senior",A138&gt;30,"Adult",A138&gt;=18,"Teenager")</f>
        <v>Senior</v>
      </c>
      <c r="C138" t="s">
        <v>18</v>
      </c>
      <c r="D138">
        <f t="shared" si="2"/>
        <v>1</v>
      </c>
      <c r="E138" t="s">
        <v>23</v>
      </c>
      <c r="F138">
        <v>1</v>
      </c>
      <c r="G138" t="s">
        <v>24</v>
      </c>
      <c r="H138">
        <v>1</v>
      </c>
      <c r="I138">
        <v>3</v>
      </c>
      <c r="J138" t="s">
        <v>27</v>
      </c>
      <c r="K138">
        <v>4</v>
      </c>
      <c r="L138">
        <v>10650</v>
      </c>
      <c r="M138" t="str" cm="1">
        <f t="array" ref="M138">_xlfn.IFS(L138&lt;= 7000,"Low",L138&lt;=15000,"Medium",L138&lt;=20000,"High")</f>
        <v>Medium</v>
      </c>
      <c r="N138" t="s">
        <v>22</v>
      </c>
      <c r="O138">
        <v>15</v>
      </c>
      <c r="P138">
        <v>3</v>
      </c>
      <c r="Q138">
        <v>4</v>
      </c>
      <c r="R138">
        <v>18</v>
      </c>
      <c r="S138">
        <v>3</v>
      </c>
      <c r="T138">
        <v>4</v>
      </c>
      <c r="U138">
        <v>2</v>
      </c>
    </row>
    <row r="139" spans="1:21" x14ac:dyDescent="0.35">
      <c r="A139">
        <v>39</v>
      </c>
      <c r="B139" t="str" cm="1">
        <f t="array" ref="B139">_xlfn.IFS(A139&gt;40,"Senior",A139&gt;30,"Adult",A139&gt;=18,"Teenager")</f>
        <v>Adult</v>
      </c>
      <c r="C139" t="s">
        <v>22</v>
      </c>
      <c r="D139">
        <f t="shared" si="2"/>
        <v>0</v>
      </c>
      <c r="E139" t="s">
        <v>19</v>
      </c>
      <c r="F139">
        <v>4</v>
      </c>
      <c r="G139" t="s">
        <v>20</v>
      </c>
      <c r="H139">
        <v>2</v>
      </c>
      <c r="I139">
        <v>2</v>
      </c>
      <c r="J139" t="s">
        <v>21</v>
      </c>
      <c r="K139">
        <v>3</v>
      </c>
      <c r="L139">
        <v>5902</v>
      </c>
      <c r="M139" t="str" cm="1">
        <f t="array" ref="M139">_xlfn.IFS(L139&lt;= 7000,"Low",L139&lt;=15000,"Medium",L139&lt;=20000,"High")</f>
        <v>Low</v>
      </c>
      <c r="N139" t="s">
        <v>22</v>
      </c>
      <c r="O139">
        <v>14</v>
      </c>
      <c r="P139">
        <v>3</v>
      </c>
      <c r="Q139">
        <v>3</v>
      </c>
      <c r="R139">
        <v>17</v>
      </c>
      <c r="S139">
        <v>4</v>
      </c>
      <c r="T139">
        <v>15</v>
      </c>
      <c r="U139">
        <v>11</v>
      </c>
    </row>
    <row r="140" spans="1:21" x14ac:dyDescent="0.35">
      <c r="A140">
        <v>25</v>
      </c>
      <c r="B140" t="str" cm="1">
        <f t="array" ref="B140">_xlfn.IFS(A140&gt;40,"Senior",A140&gt;30,"Adult",A140&gt;=18,"Teenager")</f>
        <v>Teenager</v>
      </c>
      <c r="C140" t="s">
        <v>22</v>
      </c>
      <c r="D140">
        <f t="shared" si="2"/>
        <v>0</v>
      </c>
      <c r="E140" t="s">
        <v>19</v>
      </c>
      <c r="F140">
        <v>1</v>
      </c>
      <c r="G140" t="s">
        <v>24</v>
      </c>
      <c r="H140">
        <v>2</v>
      </c>
      <c r="I140">
        <v>2</v>
      </c>
      <c r="J140" t="s">
        <v>21</v>
      </c>
      <c r="K140">
        <v>3</v>
      </c>
      <c r="L140">
        <v>8639</v>
      </c>
      <c r="M140" t="str" cm="1">
        <f t="array" ref="M140">_xlfn.IFS(L140&lt;= 7000,"Low",L140&lt;=15000,"Medium",L140&lt;=20000,"High")</f>
        <v>Medium</v>
      </c>
      <c r="N140" t="s">
        <v>22</v>
      </c>
      <c r="O140">
        <v>18</v>
      </c>
      <c r="P140">
        <v>3</v>
      </c>
      <c r="Q140">
        <v>4</v>
      </c>
      <c r="R140">
        <v>6</v>
      </c>
      <c r="S140">
        <v>3</v>
      </c>
      <c r="T140">
        <v>2</v>
      </c>
      <c r="U140">
        <v>2</v>
      </c>
    </row>
    <row r="141" spans="1:21" x14ac:dyDescent="0.35">
      <c r="A141">
        <v>30</v>
      </c>
      <c r="B141" t="str" cm="1">
        <f t="array" ref="B141">_xlfn.IFS(A141&gt;40,"Senior",A141&gt;30,"Adult",A141&gt;=18,"Teenager")</f>
        <v>Teenager</v>
      </c>
      <c r="C141" t="s">
        <v>22</v>
      </c>
      <c r="D141">
        <f t="shared" si="2"/>
        <v>0</v>
      </c>
      <c r="E141" t="s">
        <v>32</v>
      </c>
      <c r="F141">
        <v>3</v>
      </c>
      <c r="G141" t="s">
        <v>24</v>
      </c>
      <c r="H141">
        <v>3</v>
      </c>
      <c r="I141">
        <v>2</v>
      </c>
      <c r="J141" t="s">
        <v>32</v>
      </c>
      <c r="K141">
        <v>4</v>
      </c>
      <c r="L141">
        <v>6347</v>
      </c>
      <c r="M141" t="str" cm="1">
        <f t="array" ref="M141">_xlfn.IFS(L141&lt;= 7000,"Low",L141&lt;=15000,"Medium",L141&lt;=20000,"High")</f>
        <v>Low</v>
      </c>
      <c r="N141" t="s">
        <v>18</v>
      </c>
      <c r="O141">
        <v>19</v>
      </c>
      <c r="P141">
        <v>3</v>
      </c>
      <c r="Q141">
        <v>4</v>
      </c>
      <c r="R141">
        <v>12</v>
      </c>
      <c r="S141">
        <v>1</v>
      </c>
      <c r="T141">
        <v>11</v>
      </c>
      <c r="U141">
        <v>9</v>
      </c>
    </row>
    <row r="142" spans="1:21" x14ac:dyDescent="0.35">
      <c r="A142">
        <v>32</v>
      </c>
      <c r="B142" t="str" cm="1">
        <f t="array" ref="B142">_xlfn.IFS(A142&gt;40,"Senior",A142&gt;30,"Adult",A142&gt;=18,"Teenager")</f>
        <v>Adult</v>
      </c>
      <c r="C142" t="s">
        <v>18</v>
      </c>
      <c r="D142">
        <f t="shared" si="2"/>
        <v>1</v>
      </c>
      <c r="E142" t="s">
        <v>23</v>
      </c>
      <c r="F142">
        <v>1</v>
      </c>
      <c r="G142" t="s">
        <v>20</v>
      </c>
      <c r="H142">
        <v>3</v>
      </c>
      <c r="I142">
        <v>1</v>
      </c>
      <c r="J142" t="s">
        <v>26</v>
      </c>
      <c r="K142">
        <v>1</v>
      </c>
      <c r="L142">
        <v>4200</v>
      </c>
      <c r="M142" t="str" cm="1">
        <f t="array" ref="M142">_xlfn.IFS(L142&lt;= 7000,"Low",L142&lt;=15000,"Medium",L142&lt;=20000,"High")</f>
        <v>Low</v>
      </c>
      <c r="N142" t="s">
        <v>22</v>
      </c>
      <c r="O142">
        <v>22</v>
      </c>
      <c r="P142">
        <v>4</v>
      </c>
      <c r="Q142">
        <v>1</v>
      </c>
      <c r="R142">
        <v>10</v>
      </c>
      <c r="S142">
        <v>4</v>
      </c>
      <c r="T142">
        <v>5</v>
      </c>
      <c r="U142">
        <v>4</v>
      </c>
    </row>
    <row r="143" spans="1:21" x14ac:dyDescent="0.35">
      <c r="A143">
        <v>45</v>
      </c>
      <c r="B143" t="str" cm="1">
        <f t="array" ref="B143">_xlfn.IFS(A143&gt;40,"Senior",A143&gt;30,"Adult",A143&gt;=18,"Teenager")</f>
        <v>Senior</v>
      </c>
      <c r="C143" t="s">
        <v>22</v>
      </c>
      <c r="D143">
        <f t="shared" si="2"/>
        <v>0</v>
      </c>
      <c r="E143" t="s">
        <v>23</v>
      </c>
      <c r="F143">
        <v>3</v>
      </c>
      <c r="G143" t="s">
        <v>24</v>
      </c>
      <c r="H143">
        <v>3</v>
      </c>
      <c r="I143">
        <v>1</v>
      </c>
      <c r="J143" t="s">
        <v>25</v>
      </c>
      <c r="K143">
        <v>4</v>
      </c>
      <c r="L143">
        <v>3452</v>
      </c>
      <c r="M143" t="str" cm="1">
        <f t="array" ref="M143">_xlfn.IFS(L143&lt;= 7000,"Low",L143&lt;=15000,"Medium",L143&lt;=20000,"High")</f>
        <v>Low</v>
      </c>
      <c r="N143" t="s">
        <v>22</v>
      </c>
      <c r="O143">
        <v>13</v>
      </c>
      <c r="P143">
        <v>3</v>
      </c>
      <c r="Q143">
        <v>2</v>
      </c>
      <c r="R143">
        <v>9</v>
      </c>
      <c r="S143">
        <v>2</v>
      </c>
      <c r="T143">
        <v>6</v>
      </c>
      <c r="U143">
        <v>5</v>
      </c>
    </row>
    <row r="144" spans="1:21" x14ac:dyDescent="0.35">
      <c r="A144">
        <v>38</v>
      </c>
      <c r="B144" t="str" cm="1">
        <f t="array" ref="B144">_xlfn.IFS(A144&gt;40,"Senior",A144&gt;30,"Adult",A144&gt;=18,"Teenager")</f>
        <v>Adult</v>
      </c>
      <c r="C144" t="s">
        <v>22</v>
      </c>
      <c r="D144">
        <f t="shared" si="2"/>
        <v>0</v>
      </c>
      <c r="E144" t="s">
        <v>23</v>
      </c>
      <c r="F144">
        <v>4</v>
      </c>
      <c r="G144" t="s">
        <v>20</v>
      </c>
      <c r="H144">
        <v>3</v>
      </c>
      <c r="I144">
        <v>2</v>
      </c>
      <c r="J144" t="s">
        <v>25</v>
      </c>
      <c r="K144">
        <v>3</v>
      </c>
      <c r="L144">
        <v>4317</v>
      </c>
      <c r="M144" t="str" cm="1">
        <f t="array" ref="M144">_xlfn.IFS(L144&lt;= 7000,"Low",L144&lt;=15000,"Medium",L144&lt;=20000,"High")</f>
        <v>Low</v>
      </c>
      <c r="N144" t="s">
        <v>18</v>
      </c>
      <c r="O144">
        <v>20</v>
      </c>
      <c r="P144">
        <v>4</v>
      </c>
      <c r="Q144">
        <v>2</v>
      </c>
      <c r="R144">
        <v>19</v>
      </c>
      <c r="S144">
        <v>3</v>
      </c>
      <c r="T144">
        <v>3</v>
      </c>
      <c r="U144">
        <v>2</v>
      </c>
    </row>
    <row r="145" spans="1:21" x14ac:dyDescent="0.35">
      <c r="A145">
        <v>30</v>
      </c>
      <c r="B145" t="str" cm="1">
        <f t="array" ref="B145">_xlfn.IFS(A145&gt;40,"Senior",A145&gt;30,"Adult",A145&gt;=18,"Teenager")</f>
        <v>Teenager</v>
      </c>
      <c r="C145" t="s">
        <v>22</v>
      </c>
      <c r="D145">
        <f t="shared" si="2"/>
        <v>0</v>
      </c>
      <c r="E145" t="s">
        <v>23</v>
      </c>
      <c r="F145">
        <v>1</v>
      </c>
      <c r="G145" t="s">
        <v>20</v>
      </c>
      <c r="H145">
        <v>3</v>
      </c>
      <c r="I145">
        <v>1</v>
      </c>
      <c r="J145" t="s">
        <v>25</v>
      </c>
      <c r="K145">
        <v>3</v>
      </c>
      <c r="L145">
        <v>2632</v>
      </c>
      <c r="M145" t="str" cm="1">
        <f t="array" ref="M145">_xlfn.IFS(L145&lt;= 7000,"Low",L145&lt;=15000,"Medium",L145&lt;=20000,"High")</f>
        <v>Low</v>
      </c>
      <c r="N145" t="s">
        <v>22</v>
      </c>
      <c r="O145">
        <v>14</v>
      </c>
      <c r="P145">
        <v>3</v>
      </c>
      <c r="Q145">
        <v>3</v>
      </c>
      <c r="R145">
        <v>5</v>
      </c>
      <c r="S145">
        <v>2</v>
      </c>
      <c r="T145">
        <v>5</v>
      </c>
      <c r="U145">
        <v>4</v>
      </c>
    </row>
    <row r="146" spans="1:21" x14ac:dyDescent="0.35">
      <c r="A146">
        <v>32</v>
      </c>
      <c r="B146" t="str" cm="1">
        <f t="array" ref="B146">_xlfn.IFS(A146&gt;40,"Senior",A146&gt;30,"Adult",A146&gt;=18,"Teenager")</f>
        <v>Adult</v>
      </c>
      <c r="C146" t="s">
        <v>22</v>
      </c>
      <c r="D146">
        <f t="shared" si="2"/>
        <v>0</v>
      </c>
      <c r="E146" t="s">
        <v>19</v>
      </c>
      <c r="F146">
        <v>4</v>
      </c>
      <c r="G146" t="s">
        <v>24</v>
      </c>
      <c r="H146">
        <v>1</v>
      </c>
      <c r="I146">
        <v>2</v>
      </c>
      <c r="J146" t="s">
        <v>21</v>
      </c>
      <c r="K146">
        <v>4</v>
      </c>
      <c r="L146">
        <v>4668</v>
      </c>
      <c r="M146" t="str" cm="1">
        <f t="array" ref="M146">_xlfn.IFS(L146&lt;= 7000,"Low",L146&lt;=15000,"Medium",L146&lt;=20000,"High")</f>
        <v>Low</v>
      </c>
      <c r="N146" t="s">
        <v>22</v>
      </c>
      <c r="O146">
        <v>17</v>
      </c>
      <c r="P146">
        <v>3</v>
      </c>
      <c r="Q146">
        <v>4</v>
      </c>
      <c r="R146">
        <v>9</v>
      </c>
      <c r="S146">
        <v>4</v>
      </c>
      <c r="T146">
        <v>8</v>
      </c>
      <c r="U146">
        <v>7</v>
      </c>
    </row>
    <row r="147" spans="1:21" x14ac:dyDescent="0.35">
      <c r="A147">
        <v>30</v>
      </c>
      <c r="B147" t="str" cm="1">
        <f t="array" ref="B147">_xlfn.IFS(A147&gt;40,"Senior",A147&gt;30,"Adult",A147&gt;=18,"Teenager")</f>
        <v>Teenager</v>
      </c>
      <c r="C147" t="s">
        <v>22</v>
      </c>
      <c r="D147">
        <f t="shared" si="2"/>
        <v>0</v>
      </c>
      <c r="E147" t="s">
        <v>23</v>
      </c>
      <c r="F147">
        <v>4</v>
      </c>
      <c r="G147" t="s">
        <v>20</v>
      </c>
      <c r="H147">
        <v>3</v>
      </c>
      <c r="I147">
        <v>1</v>
      </c>
      <c r="J147" t="s">
        <v>25</v>
      </c>
      <c r="K147">
        <v>1</v>
      </c>
      <c r="L147">
        <v>3204</v>
      </c>
      <c r="M147" t="str" cm="1">
        <f t="array" ref="M147">_xlfn.IFS(L147&lt;= 7000,"Low",L147&lt;=15000,"Medium",L147&lt;=20000,"High")</f>
        <v>Low</v>
      </c>
      <c r="N147" t="s">
        <v>22</v>
      </c>
      <c r="O147">
        <v>14</v>
      </c>
      <c r="P147">
        <v>3</v>
      </c>
      <c r="Q147">
        <v>4</v>
      </c>
      <c r="R147">
        <v>8</v>
      </c>
      <c r="S147">
        <v>3</v>
      </c>
      <c r="T147">
        <v>3</v>
      </c>
      <c r="U147">
        <v>2</v>
      </c>
    </row>
    <row r="148" spans="1:21" x14ac:dyDescent="0.35">
      <c r="A148">
        <v>30</v>
      </c>
      <c r="B148" t="str" cm="1">
        <f t="array" ref="B148">_xlfn.IFS(A148&gt;40,"Senior",A148&gt;30,"Adult",A148&gt;=18,"Teenager")</f>
        <v>Teenager</v>
      </c>
      <c r="C148" t="s">
        <v>22</v>
      </c>
      <c r="D148">
        <f t="shared" si="2"/>
        <v>0</v>
      </c>
      <c r="E148" t="s">
        <v>23</v>
      </c>
      <c r="F148">
        <v>2</v>
      </c>
      <c r="G148" t="s">
        <v>24</v>
      </c>
      <c r="H148">
        <v>2</v>
      </c>
      <c r="I148">
        <v>1</v>
      </c>
      <c r="J148" t="s">
        <v>26</v>
      </c>
      <c r="K148">
        <v>4</v>
      </c>
      <c r="L148">
        <v>2720</v>
      </c>
      <c r="M148" t="str" cm="1">
        <f t="array" ref="M148">_xlfn.IFS(L148&lt;= 7000,"Low",L148&lt;=15000,"Medium",L148&lt;=20000,"High")</f>
        <v>Low</v>
      </c>
      <c r="N148" t="s">
        <v>22</v>
      </c>
      <c r="O148">
        <v>13</v>
      </c>
      <c r="P148">
        <v>3</v>
      </c>
      <c r="Q148">
        <v>4</v>
      </c>
      <c r="R148">
        <v>6</v>
      </c>
      <c r="S148">
        <v>3</v>
      </c>
      <c r="T148">
        <v>5</v>
      </c>
      <c r="U148">
        <v>3</v>
      </c>
    </row>
    <row r="149" spans="1:21" x14ac:dyDescent="0.35">
      <c r="A149">
        <v>41</v>
      </c>
      <c r="B149" t="str" cm="1">
        <f t="array" ref="B149">_xlfn.IFS(A149&gt;40,"Senior",A149&gt;30,"Adult",A149&gt;=18,"Teenager")</f>
        <v>Senior</v>
      </c>
      <c r="C149" t="s">
        <v>22</v>
      </c>
      <c r="D149">
        <f t="shared" si="2"/>
        <v>0</v>
      </c>
      <c r="E149" t="s">
        <v>23</v>
      </c>
      <c r="F149">
        <v>4</v>
      </c>
      <c r="G149" t="s">
        <v>24</v>
      </c>
      <c r="H149">
        <v>2</v>
      </c>
      <c r="I149">
        <v>4</v>
      </c>
      <c r="J149" t="s">
        <v>29</v>
      </c>
      <c r="K149">
        <v>1</v>
      </c>
      <c r="L149">
        <v>17181</v>
      </c>
      <c r="M149" t="str" cm="1">
        <f t="array" ref="M149">_xlfn.IFS(L149&lt;= 7000,"Low",L149&lt;=15000,"Medium",L149&lt;=20000,"High")</f>
        <v>High</v>
      </c>
      <c r="N149" t="s">
        <v>22</v>
      </c>
      <c r="O149">
        <v>13</v>
      </c>
      <c r="P149">
        <v>3</v>
      </c>
      <c r="Q149">
        <v>2</v>
      </c>
      <c r="R149">
        <v>21</v>
      </c>
      <c r="S149">
        <v>2</v>
      </c>
      <c r="T149">
        <v>7</v>
      </c>
      <c r="U149">
        <v>6</v>
      </c>
    </row>
    <row r="150" spans="1:21" x14ac:dyDescent="0.35">
      <c r="A150">
        <v>41</v>
      </c>
      <c r="B150" t="str" cm="1">
        <f t="array" ref="B150">_xlfn.IFS(A150&gt;40,"Senior",A150&gt;30,"Adult",A150&gt;=18,"Teenager")</f>
        <v>Senior</v>
      </c>
      <c r="C150" t="s">
        <v>22</v>
      </c>
      <c r="D150">
        <f t="shared" si="2"/>
        <v>0</v>
      </c>
      <c r="E150" t="s">
        <v>23</v>
      </c>
      <c r="F150">
        <v>3</v>
      </c>
      <c r="G150" t="s">
        <v>24</v>
      </c>
      <c r="H150">
        <v>3</v>
      </c>
      <c r="I150">
        <v>1</v>
      </c>
      <c r="J150" t="s">
        <v>26</v>
      </c>
      <c r="K150">
        <v>1</v>
      </c>
      <c r="L150">
        <v>2238</v>
      </c>
      <c r="M150" t="str" cm="1">
        <f t="array" ref="M150">_xlfn.IFS(L150&lt;= 7000,"Low",L150&lt;=15000,"Medium",L150&lt;=20000,"High")</f>
        <v>Low</v>
      </c>
      <c r="N150" t="s">
        <v>22</v>
      </c>
      <c r="O150">
        <v>21</v>
      </c>
      <c r="P150">
        <v>4</v>
      </c>
      <c r="Q150">
        <v>4</v>
      </c>
      <c r="R150">
        <v>7</v>
      </c>
      <c r="S150">
        <v>3</v>
      </c>
      <c r="T150">
        <v>5</v>
      </c>
      <c r="U150">
        <v>0</v>
      </c>
    </row>
    <row r="151" spans="1:21" x14ac:dyDescent="0.35">
      <c r="A151">
        <v>19</v>
      </c>
      <c r="B151" t="str" cm="1">
        <f t="array" ref="B151">_xlfn.IFS(A151&gt;40,"Senior",A151&gt;30,"Adult",A151&gt;=18,"Teenager")</f>
        <v>Teenager</v>
      </c>
      <c r="C151" t="s">
        <v>22</v>
      </c>
      <c r="D151">
        <f t="shared" si="2"/>
        <v>0</v>
      </c>
      <c r="E151" t="s">
        <v>23</v>
      </c>
      <c r="F151">
        <v>2</v>
      </c>
      <c r="G151" t="s">
        <v>20</v>
      </c>
      <c r="H151">
        <v>3</v>
      </c>
      <c r="I151">
        <v>1</v>
      </c>
      <c r="J151" t="s">
        <v>26</v>
      </c>
      <c r="K151">
        <v>2</v>
      </c>
      <c r="L151">
        <v>1483</v>
      </c>
      <c r="M151" t="str" cm="1">
        <f t="array" ref="M151">_xlfn.IFS(L151&lt;= 7000,"Low",L151&lt;=15000,"Medium",L151&lt;=20000,"High")</f>
        <v>Low</v>
      </c>
      <c r="N151" t="s">
        <v>22</v>
      </c>
      <c r="O151">
        <v>14</v>
      </c>
      <c r="P151">
        <v>3</v>
      </c>
      <c r="Q151">
        <v>4</v>
      </c>
      <c r="R151">
        <v>1</v>
      </c>
      <c r="S151">
        <v>3</v>
      </c>
      <c r="T151">
        <v>1</v>
      </c>
      <c r="U151">
        <v>0</v>
      </c>
    </row>
    <row r="152" spans="1:21" x14ac:dyDescent="0.35">
      <c r="A152">
        <v>40</v>
      </c>
      <c r="B152" t="str" cm="1">
        <f t="array" ref="B152">_xlfn.IFS(A152&gt;40,"Senior",A152&gt;30,"Adult",A152&gt;=18,"Teenager")</f>
        <v>Adult</v>
      </c>
      <c r="C152" t="s">
        <v>22</v>
      </c>
      <c r="D152">
        <f t="shared" si="2"/>
        <v>0</v>
      </c>
      <c r="E152" t="s">
        <v>23</v>
      </c>
      <c r="F152">
        <v>2</v>
      </c>
      <c r="G152" t="s">
        <v>20</v>
      </c>
      <c r="H152">
        <v>3</v>
      </c>
      <c r="I152">
        <v>2</v>
      </c>
      <c r="J152" t="s">
        <v>25</v>
      </c>
      <c r="K152">
        <v>2</v>
      </c>
      <c r="L152">
        <v>5605</v>
      </c>
      <c r="M152" t="str" cm="1">
        <f t="array" ref="M152">_xlfn.IFS(L152&lt;= 7000,"Low",L152&lt;=15000,"Medium",L152&lt;=20000,"High")</f>
        <v>Low</v>
      </c>
      <c r="N152" t="s">
        <v>22</v>
      </c>
      <c r="O152">
        <v>11</v>
      </c>
      <c r="P152">
        <v>3</v>
      </c>
      <c r="Q152">
        <v>1</v>
      </c>
      <c r="R152">
        <v>20</v>
      </c>
      <c r="S152">
        <v>3</v>
      </c>
      <c r="T152">
        <v>20</v>
      </c>
      <c r="U152">
        <v>7</v>
      </c>
    </row>
    <row r="153" spans="1:21" x14ac:dyDescent="0.35">
      <c r="A153">
        <v>35</v>
      </c>
      <c r="B153" t="str" cm="1">
        <f t="array" ref="B153">_xlfn.IFS(A153&gt;40,"Senior",A153&gt;30,"Adult",A153&gt;=18,"Teenager")</f>
        <v>Adult</v>
      </c>
      <c r="C153" t="s">
        <v>22</v>
      </c>
      <c r="D153">
        <f t="shared" si="2"/>
        <v>0</v>
      </c>
      <c r="E153" t="s">
        <v>19</v>
      </c>
      <c r="F153">
        <v>3</v>
      </c>
      <c r="G153" t="s">
        <v>24</v>
      </c>
      <c r="H153">
        <v>3</v>
      </c>
      <c r="I153">
        <v>3</v>
      </c>
      <c r="J153" t="s">
        <v>21</v>
      </c>
      <c r="K153">
        <v>2</v>
      </c>
      <c r="L153">
        <v>7295</v>
      </c>
      <c r="M153" t="str" cm="1">
        <f t="array" ref="M153">_xlfn.IFS(L153&lt;= 7000,"Low",L153&lt;=15000,"Medium",L153&lt;=20000,"High")</f>
        <v>Medium</v>
      </c>
      <c r="N153" t="s">
        <v>22</v>
      </c>
      <c r="O153">
        <v>13</v>
      </c>
      <c r="P153">
        <v>3</v>
      </c>
      <c r="Q153">
        <v>1</v>
      </c>
      <c r="R153">
        <v>10</v>
      </c>
      <c r="S153">
        <v>3</v>
      </c>
      <c r="T153">
        <v>10</v>
      </c>
      <c r="U153">
        <v>8</v>
      </c>
    </row>
    <row r="154" spans="1:21" x14ac:dyDescent="0.35">
      <c r="A154">
        <v>53</v>
      </c>
      <c r="B154" t="str" cm="1">
        <f t="array" ref="B154">_xlfn.IFS(A154&gt;40,"Senior",A154&gt;30,"Adult",A154&gt;=18,"Teenager")</f>
        <v>Senior</v>
      </c>
      <c r="C154" t="s">
        <v>22</v>
      </c>
      <c r="D154">
        <f t="shared" si="2"/>
        <v>0</v>
      </c>
      <c r="E154" t="s">
        <v>19</v>
      </c>
      <c r="F154">
        <v>2</v>
      </c>
      <c r="G154" t="s">
        <v>24</v>
      </c>
      <c r="H154">
        <v>3</v>
      </c>
      <c r="I154">
        <v>2</v>
      </c>
      <c r="J154" t="s">
        <v>30</v>
      </c>
      <c r="K154">
        <v>3</v>
      </c>
      <c r="L154">
        <v>2306</v>
      </c>
      <c r="M154" t="str" cm="1">
        <f t="array" ref="M154">_xlfn.IFS(L154&lt;= 7000,"Low",L154&lt;=15000,"Medium",L154&lt;=20000,"High")</f>
        <v>Low</v>
      </c>
      <c r="N154" t="s">
        <v>18</v>
      </c>
      <c r="O154">
        <v>20</v>
      </c>
      <c r="P154">
        <v>4</v>
      </c>
      <c r="Q154">
        <v>4</v>
      </c>
      <c r="R154">
        <v>13</v>
      </c>
      <c r="S154">
        <v>1</v>
      </c>
      <c r="T154">
        <v>7</v>
      </c>
      <c r="U154">
        <v>7</v>
      </c>
    </row>
    <row r="155" spans="1:21" x14ac:dyDescent="0.35">
      <c r="A155">
        <v>45</v>
      </c>
      <c r="B155" t="str" cm="1">
        <f t="array" ref="B155">_xlfn.IFS(A155&gt;40,"Senior",A155&gt;30,"Adult",A155&gt;=18,"Teenager")</f>
        <v>Senior</v>
      </c>
      <c r="C155" t="s">
        <v>22</v>
      </c>
      <c r="D155">
        <f t="shared" si="2"/>
        <v>0</v>
      </c>
      <c r="E155" t="s">
        <v>23</v>
      </c>
      <c r="F155">
        <v>2</v>
      </c>
      <c r="G155" t="s">
        <v>24</v>
      </c>
      <c r="H155">
        <v>3</v>
      </c>
      <c r="I155">
        <v>2</v>
      </c>
      <c r="J155" t="s">
        <v>26</v>
      </c>
      <c r="K155">
        <v>2</v>
      </c>
      <c r="L155">
        <v>2348</v>
      </c>
      <c r="M155" t="str" cm="1">
        <f t="array" ref="M155">_xlfn.IFS(L155&lt;= 7000,"Low",L155&lt;=15000,"Medium",L155&lt;=20000,"High")</f>
        <v>Low</v>
      </c>
      <c r="N155" t="s">
        <v>22</v>
      </c>
      <c r="O155">
        <v>18</v>
      </c>
      <c r="P155">
        <v>3</v>
      </c>
      <c r="Q155">
        <v>3</v>
      </c>
      <c r="R155">
        <v>20</v>
      </c>
      <c r="S155">
        <v>1</v>
      </c>
      <c r="T155">
        <v>17</v>
      </c>
      <c r="U155">
        <v>9</v>
      </c>
    </row>
    <row r="156" spans="1:21" x14ac:dyDescent="0.35">
      <c r="A156">
        <v>32</v>
      </c>
      <c r="B156" t="str" cm="1">
        <f t="array" ref="B156">_xlfn.IFS(A156&gt;40,"Senior",A156&gt;30,"Adult",A156&gt;=18,"Teenager")</f>
        <v>Adult</v>
      </c>
      <c r="C156" t="s">
        <v>22</v>
      </c>
      <c r="D156">
        <f t="shared" si="2"/>
        <v>0</v>
      </c>
      <c r="E156" t="s">
        <v>19</v>
      </c>
      <c r="F156">
        <v>2</v>
      </c>
      <c r="G156" t="s">
        <v>20</v>
      </c>
      <c r="H156">
        <v>3</v>
      </c>
      <c r="I156">
        <v>3</v>
      </c>
      <c r="J156" t="s">
        <v>21</v>
      </c>
      <c r="K156">
        <v>4</v>
      </c>
      <c r="L156">
        <v>8998</v>
      </c>
      <c r="M156" t="str" cm="1">
        <f t="array" ref="M156">_xlfn.IFS(L156&lt;= 7000,"Low",L156&lt;=15000,"Medium",L156&lt;=20000,"High")</f>
        <v>Medium</v>
      </c>
      <c r="N156" t="s">
        <v>22</v>
      </c>
      <c r="O156">
        <v>14</v>
      </c>
      <c r="P156">
        <v>3</v>
      </c>
      <c r="Q156">
        <v>4</v>
      </c>
      <c r="R156">
        <v>9</v>
      </c>
      <c r="S156">
        <v>3</v>
      </c>
      <c r="T156">
        <v>9</v>
      </c>
      <c r="U156">
        <v>8</v>
      </c>
    </row>
    <row r="157" spans="1:21" x14ac:dyDescent="0.35">
      <c r="A157">
        <v>29</v>
      </c>
      <c r="B157" t="str" cm="1">
        <f t="array" ref="B157">_xlfn.IFS(A157&gt;40,"Senior",A157&gt;30,"Adult",A157&gt;=18,"Teenager")</f>
        <v>Teenager</v>
      </c>
      <c r="C157" t="s">
        <v>22</v>
      </c>
      <c r="D157">
        <f t="shared" si="2"/>
        <v>0</v>
      </c>
      <c r="E157" t="s">
        <v>23</v>
      </c>
      <c r="F157">
        <v>4</v>
      </c>
      <c r="G157" t="s">
        <v>24</v>
      </c>
      <c r="H157">
        <v>3</v>
      </c>
      <c r="I157">
        <v>2</v>
      </c>
      <c r="J157" t="s">
        <v>27</v>
      </c>
      <c r="K157">
        <v>3</v>
      </c>
      <c r="L157">
        <v>4319</v>
      </c>
      <c r="M157" t="str" cm="1">
        <f t="array" ref="M157">_xlfn.IFS(L157&lt;= 7000,"Low",L157&lt;=15000,"Medium",L157&lt;=20000,"High")</f>
        <v>Low</v>
      </c>
      <c r="N157" t="s">
        <v>22</v>
      </c>
      <c r="O157">
        <v>13</v>
      </c>
      <c r="P157">
        <v>3</v>
      </c>
      <c r="Q157">
        <v>1</v>
      </c>
      <c r="R157">
        <v>10</v>
      </c>
      <c r="S157">
        <v>3</v>
      </c>
      <c r="T157">
        <v>10</v>
      </c>
      <c r="U157">
        <v>7</v>
      </c>
    </row>
    <row r="158" spans="1:21" x14ac:dyDescent="0.35">
      <c r="A158">
        <v>51</v>
      </c>
      <c r="B158" t="str" cm="1">
        <f t="array" ref="B158">_xlfn.IFS(A158&gt;40,"Senior",A158&gt;30,"Adult",A158&gt;=18,"Teenager")</f>
        <v>Senior</v>
      </c>
      <c r="C158" t="s">
        <v>22</v>
      </c>
      <c r="D158">
        <f t="shared" si="2"/>
        <v>0</v>
      </c>
      <c r="E158" t="s">
        <v>23</v>
      </c>
      <c r="F158">
        <v>2</v>
      </c>
      <c r="G158" t="s">
        <v>24</v>
      </c>
      <c r="H158">
        <v>2</v>
      </c>
      <c r="I158">
        <v>2</v>
      </c>
      <c r="J158" t="s">
        <v>27</v>
      </c>
      <c r="K158">
        <v>3</v>
      </c>
      <c r="L158">
        <v>6132</v>
      </c>
      <c r="M158" t="str" cm="1">
        <f t="array" ref="M158">_xlfn.IFS(L158&lt;= 7000,"Low",L158&lt;=15000,"Medium",L158&lt;=20000,"High")</f>
        <v>Low</v>
      </c>
      <c r="N158" t="s">
        <v>22</v>
      </c>
      <c r="O158">
        <v>17</v>
      </c>
      <c r="P158">
        <v>3</v>
      </c>
      <c r="Q158">
        <v>3</v>
      </c>
      <c r="R158">
        <v>10</v>
      </c>
      <c r="S158">
        <v>3</v>
      </c>
      <c r="T158">
        <v>1</v>
      </c>
      <c r="U158">
        <v>0</v>
      </c>
    </row>
    <row r="159" spans="1:21" x14ac:dyDescent="0.35">
      <c r="A159">
        <v>58</v>
      </c>
      <c r="B159" t="str" cm="1">
        <f t="array" ref="B159">_xlfn.IFS(A159&gt;40,"Senior",A159&gt;30,"Adult",A159&gt;=18,"Teenager")</f>
        <v>Senior</v>
      </c>
      <c r="C159" t="s">
        <v>22</v>
      </c>
      <c r="D159">
        <f t="shared" si="2"/>
        <v>0</v>
      </c>
      <c r="E159" t="s">
        <v>23</v>
      </c>
      <c r="F159">
        <v>2</v>
      </c>
      <c r="G159" t="s">
        <v>20</v>
      </c>
      <c r="H159">
        <v>2</v>
      </c>
      <c r="I159">
        <v>1</v>
      </c>
      <c r="J159" t="s">
        <v>25</v>
      </c>
      <c r="K159">
        <v>2</v>
      </c>
      <c r="L159">
        <v>3346</v>
      </c>
      <c r="M159" t="str" cm="1">
        <f t="array" ref="M159">_xlfn.IFS(L159&lt;= 7000,"Low",L159&lt;=15000,"Medium",L159&lt;=20000,"High")</f>
        <v>Low</v>
      </c>
      <c r="N159" t="s">
        <v>18</v>
      </c>
      <c r="O159">
        <v>20</v>
      </c>
      <c r="P159">
        <v>4</v>
      </c>
      <c r="Q159">
        <v>2</v>
      </c>
      <c r="R159">
        <v>9</v>
      </c>
      <c r="S159">
        <v>2</v>
      </c>
      <c r="T159">
        <v>1</v>
      </c>
      <c r="U159">
        <v>0</v>
      </c>
    </row>
    <row r="160" spans="1:21" x14ac:dyDescent="0.35">
      <c r="A160">
        <v>40</v>
      </c>
      <c r="B160" t="str" cm="1">
        <f t="array" ref="B160">_xlfn.IFS(A160&gt;40,"Senior",A160&gt;30,"Adult",A160&gt;=18,"Teenager")</f>
        <v>Adult</v>
      </c>
      <c r="C160" t="s">
        <v>22</v>
      </c>
      <c r="D160">
        <f t="shared" si="2"/>
        <v>0</v>
      </c>
      <c r="E160" t="s">
        <v>19</v>
      </c>
      <c r="F160">
        <v>3</v>
      </c>
      <c r="G160" t="s">
        <v>24</v>
      </c>
      <c r="H160">
        <v>2</v>
      </c>
      <c r="I160">
        <v>3</v>
      </c>
      <c r="J160" t="s">
        <v>21</v>
      </c>
      <c r="K160">
        <v>4</v>
      </c>
      <c r="L160">
        <v>10855</v>
      </c>
      <c r="M160" t="str" cm="1">
        <f t="array" ref="M160">_xlfn.IFS(L160&lt;= 7000,"Low",L160&lt;=15000,"Medium",L160&lt;=20000,"High")</f>
        <v>Medium</v>
      </c>
      <c r="N160" t="s">
        <v>22</v>
      </c>
      <c r="O160">
        <v>11</v>
      </c>
      <c r="P160">
        <v>3</v>
      </c>
      <c r="Q160">
        <v>1</v>
      </c>
      <c r="R160">
        <v>15</v>
      </c>
      <c r="S160">
        <v>2</v>
      </c>
      <c r="T160">
        <v>12</v>
      </c>
      <c r="U160">
        <v>11</v>
      </c>
    </row>
    <row r="161" spans="1:21" x14ac:dyDescent="0.35">
      <c r="A161">
        <v>34</v>
      </c>
      <c r="B161" t="str" cm="1">
        <f t="array" ref="B161">_xlfn.IFS(A161&gt;40,"Senior",A161&gt;30,"Adult",A161&gt;=18,"Teenager")</f>
        <v>Adult</v>
      </c>
      <c r="C161" t="s">
        <v>22</v>
      </c>
      <c r="D161">
        <f t="shared" si="2"/>
        <v>0</v>
      </c>
      <c r="E161" t="s">
        <v>19</v>
      </c>
      <c r="F161">
        <v>3</v>
      </c>
      <c r="G161" t="s">
        <v>20</v>
      </c>
      <c r="H161">
        <v>3</v>
      </c>
      <c r="I161">
        <v>1</v>
      </c>
      <c r="J161" t="s">
        <v>30</v>
      </c>
      <c r="K161">
        <v>3</v>
      </c>
      <c r="L161">
        <v>2231</v>
      </c>
      <c r="M161" t="str" cm="1">
        <f t="array" ref="M161">_xlfn.IFS(L161&lt;= 7000,"Low",L161&lt;=15000,"Medium",L161&lt;=20000,"High")</f>
        <v>Low</v>
      </c>
      <c r="N161" t="s">
        <v>22</v>
      </c>
      <c r="O161">
        <v>18</v>
      </c>
      <c r="P161">
        <v>3</v>
      </c>
      <c r="Q161">
        <v>4</v>
      </c>
      <c r="R161">
        <v>6</v>
      </c>
      <c r="S161">
        <v>3</v>
      </c>
      <c r="T161">
        <v>4</v>
      </c>
      <c r="U161">
        <v>3</v>
      </c>
    </row>
    <row r="162" spans="1:21" x14ac:dyDescent="0.35">
      <c r="A162">
        <v>22</v>
      </c>
      <c r="B162" t="str" cm="1">
        <f t="array" ref="B162">_xlfn.IFS(A162&gt;40,"Senior",A162&gt;30,"Adult",A162&gt;=18,"Teenager")</f>
        <v>Teenager</v>
      </c>
      <c r="C162" t="s">
        <v>22</v>
      </c>
      <c r="D162">
        <f t="shared" si="2"/>
        <v>0</v>
      </c>
      <c r="E162" t="s">
        <v>23</v>
      </c>
      <c r="F162">
        <v>3</v>
      </c>
      <c r="G162" t="s">
        <v>24</v>
      </c>
      <c r="H162">
        <v>3</v>
      </c>
      <c r="I162">
        <v>1</v>
      </c>
      <c r="J162" t="s">
        <v>25</v>
      </c>
      <c r="K162">
        <v>4</v>
      </c>
      <c r="L162">
        <v>2323</v>
      </c>
      <c r="M162" t="str" cm="1">
        <f t="array" ref="M162">_xlfn.IFS(L162&lt;= 7000,"Low",L162&lt;=15000,"Medium",L162&lt;=20000,"High")</f>
        <v>Low</v>
      </c>
      <c r="N162" t="s">
        <v>22</v>
      </c>
      <c r="O162">
        <v>24</v>
      </c>
      <c r="P162">
        <v>4</v>
      </c>
      <c r="Q162">
        <v>1</v>
      </c>
      <c r="R162">
        <v>2</v>
      </c>
      <c r="S162">
        <v>3</v>
      </c>
      <c r="T162">
        <v>2</v>
      </c>
      <c r="U162">
        <v>2</v>
      </c>
    </row>
    <row r="163" spans="1:21" x14ac:dyDescent="0.35">
      <c r="A163">
        <v>27</v>
      </c>
      <c r="B163" t="str" cm="1">
        <f t="array" ref="B163">_xlfn.IFS(A163&gt;40,"Senior",A163&gt;30,"Adult",A163&gt;=18,"Teenager")</f>
        <v>Teenager</v>
      </c>
      <c r="C163" t="s">
        <v>22</v>
      </c>
      <c r="D163">
        <f t="shared" si="2"/>
        <v>0</v>
      </c>
      <c r="E163" t="s">
        <v>23</v>
      </c>
      <c r="F163">
        <v>4</v>
      </c>
      <c r="G163" t="s">
        <v>24</v>
      </c>
      <c r="H163">
        <v>3</v>
      </c>
      <c r="I163">
        <v>1</v>
      </c>
      <c r="J163" t="s">
        <v>25</v>
      </c>
      <c r="K163">
        <v>2</v>
      </c>
      <c r="L163">
        <v>2024</v>
      </c>
      <c r="M163" t="str" cm="1">
        <f t="array" ref="M163">_xlfn.IFS(L163&lt;= 7000,"Low",L163&lt;=15000,"Medium",L163&lt;=20000,"High")</f>
        <v>Low</v>
      </c>
      <c r="N163" t="s">
        <v>22</v>
      </c>
      <c r="O163">
        <v>18</v>
      </c>
      <c r="P163">
        <v>3</v>
      </c>
      <c r="Q163">
        <v>4</v>
      </c>
      <c r="R163">
        <v>6</v>
      </c>
      <c r="S163">
        <v>1</v>
      </c>
      <c r="T163">
        <v>2</v>
      </c>
      <c r="U163">
        <v>2</v>
      </c>
    </row>
    <row r="164" spans="1:21" x14ac:dyDescent="0.35">
      <c r="A164">
        <v>28</v>
      </c>
      <c r="B164" t="str" cm="1">
        <f t="array" ref="B164">_xlfn.IFS(A164&gt;40,"Senior",A164&gt;30,"Adult",A164&gt;=18,"Teenager")</f>
        <v>Teenager</v>
      </c>
      <c r="C164" t="s">
        <v>22</v>
      </c>
      <c r="D164">
        <f t="shared" si="2"/>
        <v>0</v>
      </c>
      <c r="E164" t="s">
        <v>23</v>
      </c>
      <c r="F164">
        <v>3</v>
      </c>
      <c r="G164" t="s">
        <v>24</v>
      </c>
      <c r="H164">
        <v>3</v>
      </c>
      <c r="I164">
        <v>1</v>
      </c>
      <c r="J164" t="s">
        <v>25</v>
      </c>
      <c r="K164">
        <v>4</v>
      </c>
      <c r="L164">
        <v>2713</v>
      </c>
      <c r="M164" t="str" cm="1">
        <f t="array" ref="M164">_xlfn.IFS(L164&lt;= 7000,"Low",L164&lt;=15000,"Medium",L164&lt;=20000,"High")</f>
        <v>Low</v>
      </c>
      <c r="N164" t="s">
        <v>22</v>
      </c>
      <c r="O164">
        <v>11</v>
      </c>
      <c r="P164">
        <v>3</v>
      </c>
      <c r="Q164">
        <v>3</v>
      </c>
      <c r="R164">
        <v>5</v>
      </c>
      <c r="S164">
        <v>1</v>
      </c>
      <c r="T164">
        <v>5</v>
      </c>
      <c r="U164">
        <v>2</v>
      </c>
    </row>
    <row r="165" spans="1:21" x14ac:dyDescent="0.35">
      <c r="A165">
        <v>57</v>
      </c>
      <c r="B165" t="str" cm="1">
        <f t="array" ref="B165">_xlfn.IFS(A165&gt;40,"Senior",A165&gt;30,"Adult",A165&gt;=18,"Teenager")</f>
        <v>Senior</v>
      </c>
      <c r="C165" t="s">
        <v>22</v>
      </c>
      <c r="D165">
        <f t="shared" si="2"/>
        <v>0</v>
      </c>
      <c r="E165" t="s">
        <v>23</v>
      </c>
      <c r="F165">
        <v>3</v>
      </c>
      <c r="G165" t="s">
        <v>24</v>
      </c>
      <c r="H165">
        <v>4</v>
      </c>
      <c r="I165">
        <v>3</v>
      </c>
      <c r="J165" t="s">
        <v>28</v>
      </c>
      <c r="K165">
        <v>4</v>
      </c>
      <c r="L165">
        <v>9439</v>
      </c>
      <c r="M165" t="str" cm="1">
        <f t="array" ref="M165">_xlfn.IFS(L165&lt;= 7000,"Low",L165&lt;=15000,"Medium",L165&lt;=20000,"High")</f>
        <v>Medium</v>
      </c>
      <c r="N165" t="s">
        <v>18</v>
      </c>
      <c r="O165">
        <v>16</v>
      </c>
      <c r="P165">
        <v>3</v>
      </c>
      <c r="Q165">
        <v>2</v>
      </c>
      <c r="R165">
        <v>12</v>
      </c>
      <c r="S165">
        <v>1</v>
      </c>
      <c r="T165">
        <v>5</v>
      </c>
      <c r="U165">
        <v>3</v>
      </c>
    </row>
    <row r="166" spans="1:21" x14ac:dyDescent="0.35">
      <c r="A166">
        <v>27</v>
      </c>
      <c r="B166" t="str" cm="1">
        <f t="array" ref="B166">_xlfn.IFS(A166&gt;40,"Senior",A166&gt;30,"Adult",A166&gt;=18,"Teenager")</f>
        <v>Teenager</v>
      </c>
      <c r="C166" t="s">
        <v>22</v>
      </c>
      <c r="D166">
        <f t="shared" si="2"/>
        <v>0</v>
      </c>
      <c r="E166" t="s">
        <v>23</v>
      </c>
      <c r="F166">
        <v>3</v>
      </c>
      <c r="G166" t="s">
        <v>24</v>
      </c>
      <c r="H166">
        <v>2</v>
      </c>
      <c r="I166">
        <v>1</v>
      </c>
      <c r="J166" t="s">
        <v>25</v>
      </c>
      <c r="K166">
        <v>3</v>
      </c>
      <c r="L166">
        <v>2566</v>
      </c>
      <c r="M166" t="str" cm="1">
        <f t="array" ref="M166">_xlfn.IFS(L166&lt;= 7000,"Low",L166&lt;=15000,"Medium",L166&lt;=20000,"High")</f>
        <v>Low</v>
      </c>
      <c r="N166" t="s">
        <v>18</v>
      </c>
      <c r="O166">
        <v>15</v>
      </c>
      <c r="P166">
        <v>3</v>
      </c>
      <c r="Q166">
        <v>4</v>
      </c>
      <c r="R166">
        <v>1</v>
      </c>
      <c r="S166">
        <v>2</v>
      </c>
      <c r="T166">
        <v>1</v>
      </c>
      <c r="U166">
        <v>1</v>
      </c>
    </row>
    <row r="167" spans="1:21" x14ac:dyDescent="0.35">
      <c r="A167">
        <v>50</v>
      </c>
      <c r="B167" t="str" cm="1">
        <f t="array" ref="B167">_xlfn.IFS(A167&gt;40,"Senior",A167&gt;30,"Adult",A167&gt;=18,"Teenager")</f>
        <v>Senior</v>
      </c>
      <c r="C167" t="s">
        <v>22</v>
      </c>
      <c r="D167">
        <f t="shared" si="2"/>
        <v>0</v>
      </c>
      <c r="E167" t="s">
        <v>23</v>
      </c>
      <c r="F167">
        <v>3</v>
      </c>
      <c r="G167" t="s">
        <v>20</v>
      </c>
      <c r="H167">
        <v>3</v>
      </c>
      <c r="I167">
        <v>5</v>
      </c>
      <c r="J167" t="s">
        <v>29</v>
      </c>
      <c r="K167">
        <v>2</v>
      </c>
      <c r="L167">
        <v>19926</v>
      </c>
      <c r="M167" t="str" cm="1">
        <f t="array" ref="M167">_xlfn.IFS(L167&lt;= 7000,"Low",L167&lt;=15000,"Medium",L167&lt;=20000,"High")</f>
        <v>High</v>
      </c>
      <c r="N167" t="s">
        <v>22</v>
      </c>
      <c r="O167">
        <v>15</v>
      </c>
      <c r="P167">
        <v>3</v>
      </c>
      <c r="Q167">
        <v>2</v>
      </c>
      <c r="R167">
        <v>21</v>
      </c>
      <c r="S167">
        <v>3</v>
      </c>
      <c r="T167">
        <v>5</v>
      </c>
      <c r="U167">
        <v>4</v>
      </c>
    </row>
    <row r="168" spans="1:21" x14ac:dyDescent="0.35">
      <c r="A168">
        <v>41</v>
      </c>
      <c r="B168" t="str" cm="1">
        <f t="array" ref="B168">_xlfn.IFS(A168&gt;40,"Senior",A168&gt;30,"Adult",A168&gt;=18,"Teenager")</f>
        <v>Senior</v>
      </c>
      <c r="C168" t="s">
        <v>22</v>
      </c>
      <c r="D168">
        <f t="shared" si="2"/>
        <v>0</v>
      </c>
      <c r="E168" t="s">
        <v>23</v>
      </c>
      <c r="F168">
        <v>1</v>
      </c>
      <c r="G168" t="s">
        <v>24</v>
      </c>
      <c r="H168">
        <v>3</v>
      </c>
      <c r="I168">
        <v>1</v>
      </c>
      <c r="J168" t="s">
        <v>25</v>
      </c>
      <c r="K168">
        <v>3</v>
      </c>
      <c r="L168">
        <v>2451</v>
      </c>
      <c r="M168" t="str" cm="1">
        <f t="array" ref="M168">_xlfn.IFS(L168&lt;= 7000,"Low",L168&lt;=15000,"Medium",L168&lt;=20000,"High")</f>
        <v>Low</v>
      </c>
      <c r="N168" t="s">
        <v>22</v>
      </c>
      <c r="O168">
        <v>12</v>
      </c>
      <c r="P168">
        <v>3</v>
      </c>
      <c r="Q168">
        <v>1</v>
      </c>
      <c r="R168">
        <v>13</v>
      </c>
      <c r="S168">
        <v>3</v>
      </c>
      <c r="T168">
        <v>9</v>
      </c>
      <c r="U168">
        <v>8</v>
      </c>
    </row>
    <row r="169" spans="1:21" x14ac:dyDescent="0.35">
      <c r="A169">
        <v>30</v>
      </c>
      <c r="B169" t="str" cm="1">
        <f t="array" ref="B169">_xlfn.IFS(A169&gt;40,"Senior",A169&gt;30,"Adult",A169&gt;=18,"Teenager")</f>
        <v>Teenager</v>
      </c>
      <c r="C169" t="s">
        <v>22</v>
      </c>
      <c r="D169">
        <f t="shared" si="2"/>
        <v>0</v>
      </c>
      <c r="E169" t="s">
        <v>19</v>
      </c>
      <c r="F169">
        <v>2</v>
      </c>
      <c r="G169" t="s">
        <v>20</v>
      </c>
      <c r="H169">
        <v>3</v>
      </c>
      <c r="I169">
        <v>3</v>
      </c>
      <c r="J169" t="s">
        <v>21</v>
      </c>
      <c r="K169">
        <v>4</v>
      </c>
      <c r="L169">
        <v>9419</v>
      </c>
      <c r="M169" t="str" cm="1">
        <f t="array" ref="M169">_xlfn.IFS(L169&lt;= 7000,"Low",L169&lt;=15000,"Medium",L169&lt;=20000,"High")</f>
        <v>Medium</v>
      </c>
      <c r="N169" t="s">
        <v>22</v>
      </c>
      <c r="O169">
        <v>12</v>
      </c>
      <c r="P169">
        <v>3</v>
      </c>
      <c r="Q169">
        <v>3</v>
      </c>
      <c r="R169">
        <v>12</v>
      </c>
      <c r="S169">
        <v>3</v>
      </c>
      <c r="T169">
        <v>10</v>
      </c>
      <c r="U169">
        <v>9</v>
      </c>
    </row>
    <row r="170" spans="1:21" x14ac:dyDescent="0.35">
      <c r="A170">
        <v>38</v>
      </c>
      <c r="B170" t="str" cm="1">
        <f t="array" ref="B170">_xlfn.IFS(A170&gt;40,"Senior",A170&gt;30,"Adult",A170&gt;=18,"Teenager")</f>
        <v>Adult</v>
      </c>
      <c r="C170" t="s">
        <v>22</v>
      </c>
      <c r="D170">
        <f t="shared" si="2"/>
        <v>0</v>
      </c>
      <c r="E170" t="s">
        <v>19</v>
      </c>
      <c r="F170">
        <v>1</v>
      </c>
      <c r="G170" t="s">
        <v>20</v>
      </c>
      <c r="H170">
        <v>2</v>
      </c>
      <c r="I170">
        <v>2</v>
      </c>
      <c r="J170" t="s">
        <v>21</v>
      </c>
      <c r="K170">
        <v>4</v>
      </c>
      <c r="L170">
        <v>8686</v>
      </c>
      <c r="M170" t="str" cm="1">
        <f t="array" ref="M170">_xlfn.IFS(L170&lt;= 7000,"Low",L170&lt;=15000,"Medium",L170&lt;=20000,"High")</f>
        <v>Medium</v>
      </c>
      <c r="N170" t="s">
        <v>22</v>
      </c>
      <c r="O170">
        <v>22</v>
      </c>
      <c r="P170">
        <v>4</v>
      </c>
      <c r="Q170">
        <v>3</v>
      </c>
      <c r="R170">
        <v>12</v>
      </c>
      <c r="S170">
        <v>4</v>
      </c>
      <c r="T170">
        <v>8</v>
      </c>
      <c r="U170">
        <v>3</v>
      </c>
    </row>
    <row r="171" spans="1:21" x14ac:dyDescent="0.35">
      <c r="A171">
        <v>32</v>
      </c>
      <c r="B171" t="str" cm="1">
        <f t="array" ref="B171">_xlfn.IFS(A171&gt;40,"Senior",A171&gt;30,"Adult",A171&gt;=18,"Teenager")</f>
        <v>Adult</v>
      </c>
      <c r="C171" t="s">
        <v>22</v>
      </c>
      <c r="D171">
        <f t="shared" si="2"/>
        <v>0</v>
      </c>
      <c r="E171" t="s">
        <v>23</v>
      </c>
      <c r="F171">
        <v>3</v>
      </c>
      <c r="G171" t="s">
        <v>24</v>
      </c>
      <c r="H171">
        <v>3</v>
      </c>
      <c r="I171">
        <v>1</v>
      </c>
      <c r="J171" t="s">
        <v>25</v>
      </c>
      <c r="K171">
        <v>3</v>
      </c>
      <c r="L171">
        <v>3038</v>
      </c>
      <c r="M171" t="str" cm="1">
        <f t="array" ref="M171">_xlfn.IFS(L171&lt;= 7000,"Low",L171&lt;=15000,"Medium",L171&lt;=20000,"High")</f>
        <v>Low</v>
      </c>
      <c r="N171" t="s">
        <v>22</v>
      </c>
      <c r="O171">
        <v>20</v>
      </c>
      <c r="P171">
        <v>4</v>
      </c>
      <c r="Q171">
        <v>1</v>
      </c>
      <c r="R171">
        <v>8</v>
      </c>
      <c r="S171">
        <v>3</v>
      </c>
      <c r="T171">
        <v>5</v>
      </c>
      <c r="U171">
        <v>4</v>
      </c>
    </row>
    <row r="172" spans="1:21" x14ac:dyDescent="0.35">
      <c r="A172">
        <v>27</v>
      </c>
      <c r="B172" t="str" cm="1">
        <f t="array" ref="B172">_xlfn.IFS(A172&gt;40,"Senior",A172&gt;30,"Adult",A172&gt;=18,"Teenager")</f>
        <v>Teenager</v>
      </c>
      <c r="C172" t="s">
        <v>22</v>
      </c>
      <c r="D172">
        <f t="shared" si="2"/>
        <v>0</v>
      </c>
      <c r="E172" t="s">
        <v>23</v>
      </c>
      <c r="F172">
        <v>3</v>
      </c>
      <c r="G172" t="s">
        <v>24</v>
      </c>
      <c r="H172">
        <v>3</v>
      </c>
      <c r="I172">
        <v>1</v>
      </c>
      <c r="J172" t="s">
        <v>25</v>
      </c>
      <c r="K172">
        <v>2</v>
      </c>
      <c r="L172">
        <v>3058</v>
      </c>
      <c r="M172" t="str" cm="1">
        <f t="array" ref="M172">_xlfn.IFS(L172&lt;= 7000,"Low",L172&lt;=15000,"Medium",L172&lt;=20000,"High")</f>
        <v>Low</v>
      </c>
      <c r="N172" t="s">
        <v>18</v>
      </c>
      <c r="O172">
        <v>16</v>
      </c>
      <c r="P172">
        <v>3</v>
      </c>
      <c r="Q172">
        <v>4</v>
      </c>
      <c r="R172">
        <v>6</v>
      </c>
      <c r="S172">
        <v>2</v>
      </c>
      <c r="T172">
        <v>5</v>
      </c>
      <c r="U172">
        <v>2</v>
      </c>
    </row>
    <row r="173" spans="1:21" x14ac:dyDescent="0.35">
      <c r="A173">
        <v>19</v>
      </c>
      <c r="B173" t="str" cm="1">
        <f t="array" ref="B173">_xlfn.IFS(A173&gt;40,"Senior",A173&gt;30,"Adult",A173&gt;=18,"Teenager")</f>
        <v>Teenager</v>
      </c>
      <c r="C173" t="s">
        <v>18</v>
      </c>
      <c r="D173">
        <f t="shared" si="2"/>
        <v>1</v>
      </c>
      <c r="E173" t="s">
        <v>19</v>
      </c>
      <c r="F173">
        <v>3</v>
      </c>
      <c r="G173" t="s">
        <v>20</v>
      </c>
      <c r="H173">
        <v>1</v>
      </c>
      <c r="I173">
        <v>1</v>
      </c>
      <c r="J173" t="s">
        <v>30</v>
      </c>
      <c r="K173">
        <v>1</v>
      </c>
      <c r="L173">
        <v>2325</v>
      </c>
      <c r="M173" t="str" cm="1">
        <f t="array" ref="M173">_xlfn.IFS(L173&lt;= 7000,"Low",L173&lt;=15000,"Medium",L173&lt;=20000,"High")</f>
        <v>Low</v>
      </c>
      <c r="N173" t="s">
        <v>22</v>
      </c>
      <c r="O173">
        <v>21</v>
      </c>
      <c r="P173">
        <v>4</v>
      </c>
      <c r="Q173">
        <v>1</v>
      </c>
      <c r="R173">
        <v>1</v>
      </c>
      <c r="S173">
        <v>4</v>
      </c>
      <c r="T173">
        <v>0</v>
      </c>
      <c r="U173">
        <v>0</v>
      </c>
    </row>
    <row r="174" spans="1:21" x14ac:dyDescent="0.35">
      <c r="A174">
        <v>36</v>
      </c>
      <c r="B174" t="str" cm="1">
        <f t="array" ref="B174">_xlfn.IFS(A174&gt;40,"Senior",A174&gt;30,"Adult",A174&gt;=18,"Teenager")</f>
        <v>Adult</v>
      </c>
      <c r="C174" t="s">
        <v>22</v>
      </c>
      <c r="D174">
        <f t="shared" si="2"/>
        <v>0</v>
      </c>
      <c r="E174" t="s">
        <v>23</v>
      </c>
      <c r="F174">
        <v>4</v>
      </c>
      <c r="G174" t="s">
        <v>24</v>
      </c>
      <c r="H174">
        <v>3</v>
      </c>
      <c r="I174">
        <v>1</v>
      </c>
      <c r="J174" t="s">
        <v>26</v>
      </c>
      <c r="K174">
        <v>2</v>
      </c>
      <c r="L174">
        <v>2088</v>
      </c>
      <c r="M174" t="str" cm="1">
        <f t="array" ref="M174">_xlfn.IFS(L174&lt;= 7000,"Low",L174&lt;=15000,"Medium",L174&lt;=20000,"High")</f>
        <v>Low</v>
      </c>
      <c r="N174" t="s">
        <v>22</v>
      </c>
      <c r="O174">
        <v>12</v>
      </c>
      <c r="P174">
        <v>3</v>
      </c>
      <c r="Q174">
        <v>3</v>
      </c>
      <c r="R174">
        <v>13</v>
      </c>
      <c r="S174">
        <v>2</v>
      </c>
      <c r="T174">
        <v>8</v>
      </c>
      <c r="U174">
        <v>7</v>
      </c>
    </row>
    <row r="175" spans="1:21" x14ac:dyDescent="0.35">
      <c r="A175">
        <v>30</v>
      </c>
      <c r="B175" t="str" cm="1">
        <f t="array" ref="B175">_xlfn.IFS(A175&gt;40,"Senior",A175&gt;30,"Adult",A175&gt;=18,"Teenager")</f>
        <v>Teenager</v>
      </c>
      <c r="C175" t="s">
        <v>22</v>
      </c>
      <c r="D175">
        <f t="shared" si="2"/>
        <v>0</v>
      </c>
      <c r="E175" t="s">
        <v>23</v>
      </c>
      <c r="F175">
        <v>3</v>
      </c>
      <c r="G175" t="s">
        <v>24</v>
      </c>
      <c r="H175">
        <v>3</v>
      </c>
      <c r="I175">
        <v>2</v>
      </c>
      <c r="J175" t="s">
        <v>26</v>
      </c>
      <c r="K175">
        <v>1</v>
      </c>
      <c r="L175">
        <v>3072</v>
      </c>
      <c r="M175" t="str" cm="1">
        <f t="array" ref="M175">_xlfn.IFS(L175&lt;= 7000,"Low",L175&lt;=15000,"Medium",L175&lt;=20000,"High")</f>
        <v>Low</v>
      </c>
      <c r="N175" t="s">
        <v>22</v>
      </c>
      <c r="O175">
        <v>11</v>
      </c>
      <c r="P175">
        <v>3</v>
      </c>
      <c r="Q175">
        <v>3</v>
      </c>
      <c r="R175">
        <v>12</v>
      </c>
      <c r="S175">
        <v>3</v>
      </c>
      <c r="T175">
        <v>12</v>
      </c>
      <c r="U175">
        <v>9</v>
      </c>
    </row>
    <row r="176" spans="1:21" x14ac:dyDescent="0.35">
      <c r="A176">
        <v>45</v>
      </c>
      <c r="B176" t="str" cm="1">
        <f t="array" ref="B176">_xlfn.IFS(A176&gt;40,"Senior",A176&gt;30,"Adult",A176&gt;=18,"Teenager")</f>
        <v>Senior</v>
      </c>
      <c r="C176" t="s">
        <v>22</v>
      </c>
      <c r="D176">
        <f t="shared" si="2"/>
        <v>0</v>
      </c>
      <c r="E176" t="s">
        <v>19</v>
      </c>
      <c r="F176">
        <v>3</v>
      </c>
      <c r="G176" t="s">
        <v>20</v>
      </c>
      <c r="H176">
        <v>3</v>
      </c>
      <c r="I176">
        <v>2</v>
      </c>
      <c r="J176" t="s">
        <v>21</v>
      </c>
      <c r="K176">
        <v>1</v>
      </c>
      <c r="L176">
        <v>5006</v>
      </c>
      <c r="M176" t="str" cm="1">
        <f t="array" ref="M176">_xlfn.IFS(L176&lt;= 7000,"Low",L176&lt;=15000,"Medium",L176&lt;=20000,"High")</f>
        <v>Low</v>
      </c>
      <c r="N176" t="s">
        <v>18</v>
      </c>
      <c r="O176">
        <v>11</v>
      </c>
      <c r="P176">
        <v>3</v>
      </c>
      <c r="Q176">
        <v>1</v>
      </c>
      <c r="R176">
        <v>9</v>
      </c>
      <c r="S176">
        <v>4</v>
      </c>
      <c r="T176">
        <v>5</v>
      </c>
      <c r="U176">
        <v>4</v>
      </c>
    </row>
    <row r="177" spans="1:21" x14ac:dyDescent="0.35">
      <c r="A177">
        <v>56</v>
      </c>
      <c r="B177" t="str" cm="1">
        <f t="array" ref="B177">_xlfn.IFS(A177&gt;40,"Senior",A177&gt;30,"Adult",A177&gt;=18,"Teenager")</f>
        <v>Senior</v>
      </c>
      <c r="C177" t="s">
        <v>22</v>
      </c>
      <c r="D177">
        <f t="shared" si="2"/>
        <v>0</v>
      </c>
      <c r="E177" t="s">
        <v>23</v>
      </c>
      <c r="F177">
        <v>3</v>
      </c>
      <c r="G177" t="s">
        <v>20</v>
      </c>
      <c r="H177">
        <v>3</v>
      </c>
      <c r="I177">
        <v>1</v>
      </c>
      <c r="J177" t="s">
        <v>25</v>
      </c>
      <c r="K177">
        <v>1</v>
      </c>
      <c r="L177">
        <v>4257</v>
      </c>
      <c r="M177" t="str" cm="1">
        <f t="array" ref="M177">_xlfn.IFS(L177&lt;= 7000,"Low",L177&lt;=15000,"Medium",L177&lt;=20000,"High")</f>
        <v>Low</v>
      </c>
      <c r="N177" t="s">
        <v>18</v>
      </c>
      <c r="O177">
        <v>18</v>
      </c>
      <c r="P177">
        <v>3</v>
      </c>
      <c r="Q177">
        <v>3</v>
      </c>
      <c r="R177">
        <v>19</v>
      </c>
      <c r="S177">
        <v>3</v>
      </c>
      <c r="T177">
        <v>2</v>
      </c>
      <c r="U177">
        <v>2</v>
      </c>
    </row>
    <row r="178" spans="1:21" x14ac:dyDescent="0.35">
      <c r="A178">
        <v>33</v>
      </c>
      <c r="B178" t="str" cm="1">
        <f t="array" ref="B178">_xlfn.IFS(A178&gt;40,"Senior",A178&gt;30,"Adult",A178&gt;=18,"Teenager")</f>
        <v>Adult</v>
      </c>
      <c r="C178" t="s">
        <v>22</v>
      </c>
      <c r="D178">
        <f t="shared" si="2"/>
        <v>0</v>
      </c>
      <c r="E178" t="s">
        <v>23</v>
      </c>
      <c r="F178">
        <v>3</v>
      </c>
      <c r="G178" t="s">
        <v>24</v>
      </c>
      <c r="H178">
        <v>3</v>
      </c>
      <c r="I178">
        <v>1</v>
      </c>
      <c r="J178" t="s">
        <v>25</v>
      </c>
      <c r="K178">
        <v>4</v>
      </c>
      <c r="L178">
        <v>2500</v>
      </c>
      <c r="M178" t="str" cm="1">
        <f t="array" ref="M178">_xlfn.IFS(L178&lt;= 7000,"Low",L178&lt;=15000,"Medium",L178&lt;=20000,"High")</f>
        <v>Low</v>
      </c>
      <c r="N178" t="s">
        <v>22</v>
      </c>
      <c r="O178">
        <v>14</v>
      </c>
      <c r="P178">
        <v>3</v>
      </c>
      <c r="Q178">
        <v>1</v>
      </c>
      <c r="R178">
        <v>4</v>
      </c>
      <c r="S178">
        <v>4</v>
      </c>
      <c r="T178">
        <v>3</v>
      </c>
      <c r="U178">
        <v>1</v>
      </c>
    </row>
    <row r="179" spans="1:21" x14ac:dyDescent="0.35">
      <c r="A179">
        <v>19</v>
      </c>
      <c r="B179" t="str" cm="1">
        <f t="array" ref="B179">_xlfn.IFS(A179&gt;40,"Senior",A179&gt;30,"Adult",A179&gt;=18,"Teenager")</f>
        <v>Teenager</v>
      </c>
      <c r="C179" t="s">
        <v>18</v>
      </c>
      <c r="D179">
        <f t="shared" si="2"/>
        <v>1</v>
      </c>
      <c r="E179" t="s">
        <v>23</v>
      </c>
      <c r="F179">
        <v>2</v>
      </c>
      <c r="G179" t="s">
        <v>24</v>
      </c>
      <c r="H179">
        <v>2</v>
      </c>
      <c r="I179">
        <v>1</v>
      </c>
      <c r="J179" t="s">
        <v>26</v>
      </c>
      <c r="K179">
        <v>4</v>
      </c>
      <c r="L179">
        <v>1102</v>
      </c>
      <c r="M179" t="str" cm="1">
        <f t="array" ref="M179">_xlfn.IFS(L179&lt;= 7000,"Low",L179&lt;=15000,"Medium",L179&lt;=20000,"High")</f>
        <v>Low</v>
      </c>
      <c r="N179" t="s">
        <v>22</v>
      </c>
      <c r="O179">
        <v>22</v>
      </c>
      <c r="P179">
        <v>4</v>
      </c>
      <c r="Q179">
        <v>3</v>
      </c>
      <c r="R179">
        <v>1</v>
      </c>
      <c r="S179">
        <v>2</v>
      </c>
      <c r="T179">
        <v>1</v>
      </c>
      <c r="U179">
        <v>0</v>
      </c>
    </row>
    <row r="180" spans="1:21" x14ac:dyDescent="0.35">
      <c r="A180">
        <v>46</v>
      </c>
      <c r="B180" t="str" cm="1">
        <f t="array" ref="B180">_xlfn.IFS(A180&gt;40,"Senior",A180&gt;30,"Adult",A180&gt;=18,"Teenager")</f>
        <v>Senior</v>
      </c>
      <c r="C180" t="s">
        <v>22</v>
      </c>
      <c r="D180">
        <f t="shared" si="2"/>
        <v>0</v>
      </c>
      <c r="E180" t="s">
        <v>19</v>
      </c>
      <c r="F180">
        <v>2</v>
      </c>
      <c r="G180" t="s">
        <v>20</v>
      </c>
      <c r="H180">
        <v>3</v>
      </c>
      <c r="I180">
        <v>3</v>
      </c>
      <c r="J180" t="s">
        <v>21</v>
      </c>
      <c r="K180">
        <v>1</v>
      </c>
      <c r="L180">
        <v>10453</v>
      </c>
      <c r="M180" t="str" cm="1">
        <f t="array" ref="M180">_xlfn.IFS(L180&lt;= 7000,"Low",L180&lt;=15000,"Medium",L180&lt;=20000,"High")</f>
        <v>Medium</v>
      </c>
      <c r="N180" t="s">
        <v>22</v>
      </c>
      <c r="O180">
        <v>25</v>
      </c>
      <c r="P180">
        <v>4</v>
      </c>
      <c r="Q180">
        <v>3</v>
      </c>
      <c r="R180">
        <v>24</v>
      </c>
      <c r="S180">
        <v>3</v>
      </c>
      <c r="T180">
        <v>24</v>
      </c>
      <c r="U180">
        <v>13</v>
      </c>
    </row>
    <row r="181" spans="1:21" x14ac:dyDescent="0.35">
      <c r="A181">
        <v>38</v>
      </c>
      <c r="B181" t="str" cm="1">
        <f t="array" ref="B181">_xlfn.IFS(A181&gt;40,"Senior",A181&gt;30,"Adult",A181&gt;=18,"Teenager")</f>
        <v>Adult</v>
      </c>
      <c r="C181" t="s">
        <v>22</v>
      </c>
      <c r="D181">
        <f t="shared" si="2"/>
        <v>0</v>
      </c>
      <c r="E181" t="s">
        <v>23</v>
      </c>
      <c r="F181">
        <v>3</v>
      </c>
      <c r="G181" t="s">
        <v>20</v>
      </c>
      <c r="H181">
        <v>3</v>
      </c>
      <c r="I181">
        <v>1</v>
      </c>
      <c r="J181" t="s">
        <v>26</v>
      </c>
      <c r="K181">
        <v>4</v>
      </c>
      <c r="L181">
        <v>2288</v>
      </c>
      <c r="M181" t="str" cm="1">
        <f t="array" ref="M181">_xlfn.IFS(L181&lt;= 7000,"Low",L181&lt;=15000,"Medium",L181&lt;=20000,"High")</f>
        <v>Low</v>
      </c>
      <c r="N181" t="s">
        <v>22</v>
      </c>
      <c r="O181">
        <v>12</v>
      </c>
      <c r="P181">
        <v>3</v>
      </c>
      <c r="Q181">
        <v>3</v>
      </c>
      <c r="R181">
        <v>2</v>
      </c>
      <c r="S181">
        <v>3</v>
      </c>
      <c r="T181">
        <v>2</v>
      </c>
      <c r="U181">
        <v>2</v>
      </c>
    </row>
    <row r="182" spans="1:21" x14ac:dyDescent="0.35">
      <c r="A182">
        <v>31</v>
      </c>
      <c r="B182" t="str" cm="1">
        <f t="array" ref="B182">_xlfn.IFS(A182&gt;40,"Senior",A182&gt;30,"Adult",A182&gt;=18,"Teenager")</f>
        <v>Adult</v>
      </c>
      <c r="C182" t="s">
        <v>22</v>
      </c>
      <c r="D182">
        <f t="shared" si="2"/>
        <v>0</v>
      </c>
      <c r="E182" t="s">
        <v>23</v>
      </c>
      <c r="F182">
        <v>3</v>
      </c>
      <c r="G182" t="s">
        <v>20</v>
      </c>
      <c r="H182">
        <v>3</v>
      </c>
      <c r="I182">
        <v>1</v>
      </c>
      <c r="J182" t="s">
        <v>25</v>
      </c>
      <c r="K182">
        <v>4</v>
      </c>
      <c r="L182">
        <v>3929</v>
      </c>
      <c r="M182" t="str" cm="1">
        <f t="array" ref="M182">_xlfn.IFS(L182&lt;= 7000,"Low",L182&lt;=15000,"Medium",L182&lt;=20000,"High")</f>
        <v>Low</v>
      </c>
      <c r="N182" t="s">
        <v>18</v>
      </c>
      <c r="O182">
        <v>23</v>
      </c>
      <c r="P182">
        <v>4</v>
      </c>
      <c r="Q182">
        <v>3</v>
      </c>
      <c r="R182">
        <v>7</v>
      </c>
      <c r="S182">
        <v>3</v>
      </c>
      <c r="T182">
        <v>4</v>
      </c>
      <c r="U182">
        <v>2</v>
      </c>
    </row>
    <row r="183" spans="1:21" x14ac:dyDescent="0.35">
      <c r="A183">
        <v>34</v>
      </c>
      <c r="B183" t="str" cm="1">
        <f t="array" ref="B183">_xlfn.IFS(A183&gt;40,"Senior",A183&gt;30,"Adult",A183&gt;=18,"Teenager")</f>
        <v>Adult</v>
      </c>
      <c r="C183" t="s">
        <v>22</v>
      </c>
      <c r="D183">
        <f t="shared" si="2"/>
        <v>0</v>
      </c>
      <c r="E183" t="s">
        <v>23</v>
      </c>
      <c r="F183">
        <v>4</v>
      </c>
      <c r="G183" t="s">
        <v>20</v>
      </c>
      <c r="H183">
        <v>3</v>
      </c>
      <c r="I183">
        <v>1</v>
      </c>
      <c r="J183" t="s">
        <v>25</v>
      </c>
      <c r="K183">
        <v>2</v>
      </c>
      <c r="L183">
        <v>2311</v>
      </c>
      <c r="M183" t="str" cm="1">
        <f t="array" ref="M183">_xlfn.IFS(L183&lt;= 7000,"Low",L183&lt;=15000,"Medium",L183&lt;=20000,"High")</f>
        <v>Low</v>
      </c>
      <c r="N183" t="s">
        <v>22</v>
      </c>
      <c r="O183">
        <v>15</v>
      </c>
      <c r="P183">
        <v>3</v>
      </c>
      <c r="Q183">
        <v>4</v>
      </c>
      <c r="R183">
        <v>9</v>
      </c>
      <c r="S183">
        <v>3</v>
      </c>
      <c r="T183">
        <v>3</v>
      </c>
      <c r="U183">
        <v>2</v>
      </c>
    </row>
    <row r="184" spans="1:21" x14ac:dyDescent="0.35">
      <c r="A184">
        <v>41</v>
      </c>
      <c r="B184" t="str" cm="1">
        <f t="array" ref="B184">_xlfn.IFS(A184&gt;40,"Senior",A184&gt;30,"Adult",A184&gt;=18,"Teenager")</f>
        <v>Senior</v>
      </c>
      <c r="C184" t="s">
        <v>18</v>
      </c>
      <c r="D184">
        <f t="shared" si="2"/>
        <v>1</v>
      </c>
      <c r="E184" t="s">
        <v>19</v>
      </c>
      <c r="F184">
        <v>2</v>
      </c>
      <c r="G184" t="s">
        <v>20</v>
      </c>
      <c r="H184">
        <v>3</v>
      </c>
      <c r="I184">
        <v>1</v>
      </c>
      <c r="J184" t="s">
        <v>30</v>
      </c>
      <c r="K184">
        <v>2</v>
      </c>
      <c r="L184">
        <v>3140</v>
      </c>
      <c r="M184" t="str" cm="1">
        <f t="array" ref="M184">_xlfn.IFS(L184&lt;= 7000,"Low",L184&lt;=15000,"Medium",L184&lt;=20000,"High")</f>
        <v>Low</v>
      </c>
      <c r="N184" t="s">
        <v>18</v>
      </c>
      <c r="O184">
        <v>22</v>
      </c>
      <c r="P184">
        <v>4</v>
      </c>
      <c r="Q184">
        <v>4</v>
      </c>
      <c r="R184">
        <v>4</v>
      </c>
      <c r="S184">
        <v>2</v>
      </c>
      <c r="T184">
        <v>4</v>
      </c>
      <c r="U184">
        <v>3</v>
      </c>
    </row>
    <row r="185" spans="1:21" x14ac:dyDescent="0.35">
      <c r="A185">
        <v>50</v>
      </c>
      <c r="B185" t="str" cm="1">
        <f t="array" ref="B185">_xlfn.IFS(A185&gt;40,"Senior",A185&gt;30,"Adult",A185&gt;=18,"Teenager")</f>
        <v>Senior</v>
      </c>
      <c r="C185" t="s">
        <v>22</v>
      </c>
      <c r="D185">
        <f t="shared" si="2"/>
        <v>0</v>
      </c>
      <c r="E185" t="s">
        <v>23</v>
      </c>
      <c r="F185">
        <v>3</v>
      </c>
      <c r="G185" t="s">
        <v>24</v>
      </c>
      <c r="H185">
        <v>2</v>
      </c>
      <c r="I185">
        <v>1</v>
      </c>
      <c r="J185" t="s">
        <v>26</v>
      </c>
      <c r="K185">
        <v>3</v>
      </c>
      <c r="L185">
        <v>3690</v>
      </c>
      <c r="M185" t="str" cm="1">
        <f t="array" ref="M185">_xlfn.IFS(L185&lt;= 7000,"Low",L185&lt;=15000,"Medium",L185&lt;=20000,"High")</f>
        <v>Low</v>
      </c>
      <c r="N185" t="s">
        <v>22</v>
      </c>
      <c r="O185">
        <v>15</v>
      </c>
      <c r="P185">
        <v>3</v>
      </c>
      <c r="Q185">
        <v>4</v>
      </c>
      <c r="R185">
        <v>5</v>
      </c>
      <c r="S185">
        <v>2</v>
      </c>
      <c r="T185">
        <v>3</v>
      </c>
      <c r="U185">
        <v>2</v>
      </c>
    </row>
    <row r="186" spans="1:21" x14ac:dyDescent="0.35">
      <c r="A186">
        <v>53</v>
      </c>
      <c r="B186" t="str" cm="1">
        <f t="array" ref="B186">_xlfn.IFS(A186&gt;40,"Senior",A186&gt;30,"Adult",A186&gt;=18,"Teenager")</f>
        <v>Senior</v>
      </c>
      <c r="C186" t="s">
        <v>22</v>
      </c>
      <c r="D186">
        <f t="shared" si="2"/>
        <v>0</v>
      </c>
      <c r="E186" t="s">
        <v>23</v>
      </c>
      <c r="F186">
        <v>4</v>
      </c>
      <c r="G186" t="s">
        <v>20</v>
      </c>
      <c r="H186">
        <v>4</v>
      </c>
      <c r="I186">
        <v>2</v>
      </c>
      <c r="J186" t="s">
        <v>27</v>
      </c>
      <c r="K186">
        <v>1</v>
      </c>
      <c r="L186">
        <v>4450</v>
      </c>
      <c r="M186" t="str" cm="1">
        <f t="array" ref="M186">_xlfn.IFS(L186&lt;= 7000,"Low",L186&lt;=15000,"Medium",L186&lt;=20000,"High")</f>
        <v>Low</v>
      </c>
      <c r="N186" t="s">
        <v>22</v>
      </c>
      <c r="O186">
        <v>11</v>
      </c>
      <c r="P186">
        <v>3</v>
      </c>
      <c r="Q186">
        <v>3</v>
      </c>
      <c r="R186">
        <v>5</v>
      </c>
      <c r="S186">
        <v>3</v>
      </c>
      <c r="T186">
        <v>4</v>
      </c>
      <c r="U186">
        <v>2</v>
      </c>
    </row>
    <row r="187" spans="1:21" x14ac:dyDescent="0.35">
      <c r="A187">
        <v>33</v>
      </c>
      <c r="B187" t="str" cm="1">
        <f t="array" ref="B187">_xlfn.IFS(A187&gt;40,"Senior",A187&gt;30,"Adult",A187&gt;=18,"Teenager")</f>
        <v>Adult</v>
      </c>
      <c r="C187" t="s">
        <v>22</v>
      </c>
      <c r="D187">
        <f t="shared" si="2"/>
        <v>0</v>
      </c>
      <c r="E187" t="s">
        <v>23</v>
      </c>
      <c r="F187">
        <v>4</v>
      </c>
      <c r="G187" t="s">
        <v>20</v>
      </c>
      <c r="H187">
        <v>3</v>
      </c>
      <c r="I187">
        <v>1</v>
      </c>
      <c r="J187" t="s">
        <v>25</v>
      </c>
      <c r="K187">
        <v>2</v>
      </c>
      <c r="L187">
        <v>2756</v>
      </c>
      <c r="M187" t="str" cm="1">
        <f t="array" ref="M187">_xlfn.IFS(L187&lt;= 7000,"Low",L187&lt;=15000,"Medium",L187&lt;=20000,"High")</f>
        <v>Low</v>
      </c>
      <c r="N187" t="s">
        <v>22</v>
      </c>
      <c r="O187">
        <v>13</v>
      </c>
      <c r="P187">
        <v>3</v>
      </c>
      <c r="Q187">
        <v>4</v>
      </c>
      <c r="R187">
        <v>8</v>
      </c>
      <c r="S187">
        <v>3</v>
      </c>
      <c r="T187">
        <v>8</v>
      </c>
      <c r="U187">
        <v>7</v>
      </c>
    </row>
    <row r="188" spans="1:21" x14ac:dyDescent="0.35">
      <c r="A188">
        <v>40</v>
      </c>
      <c r="B188" t="str" cm="1">
        <f t="array" ref="B188">_xlfn.IFS(A188&gt;40,"Senior",A188&gt;30,"Adult",A188&gt;=18,"Teenager")</f>
        <v>Adult</v>
      </c>
      <c r="C188" t="s">
        <v>22</v>
      </c>
      <c r="D188">
        <f t="shared" si="2"/>
        <v>0</v>
      </c>
      <c r="E188" t="s">
        <v>23</v>
      </c>
      <c r="F188">
        <v>4</v>
      </c>
      <c r="G188" t="s">
        <v>20</v>
      </c>
      <c r="H188">
        <v>3</v>
      </c>
      <c r="I188">
        <v>5</v>
      </c>
      <c r="J188" t="s">
        <v>29</v>
      </c>
      <c r="K188">
        <v>3</v>
      </c>
      <c r="L188">
        <v>19033</v>
      </c>
      <c r="M188" t="str" cm="1">
        <f t="array" ref="M188">_xlfn.IFS(L188&lt;= 7000,"Low",L188&lt;=15000,"Medium",L188&lt;=20000,"High")</f>
        <v>High</v>
      </c>
      <c r="N188" t="s">
        <v>22</v>
      </c>
      <c r="O188">
        <v>14</v>
      </c>
      <c r="P188">
        <v>3</v>
      </c>
      <c r="Q188">
        <v>2</v>
      </c>
      <c r="R188">
        <v>21</v>
      </c>
      <c r="S188">
        <v>3</v>
      </c>
      <c r="T188">
        <v>20</v>
      </c>
      <c r="U188">
        <v>8</v>
      </c>
    </row>
    <row r="189" spans="1:21" x14ac:dyDescent="0.35">
      <c r="A189">
        <v>55</v>
      </c>
      <c r="B189" t="str" cm="1">
        <f t="array" ref="B189">_xlfn.IFS(A189&gt;40,"Senior",A189&gt;30,"Adult",A189&gt;=18,"Teenager")</f>
        <v>Senior</v>
      </c>
      <c r="C189" t="s">
        <v>22</v>
      </c>
      <c r="D189">
        <f t="shared" si="2"/>
        <v>0</v>
      </c>
      <c r="E189" t="s">
        <v>23</v>
      </c>
      <c r="F189">
        <v>3</v>
      </c>
      <c r="G189" t="s">
        <v>24</v>
      </c>
      <c r="H189">
        <v>4</v>
      </c>
      <c r="I189">
        <v>5</v>
      </c>
      <c r="J189" t="s">
        <v>31</v>
      </c>
      <c r="K189">
        <v>2</v>
      </c>
      <c r="L189">
        <v>18722</v>
      </c>
      <c r="M189" t="str" cm="1">
        <f t="array" ref="M189">_xlfn.IFS(L189&lt;= 7000,"Low",L189&lt;=15000,"Medium",L189&lt;=20000,"High")</f>
        <v>High</v>
      </c>
      <c r="N189" t="s">
        <v>22</v>
      </c>
      <c r="O189">
        <v>11</v>
      </c>
      <c r="P189">
        <v>3</v>
      </c>
      <c r="Q189">
        <v>4</v>
      </c>
      <c r="R189">
        <v>36</v>
      </c>
      <c r="S189">
        <v>3</v>
      </c>
      <c r="T189">
        <v>24</v>
      </c>
      <c r="U189">
        <v>15</v>
      </c>
    </row>
    <row r="190" spans="1:21" x14ac:dyDescent="0.35">
      <c r="A190">
        <v>34</v>
      </c>
      <c r="B190" t="str" cm="1">
        <f t="array" ref="B190">_xlfn.IFS(A190&gt;40,"Senior",A190&gt;30,"Adult",A190&gt;=18,"Teenager")</f>
        <v>Adult</v>
      </c>
      <c r="C190" t="s">
        <v>22</v>
      </c>
      <c r="D190">
        <f t="shared" si="2"/>
        <v>0</v>
      </c>
      <c r="E190" t="s">
        <v>23</v>
      </c>
      <c r="F190">
        <v>4</v>
      </c>
      <c r="G190" t="s">
        <v>24</v>
      </c>
      <c r="H190">
        <v>2</v>
      </c>
      <c r="I190">
        <v>2</v>
      </c>
      <c r="J190" t="s">
        <v>27</v>
      </c>
      <c r="K190">
        <v>3</v>
      </c>
      <c r="L190">
        <v>9547</v>
      </c>
      <c r="M190" t="str" cm="1">
        <f t="array" ref="M190">_xlfn.IFS(L190&lt;= 7000,"Low",L190&lt;=15000,"Medium",L190&lt;=20000,"High")</f>
        <v>Medium</v>
      </c>
      <c r="N190" t="s">
        <v>22</v>
      </c>
      <c r="O190">
        <v>17</v>
      </c>
      <c r="P190">
        <v>3</v>
      </c>
      <c r="Q190">
        <v>3</v>
      </c>
      <c r="R190">
        <v>10</v>
      </c>
      <c r="S190">
        <v>2</v>
      </c>
      <c r="T190">
        <v>10</v>
      </c>
      <c r="U190">
        <v>9</v>
      </c>
    </row>
    <row r="191" spans="1:21" x14ac:dyDescent="0.35">
      <c r="A191">
        <v>51</v>
      </c>
      <c r="B191" t="str" cm="1">
        <f t="array" ref="B191">_xlfn.IFS(A191&gt;40,"Senior",A191&gt;30,"Adult",A191&gt;=18,"Teenager")</f>
        <v>Senior</v>
      </c>
      <c r="C191" t="s">
        <v>22</v>
      </c>
      <c r="D191">
        <f t="shared" si="2"/>
        <v>0</v>
      </c>
      <c r="E191" t="s">
        <v>23</v>
      </c>
      <c r="F191">
        <v>4</v>
      </c>
      <c r="G191" t="s">
        <v>20</v>
      </c>
      <c r="H191">
        <v>3</v>
      </c>
      <c r="I191">
        <v>4</v>
      </c>
      <c r="J191" t="s">
        <v>28</v>
      </c>
      <c r="K191">
        <v>2</v>
      </c>
      <c r="L191">
        <v>13734</v>
      </c>
      <c r="M191" t="str" cm="1">
        <f t="array" ref="M191">_xlfn.IFS(L191&lt;= 7000,"Low",L191&lt;=15000,"Medium",L191&lt;=20000,"High")</f>
        <v>Medium</v>
      </c>
      <c r="N191" t="s">
        <v>22</v>
      </c>
      <c r="O191">
        <v>18</v>
      </c>
      <c r="P191">
        <v>3</v>
      </c>
      <c r="Q191">
        <v>3</v>
      </c>
      <c r="R191">
        <v>21</v>
      </c>
      <c r="S191">
        <v>3</v>
      </c>
      <c r="T191">
        <v>7</v>
      </c>
      <c r="U191">
        <v>7</v>
      </c>
    </row>
    <row r="192" spans="1:21" x14ac:dyDescent="0.35">
      <c r="A192">
        <v>52</v>
      </c>
      <c r="B192" t="str" cm="1">
        <f t="array" ref="B192">_xlfn.IFS(A192&gt;40,"Senior",A192&gt;30,"Adult",A192&gt;=18,"Teenager")</f>
        <v>Senior</v>
      </c>
      <c r="C192" t="s">
        <v>22</v>
      </c>
      <c r="D192">
        <f t="shared" si="2"/>
        <v>0</v>
      </c>
      <c r="E192" t="s">
        <v>23</v>
      </c>
      <c r="F192">
        <v>3</v>
      </c>
      <c r="G192" t="s">
        <v>24</v>
      </c>
      <c r="H192">
        <v>2</v>
      </c>
      <c r="I192">
        <v>5</v>
      </c>
      <c r="J192" t="s">
        <v>29</v>
      </c>
      <c r="K192">
        <v>3</v>
      </c>
      <c r="L192">
        <v>19999</v>
      </c>
      <c r="M192" t="str" cm="1">
        <f t="array" ref="M192">_xlfn.IFS(L192&lt;= 7000,"Low",L192&lt;=15000,"Medium",L192&lt;=20000,"High")</f>
        <v>High</v>
      </c>
      <c r="N192" t="s">
        <v>22</v>
      </c>
      <c r="O192">
        <v>14</v>
      </c>
      <c r="P192">
        <v>3</v>
      </c>
      <c r="Q192">
        <v>1</v>
      </c>
      <c r="R192">
        <v>34</v>
      </c>
      <c r="S192">
        <v>3</v>
      </c>
      <c r="T192">
        <v>33</v>
      </c>
      <c r="U192">
        <v>18</v>
      </c>
    </row>
    <row r="193" spans="1:21" x14ac:dyDescent="0.35">
      <c r="A193">
        <v>27</v>
      </c>
      <c r="B193" t="str" cm="1">
        <f t="array" ref="B193">_xlfn.IFS(A193&gt;40,"Senior",A193&gt;30,"Adult",A193&gt;=18,"Teenager")</f>
        <v>Teenager</v>
      </c>
      <c r="C193" t="s">
        <v>22</v>
      </c>
      <c r="D193">
        <f t="shared" si="2"/>
        <v>0</v>
      </c>
      <c r="E193" t="s">
        <v>23</v>
      </c>
      <c r="F193">
        <v>4</v>
      </c>
      <c r="G193" t="s">
        <v>20</v>
      </c>
      <c r="H193">
        <v>3</v>
      </c>
      <c r="I193">
        <v>1</v>
      </c>
      <c r="J193" t="s">
        <v>25</v>
      </c>
      <c r="K193">
        <v>2</v>
      </c>
      <c r="L193">
        <v>2279</v>
      </c>
      <c r="M193" t="str" cm="1">
        <f t="array" ref="M193">_xlfn.IFS(L193&lt;= 7000,"Low",L193&lt;=15000,"Medium",L193&lt;=20000,"High")</f>
        <v>Low</v>
      </c>
      <c r="N193" t="s">
        <v>22</v>
      </c>
      <c r="O193">
        <v>16</v>
      </c>
      <c r="P193">
        <v>3</v>
      </c>
      <c r="Q193">
        <v>4</v>
      </c>
      <c r="R193">
        <v>7</v>
      </c>
      <c r="S193">
        <v>2</v>
      </c>
      <c r="T193">
        <v>7</v>
      </c>
      <c r="U193">
        <v>7</v>
      </c>
    </row>
    <row r="194" spans="1:21" x14ac:dyDescent="0.35">
      <c r="A194">
        <v>35</v>
      </c>
      <c r="B194" t="str" cm="1">
        <f t="array" ref="B194">_xlfn.IFS(A194&gt;40,"Senior",A194&gt;30,"Adult",A194&gt;=18,"Teenager")</f>
        <v>Adult</v>
      </c>
      <c r="C194" t="s">
        <v>18</v>
      </c>
      <c r="D194">
        <f t="shared" si="2"/>
        <v>1</v>
      </c>
      <c r="E194" t="s">
        <v>23</v>
      </c>
      <c r="F194">
        <v>2</v>
      </c>
      <c r="G194" t="s">
        <v>24</v>
      </c>
      <c r="H194">
        <v>2</v>
      </c>
      <c r="I194">
        <v>2</v>
      </c>
      <c r="J194" t="s">
        <v>27</v>
      </c>
      <c r="K194">
        <v>3</v>
      </c>
      <c r="L194">
        <v>5916</v>
      </c>
      <c r="M194" t="str" cm="1">
        <f t="array" ref="M194">_xlfn.IFS(L194&lt;= 7000,"Low",L194&lt;=15000,"Medium",L194&lt;=20000,"High")</f>
        <v>Low</v>
      </c>
      <c r="N194" t="s">
        <v>18</v>
      </c>
      <c r="O194">
        <v>13</v>
      </c>
      <c r="P194">
        <v>3</v>
      </c>
      <c r="Q194">
        <v>1</v>
      </c>
      <c r="R194">
        <v>8</v>
      </c>
      <c r="S194">
        <v>3</v>
      </c>
      <c r="T194">
        <v>1</v>
      </c>
      <c r="U194">
        <v>0</v>
      </c>
    </row>
    <row r="195" spans="1:21" x14ac:dyDescent="0.35">
      <c r="A195">
        <v>43</v>
      </c>
      <c r="B195" t="str" cm="1">
        <f t="array" ref="B195">_xlfn.IFS(A195&gt;40,"Senior",A195&gt;30,"Adult",A195&gt;=18,"Teenager")</f>
        <v>Senior</v>
      </c>
      <c r="C195" t="s">
        <v>22</v>
      </c>
      <c r="D195">
        <f t="shared" ref="D195:D258" si="3">IF(C195="Yes",1,0)</f>
        <v>0</v>
      </c>
      <c r="E195" t="s">
        <v>23</v>
      </c>
      <c r="F195">
        <v>4</v>
      </c>
      <c r="G195" t="s">
        <v>24</v>
      </c>
      <c r="H195">
        <v>4</v>
      </c>
      <c r="I195">
        <v>1</v>
      </c>
      <c r="J195" t="s">
        <v>25</v>
      </c>
      <c r="K195">
        <v>4</v>
      </c>
      <c r="L195">
        <v>2089</v>
      </c>
      <c r="M195" t="str" cm="1">
        <f t="array" ref="M195">_xlfn.IFS(L195&lt;= 7000,"Low",L195&lt;=15000,"Medium",L195&lt;=20000,"High")</f>
        <v>Low</v>
      </c>
      <c r="N195" t="s">
        <v>22</v>
      </c>
      <c r="O195">
        <v>14</v>
      </c>
      <c r="P195">
        <v>3</v>
      </c>
      <c r="Q195">
        <v>4</v>
      </c>
      <c r="R195">
        <v>7</v>
      </c>
      <c r="S195">
        <v>4</v>
      </c>
      <c r="T195">
        <v>5</v>
      </c>
      <c r="U195">
        <v>4</v>
      </c>
    </row>
    <row r="196" spans="1:21" x14ac:dyDescent="0.35">
      <c r="A196">
        <v>45</v>
      </c>
      <c r="B196" t="str" cm="1">
        <f t="array" ref="B196">_xlfn.IFS(A196&gt;40,"Senior",A196&gt;30,"Adult",A196&gt;=18,"Teenager")</f>
        <v>Senior</v>
      </c>
      <c r="C196" t="s">
        <v>22</v>
      </c>
      <c r="D196">
        <f t="shared" si="3"/>
        <v>0</v>
      </c>
      <c r="E196" t="s">
        <v>23</v>
      </c>
      <c r="F196">
        <v>1</v>
      </c>
      <c r="G196" t="s">
        <v>24</v>
      </c>
      <c r="H196">
        <v>2</v>
      </c>
      <c r="I196">
        <v>4</v>
      </c>
      <c r="J196" t="s">
        <v>29</v>
      </c>
      <c r="K196">
        <v>4</v>
      </c>
      <c r="L196">
        <v>16792</v>
      </c>
      <c r="M196" t="str" cm="1">
        <f t="array" ref="M196">_xlfn.IFS(L196&lt;= 7000,"Low",L196&lt;=15000,"Medium",L196&lt;=20000,"High")</f>
        <v>High</v>
      </c>
      <c r="N196" t="s">
        <v>22</v>
      </c>
      <c r="O196">
        <v>23</v>
      </c>
      <c r="P196">
        <v>4</v>
      </c>
      <c r="Q196">
        <v>4</v>
      </c>
      <c r="R196">
        <v>22</v>
      </c>
      <c r="S196">
        <v>3</v>
      </c>
      <c r="T196">
        <v>20</v>
      </c>
      <c r="U196">
        <v>8</v>
      </c>
    </row>
    <row r="197" spans="1:21" x14ac:dyDescent="0.35">
      <c r="A197">
        <v>37</v>
      </c>
      <c r="B197" t="str" cm="1">
        <f t="array" ref="B197">_xlfn.IFS(A197&gt;40,"Senior",A197&gt;30,"Adult",A197&gt;=18,"Teenager")</f>
        <v>Adult</v>
      </c>
      <c r="C197" t="s">
        <v>22</v>
      </c>
      <c r="D197">
        <f t="shared" si="3"/>
        <v>0</v>
      </c>
      <c r="E197" t="s">
        <v>23</v>
      </c>
      <c r="F197">
        <v>2</v>
      </c>
      <c r="G197" t="s">
        <v>24</v>
      </c>
      <c r="H197">
        <v>4</v>
      </c>
      <c r="I197">
        <v>1</v>
      </c>
      <c r="J197" t="s">
        <v>25</v>
      </c>
      <c r="K197">
        <v>1</v>
      </c>
      <c r="L197">
        <v>3564</v>
      </c>
      <c r="M197" t="str" cm="1">
        <f t="array" ref="M197">_xlfn.IFS(L197&lt;= 7000,"Low",L197&lt;=15000,"Medium",L197&lt;=20000,"High")</f>
        <v>Low</v>
      </c>
      <c r="N197" t="s">
        <v>18</v>
      </c>
      <c r="O197">
        <v>12</v>
      </c>
      <c r="P197">
        <v>3</v>
      </c>
      <c r="Q197">
        <v>1</v>
      </c>
      <c r="R197">
        <v>8</v>
      </c>
      <c r="S197">
        <v>2</v>
      </c>
      <c r="T197">
        <v>8</v>
      </c>
      <c r="U197">
        <v>7</v>
      </c>
    </row>
    <row r="198" spans="1:21" x14ac:dyDescent="0.35">
      <c r="A198">
        <v>35</v>
      </c>
      <c r="B198" t="str" cm="1">
        <f t="array" ref="B198">_xlfn.IFS(A198&gt;40,"Senior",A198&gt;30,"Adult",A198&gt;=18,"Teenager")</f>
        <v>Adult</v>
      </c>
      <c r="C198" t="s">
        <v>22</v>
      </c>
      <c r="D198">
        <f t="shared" si="3"/>
        <v>0</v>
      </c>
      <c r="E198" t="s">
        <v>23</v>
      </c>
      <c r="F198">
        <v>2</v>
      </c>
      <c r="G198" t="s">
        <v>20</v>
      </c>
      <c r="H198">
        <v>3</v>
      </c>
      <c r="I198">
        <v>2</v>
      </c>
      <c r="J198" t="s">
        <v>26</v>
      </c>
      <c r="K198">
        <v>2</v>
      </c>
      <c r="L198">
        <v>4425</v>
      </c>
      <c r="M198" t="str" cm="1">
        <f t="array" ref="M198">_xlfn.IFS(L198&lt;= 7000,"Low",L198&lt;=15000,"Medium",L198&lt;=20000,"High")</f>
        <v>Low</v>
      </c>
      <c r="N198" t="s">
        <v>22</v>
      </c>
      <c r="O198">
        <v>11</v>
      </c>
      <c r="P198">
        <v>3</v>
      </c>
      <c r="Q198">
        <v>4</v>
      </c>
      <c r="R198">
        <v>10</v>
      </c>
      <c r="S198">
        <v>3</v>
      </c>
      <c r="T198">
        <v>6</v>
      </c>
      <c r="U198">
        <v>2</v>
      </c>
    </row>
    <row r="199" spans="1:21" x14ac:dyDescent="0.35">
      <c r="A199">
        <v>42</v>
      </c>
      <c r="B199" t="str" cm="1">
        <f t="array" ref="B199">_xlfn.IFS(A199&gt;40,"Senior",A199&gt;30,"Adult",A199&gt;=18,"Teenager")</f>
        <v>Senior</v>
      </c>
      <c r="C199" t="s">
        <v>22</v>
      </c>
      <c r="D199">
        <f t="shared" si="3"/>
        <v>0</v>
      </c>
      <c r="E199" t="s">
        <v>23</v>
      </c>
      <c r="F199">
        <v>3</v>
      </c>
      <c r="G199" t="s">
        <v>20</v>
      </c>
      <c r="H199">
        <v>3</v>
      </c>
      <c r="I199">
        <v>2</v>
      </c>
      <c r="J199" t="s">
        <v>27</v>
      </c>
      <c r="K199">
        <v>3</v>
      </c>
      <c r="L199">
        <v>5265</v>
      </c>
      <c r="M199" t="str" cm="1">
        <f t="array" ref="M199">_xlfn.IFS(L199&lt;= 7000,"Low",L199&lt;=15000,"Medium",L199&lt;=20000,"High")</f>
        <v>Low</v>
      </c>
      <c r="N199" t="s">
        <v>22</v>
      </c>
      <c r="O199">
        <v>16</v>
      </c>
      <c r="P199">
        <v>3</v>
      </c>
      <c r="Q199">
        <v>2</v>
      </c>
      <c r="R199">
        <v>11</v>
      </c>
      <c r="S199">
        <v>3</v>
      </c>
      <c r="T199">
        <v>5</v>
      </c>
      <c r="U199">
        <v>3</v>
      </c>
    </row>
    <row r="200" spans="1:21" x14ac:dyDescent="0.35">
      <c r="A200">
        <v>38</v>
      </c>
      <c r="B200" t="str" cm="1">
        <f t="array" ref="B200">_xlfn.IFS(A200&gt;40,"Senior",A200&gt;30,"Adult",A200&gt;=18,"Teenager")</f>
        <v>Adult</v>
      </c>
      <c r="C200" t="s">
        <v>22</v>
      </c>
      <c r="D200">
        <f t="shared" si="3"/>
        <v>0</v>
      </c>
      <c r="E200" t="s">
        <v>23</v>
      </c>
      <c r="F200">
        <v>4</v>
      </c>
      <c r="G200" t="s">
        <v>24</v>
      </c>
      <c r="H200">
        <v>3</v>
      </c>
      <c r="I200">
        <v>2</v>
      </c>
      <c r="J200" t="s">
        <v>27</v>
      </c>
      <c r="K200">
        <v>3</v>
      </c>
      <c r="L200">
        <v>6553</v>
      </c>
      <c r="M200" t="str" cm="1">
        <f t="array" ref="M200">_xlfn.IFS(L200&lt;= 7000,"Low",L200&lt;=15000,"Medium",L200&lt;=20000,"High")</f>
        <v>Low</v>
      </c>
      <c r="N200" t="s">
        <v>22</v>
      </c>
      <c r="O200">
        <v>14</v>
      </c>
      <c r="P200">
        <v>3</v>
      </c>
      <c r="Q200">
        <v>2</v>
      </c>
      <c r="R200">
        <v>14</v>
      </c>
      <c r="S200">
        <v>3</v>
      </c>
      <c r="T200">
        <v>1</v>
      </c>
      <c r="U200">
        <v>0</v>
      </c>
    </row>
    <row r="201" spans="1:21" x14ac:dyDescent="0.35">
      <c r="A201">
        <v>38</v>
      </c>
      <c r="B201" t="str" cm="1">
        <f t="array" ref="B201">_xlfn.IFS(A201&gt;40,"Senior",A201&gt;30,"Adult",A201&gt;=18,"Teenager")</f>
        <v>Adult</v>
      </c>
      <c r="C201" t="s">
        <v>22</v>
      </c>
      <c r="D201">
        <f t="shared" si="3"/>
        <v>0</v>
      </c>
      <c r="E201" t="s">
        <v>23</v>
      </c>
      <c r="F201">
        <v>4</v>
      </c>
      <c r="G201" t="s">
        <v>24</v>
      </c>
      <c r="H201">
        <v>3</v>
      </c>
      <c r="I201">
        <v>2</v>
      </c>
      <c r="J201" t="s">
        <v>27</v>
      </c>
      <c r="K201">
        <v>4</v>
      </c>
      <c r="L201">
        <v>6261</v>
      </c>
      <c r="M201" t="str" cm="1">
        <f t="array" ref="M201">_xlfn.IFS(L201&lt;= 7000,"Low",L201&lt;=15000,"Medium",L201&lt;=20000,"High")</f>
        <v>Low</v>
      </c>
      <c r="N201" t="s">
        <v>22</v>
      </c>
      <c r="O201">
        <v>18</v>
      </c>
      <c r="P201">
        <v>3</v>
      </c>
      <c r="Q201">
        <v>1</v>
      </c>
      <c r="R201">
        <v>9</v>
      </c>
      <c r="S201">
        <v>1</v>
      </c>
      <c r="T201">
        <v>7</v>
      </c>
      <c r="U201">
        <v>7</v>
      </c>
    </row>
    <row r="202" spans="1:21" x14ac:dyDescent="0.35">
      <c r="A202">
        <v>27</v>
      </c>
      <c r="B202" t="str" cm="1">
        <f t="array" ref="B202">_xlfn.IFS(A202&gt;40,"Senior",A202&gt;30,"Adult",A202&gt;=18,"Teenager")</f>
        <v>Teenager</v>
      </c>
      <c r="C202" t="s">
        <v>22</v>
      </c>
      <c r="D202">
        <f t="shared" si="3"/>
        <v>0</v>
      </c>
      <c r="E202" t="s">
        <v>23</v>
      </c>
      <c r="F202">
        <v>3</v>
      </c>
      <c r="G202" t="s">
        <v>24</v>
      </c>
      <c r="H202">
        <v>2</v>
      </c>
      <c r="I202">
        <v>2</v>
      </c>
      <c r="J202" t="s">
        <v>27</v>
      </c>
      <c r="K202">
        <v>1</v>
      </c>
      <c r="L202">
        <v>4298</v>
      </c>
      <c r="M202" t="str" cm="1">
        <f t="array" ref="M202">_xlfn.IFS(L202&lt;= 7000,"Low",L202&lt;=15000,"Medium",L202&lt;=20000,"High")</f>
        <v>Low</v>
      </c>
      <c r="N202" t="s">
        <v>22</v>
      </c>
      <c r="O202">
        <v>19</v>
      </c>
      <c r="P202">
        <v>3</v>
      </c>
      <c r="Q202">
        <v>3</v>
      </c>
      <c r="R202">
        <v>6</v>
      </c>
      <c r="S202">
        <v>3</v>
      </c>
      <c r="T202">
        <v>2</v>
      </c>
      <c r="U202">
        <v>2</v>
      </c>
    </row>
    <row r="203" spans="1:21" x14ac:dyDescent="0.35">
      <c r="A203">
        <v>49</v>
      </c>
      <c r="B203" t="str" cm="1">
        <f t="array" ref="B203">_xlfn.IFS(A203&gt;40,"Senior",A203&gt;30,"Adult",A203&gt;=18,"Teenager")</f>
        <v>Senior</v>
      </c>
      <c r="C203" t="s">
        <v>22</v>
      </c>
      <c r="D203">
        <f t="shared" si="3"/>
        <v>0</v>
      </c>
      <c r="E203" t="s">
        <v>23</v>
      </c>
      <c r="F203">
        <v>4</v>
      </c>
      <c r="G203" t="s">
        <v>24</v>
      </c>
      <c r="H203">
        <v>3</v>
      </c>
      <c r="I203">
        <v>2</v>
      </c>
      <c r="J203" t="s">
        <v>27</v>
      </c>
      <c r="K203">
        <v>4</v>
      </c>
      <c r="L203">
        <v>6804</v>
      </c>
      <c r="M203" t="str" cm="1">
        <f t="array" ref="M203">_xlfn.IFS(L203&lt;= 7000,"Low",L203&lt;=15000,"Medium",L203&lt;=20000,"High")</f>
        <v>Low</v>
      </c>
      <c r="N203" t="s">
        <v>18</v>
      </c>
      <c r="O203">
        <v>15</v>
      </c>
      <c r="P203">
        <v>3</v>
      </c>
      <c r="Q203">
        <v>1</v>
      </c>
      <c r="R203">
        <v>7</v>
      </c>
      <c r="S203">
        <v>3</v>
      </c>
      <c r="T203">
        <v>7</v>
      </c>
      <c r="U203">
        <v>7</v>
      </c>
    </row>
    <row r="204" spans="1:21" x14ac:dyDescent="0.35">
      <c r="A204">
        <v>34</v>
      </c>
      <c r="B204" t="str" cm="1">
        <f t="array" ref="B204">_xlfn.IFS(A204&gt;40,"Senior",A204&gt;30,"Adult",A204&gt;=18,"Teenager")</f>
        <v>Adult</v>
      </c>
      <c r="C204" t="s">
        <v>22</v>
      </c>
      <c r="D204">
        <f t="shared" si="3"/>
        <v>0</v>
      </c>
      <c r="E204" t="s">
        <v>23</v>
      </c>
      <c r="F204">
        <v>4</v>
      </c>
      <c r="G204" t="s">
        <v>24</v>
      </c>
      <c r="H204">
        <v>3</v>
      </c>
      <c r="I204">
        <v>1</v>
      </c>
      <c r="J204" t="s">
        <v>25</v>
      </c>
      <c r="K204">
        <v>3</v>
      </c>
      <c r="L204">
        <v>3815</v>
      </c>
      <c r="M204" t="str" cm="1">
        <f t="array" ref="M204">_xlfn.IFS(L204&lt;= 7000,"Low",L204&lt;=15000,"Medium",L204&lt;=20000,"High")</f>
        <v>Low</v>
      </c>
      <c r="N204" t="s">
        <v>18</v>
      </c>
      <c r="O204">
        <v>17</v>
      </c>
      <c r="P204">
        <v>3</v>
      </c>
      <c r="Q204">
        <v>4</v>
      </c>
      <c r="R204">
        <v>5</v>
      </c>
      <c r="S204">
        <v>4</v>
      </c>
      <c r="T204">
        <v>5</v>
      </c>
      <c r="U204">
        <v>3</v>
      </c>
    </row>
    <row r="205" spans="1:21" x14ac:dyDescent="0.35">
      <c r="A205">
        <v>40</v>
      </c>
      <c r="B205" t="str" cm="1">
        <f t="array" ref="B205">_xlfn.IFS(A205&gt;40,"Senior",A205&gt;30,"Adult",A205&gt;=18,"Teenager")</f>
        <v>Adult</v>
      </c>
      <c r="C205" t="s">
        <v>22</v>
      </c>
      <c r="D205">
        <f t="shared" si="3"/>
        <v>0</v>
      </c>
      <c r="E205" t="s">
        <v>23</v>
      </c>
      <c r="F205">
        <v>3</v>
      </c>
      <c r="G205" t="s">
        <v>24</v>
      </c>
      <c r="H205">
        <v>3</v>
      </c>
      <c r="I205">
        <v>2</v>
      </c>
      <c r="J205" t="s">
        <v>26</v>
      </c>
      <c r="K205">
        <v>4</v>
      </c>
      <c r="L205">
        <v>2741</v>
      </c>
      <c r="M205" t="str" cm="1">
        <f t="array" ref="M205">_xlfn.IFS(L205&lt;= 7000,"Low",L205&lt;=15000,"Medium",L205&lt;=20000,"High")</f>
        <v>Low</v>
      </c>
      <c r="N205" t="s">
        <v>18</v>
      </c>
      <c r="O205">
        <v>15</v>
      </c>
      <c r="P205">
        <v>3</v>
      </c>
      <c r="Q205">
        <v>3</v>
      </c>
      <c r="R205">
        <v>15</v>
      </c>
      <c r="S205">
        <v>4</v>
      </c>
      <c r="T205">
        <v>7</v>
      </c>
      <c r="U205">
        <v>2</v>
      </c>
    </row>
    <row r="206" spans="1:21" x14ac:dyDescent="0.35">
      <c r="A206">
        <v>38</v>
      </c>
      <c r="B206" t="str" cm="1">
        <f t="array" ref="B206">_xlfn.IFS(A206&gt;40,"Senior",A206&gt;30,"Adult",A206&gt;=18,"Teenager")</f>
        <v>Adult</v>
      </c>
      <c r="C206" t="s">
        <v>18</v>
      </c>
      <c r="D206">
        <f t="shared" si="3"/>
        <v>1</v>
      </c>
      <c r="E206" t="s">
        <v>23</v>
      </c>
      <c r="F206">
        <v>2</v>
      </c>
      <c r="G206" t="s">
        <v>24</v>
      </c>
      <c r="H206">
        <v>3</v>
      </c>
      <c r="I206">
        <v>2</v>
      </c>
      <c r="J206" t="s">
        <v>28</v>
      </c>
      <c r="K206">
        <v>1</v>
      </c>
      <c r="L206">
        <v>6673</v>
      </c>
      <c r="M206" t="str" cm="1">
        <f t="array" ref="M206">_xlfn.IFS(L206&lt;= 7000,"Low",L206&lt;=15000,"Medium",L206&lt;=20000,"High")</f>
        <v>Low</v>
      </c>
      <c r="N206" t="s">
        <v>18</v>
      </c>
      <c r="O206">
        <v>19</v>
      </c>
      <c r="P206">
        <v>3</v>
      </c>
      <c r="Q206">
        <v>2</v>
      </c>
      <c r="R206">
        <v>17</v>
      </c>
      <c r="S206">
        <v>3</v>
      </c>
      <c r="T206">
        <v>1</v>
      </c>
      <c r="U206">
        <v>0</v>
      </c>
    </row>
    <row r="207" spans="1:21" x14ac:dyDescent="0.35">
      <c r="A207">
        <v>29</v>
      </c>
      <c r="B207" t="str" cm="1">
        <f t="array" ref="B207">_xlfn.IFS(A207&gt;40,"Senior",A207&gt;30,"Adult",A207&gt;=18,"Teenager")</f>
        <v>Teenager</v>
      </c>
      <c r="C207" t="s">
        <v>18</v>
      </c>
      <c r="D207">
        <f t="shared" si="3"/>
        <v>1</v>
      </c>
      <c r="E207" t="s">
        <v>19</v>
      </c>
      <c r="F207">
        <v>2</v>
      </c>
      <c r="G207" t="s">
        <v>20</v>
      </c>
      <c r="H207">
        <v>3</v>
      </c>
      <c r="I207">
        <v>3</v>
      </c>
      <c r="J207" t="s">
        <v>21</v>
      </c>
      <c r="K207">
        <v>4</v>
      </c>
      <c r="L207">
        <v>7639</v>
      </c>
      <c r="M207" t="str" cm="1">
        <f t="array" ref="M207">_xlfn.IFS(L207&lt;= 7000,"Low",L207&lt;=15000,"Medium",L207&lt;=20000,"High")</f>
        <v>Medium</v>
      </c>
      <c r="N207" t="s">
        <v>22</v>
      </c>
      <c r="O207">
        <v>22</v>
      </c>
      <c r="P207">
        <v>4</v>
      </c>
      <c r="Q207">
        <v>4</v>
      </c>
      <c r="R207">
        <v>10</v>
      </c>
      <c r="S207">
        <v>2</v>
      </c>
      <c r="T207">
        <v>10</v>
      </c>
      <c r="U207">
        <v>4</v>
      </c>
    </row>
    <row r="208" spans="1:21" x14ac:dyDescent="0.35">
      <c r="A208">
        <v>22</v>
      </c>
      <c r="B208" t="str" cm="1">
        <f t="array" ref="B208">_xlfn.IFS(A208&gt;40,"Senior",A208&gt;30,"Adult",A208&gt;=18,"Teenager")</f>
        <v>Teenager</v>
      </c>
      <c r="C208" t="s">
        <v>22</v>
      </c>
      <c r="D208">
        <f t="shared" si="3"/>
        <v>0</v>
      </c>
      <c r="E208" t="s">
        <v>23</v>
      </c>
      <c r="F208">
        <v>4</v>
      </c>
      <c r="G208" t="s">
        <v>24</v>
      </c>
      <c r="H208">
        <v>4</v>
      </c>
      <c r="I208">
        <v>1</v>
      </c>
      <c r="J208" t="s">
        <v>25</v>
      </c>
      <c r="K208">
        <v>2</v>
      </c>
      <c r="L208">
        <v>2328</v>
      </c>
      <c r="M208" t="str" cm="1">
        <f t="array" ref="M208">_xlfn.IFS(L208&lt;= 7000,"Low",L208&lt;=15000,"Medium",L208&lt;=20000,"High")</f>
        <v>Low</v>
      </c>
      <c r="N208" t="s">
        <v>18</v>
      </c>
      <c r="O208">
        <v>16</v>
      </c>
      <c r="P208">
        <v>3</v>
      </c>
      <c r="Q208">
        <v>1</v>
      </c>
      <c r="R208">
        <v>4</v>
      </c>
      <c r="S208">
        <v>2</v>
      </c>
      <c r="T208">
        <v>4</v>
      </c>
      <c r="U208">
        <v>2</v>
      </c>
    </row>
    <row r="209" spans="1:21" x14ac:dyDescent="0.35">
      <c r="A209">
        <v>36</v>
      </c>
      <c r="B209" t="str" cm="1">
        <f t="array" ref="B209">_xlfn.IFS(A209&gt;40,"Senior",A209&gt;30,"Adult",A209&gt;=18,"Teenager")</f>
        <v>Adult</v>
      </c>
      <c r="C209" t="s">
        <v>22</v>
      </c>
      <c r="D209">
        <f t="shared" si="3"/>
        <v>0</v>
      </c>
      <c r="E209" t="s">
        <v>23</v>
      </c>
      <c r="F209">
        <v>2</v>
      </c>
      <c r="G209" t="s">
        <v>20</v>
      </c>
      <c r="H209">
        <v>3</v>
      </c>
      <c r="I209">
        <v>1</v>
      </c>
      <c r="J209" t="s">
        <v>26</v>
      </c>
      <c r="K209">
        <v>4</v>
      </c>
      <c r="L209">
        <v>2153</v>
      </c>
      <c r="M209" t="str" cm="1">
        <f t="array" ref="M209">_xlfn.IFS(L209&lt;= 7000,"Low",L209&lt;=15000,"Medium",L209&lt;=20000,"High")</f>
        <v>Low</v>
      </c>
      <c r="N209" t="s">
        <v>22</v>
      </c>
      <c r="O209">
        <v>13</v>
      </c>
      <c r="P209">
        <v>3</v>
      </c>
      <c r="Q209">
        <v>1</v>
      </c>
      <c r="R209">
        <v>8</v>
      </c>
      <c r="S209">
        <v>3</v>
      </c>
      <c r="T209">
        <v>8</v>
      </c>
      <c r="U209">
        <v>1</v>
      </c>
    </row>
    <row r="210" spans="1:21" x14ac:dyDescent="0.35">
      <c r="A210">
        <v>40</v>
      </c>
      <c r="B210" t="str" cm="1">
        <f t="array" ref="B210">_xlfn.IFS(A210&gt;40,"Senior",A210&gt;30,"Adult",A210&gt;=18,"Teenager")</f>
        <v>Adult</v>
      </c>
      <c r="C210" t="s">
        <v>22</v>
      </c>
      <c r="D210">
        <f t="shared" si="3"/>
        <v>0</v>
      </c>
      <c r="E210" t="s">
        <v>23</v>
      </c>
      <c r="F210">
        <v>4</v>
      </c>
      <c r="G210" t="s">
        <v>24</v>
      </c>
      <c r="H210">
        <v>2</v>
      </c>
      <c r="I210">
        <v>2</v>
      </c>
      <c r="J210" t="s">
        <v>28</v>
      </c>
      <c r="K210">
        <v>4</v>
      </c>
      <c r="L210">
        <v>4876</v>
      </c>
      <c r="M210" t="str" cm="1">
        <f t="array" ref="M210">_xlfn.IFS(L210&lt;= 7000,"Low",L210&lt;=15000,"Medium",L210&lt;=20000,"High")</f>
        <v>Low</v>
      </c>
      <c r="N210" t="s">
        <v>22</v>
      </c>
      <c r="O210">
        <v>14</v>
      </c>
      <c r="P210">
        <v>3</v>
      </c>
      <c r="Q210">
        <v>4</v>
      </c>
      <c r="R210">
        <v>5</v>
      </c>
      <c r="S210">
        <v>1</v>
      </c>
      <c r="T210">
        <v>3</v>
      </c>
      <c r="U210">
        <v>2</v>
      </c>
    </row>
    <row r="211" spans="1:21" x14ac:dyDescent="0.35">
      <c r="A211">
        <v>46</v>
      </c>
      <c r="B211" t="str" cm="1">
        <f t="array" ref="B211">_xlfn.IFS(A211&gt;40,"Senior",A211&gt;30,"Adult",A211&gt;=18,"Teenager")</f>
        <v>Senior</v>
      </c>
      <c r="C211" t="s">
        <v>22</v>
      </c>
      <c r="D211">
        <f t="shared" si="3"/>
        <v>0</v>
      </c>
      <c r="E211" t="s">
        <v>23</v>
      </c>
      <c r="F211">
        <v>4</v>
      </c>
      <c r="G211" t="s">
        <v>24</v>
      </c>
      <c r="H211">
        <v>3</v>
      </c>
      <c r="I211">
        <v>3</v>
      </c>
      <c r="J211" t="s">
        <v>28</v>
      </c>
      <c r="K211">
        <v>1</v>
      </c>
      <c r="L211">
        <v>9396</v>
      </c>
      <c r="M211" t="str" cm="1">
        <f t="array" ref="M211">_xlfn.IFS(L211&lt;= 7000,"Low",L211&lt;=15000,"Medium",L211&lt;=20000,"High")</f>
        <v>Medium</v>
      </c>
      <c r="N211" t="s">
        <v>22</v>
      </c>
      <c r="O211">
        <v>16</v>
      </c>
      <c r="P211">
        <v>3</v>
      </c>
      <c r="Q211">
        <v>3</v>
      </c>
      <c r="R211">
        <v>17</v>
      </c>
      <c r="S211">
        <v>3</v>
      </c>
      <c r="T211">
        <v>4</v>
      </c>
      <c r="U211">
        <v>2</v>
      </c>
    </row>
    <row r="212" spans="1:21" x14ac:dyDescent="0.35">
      <c r="A212">
        <v>32</v>
      </c>
      <c r="B212" t="str" cm="1">
        <f t="array" ref="B212">_xlfn.IFS(A212&gt;40,"Senior",A212&gt;30,"Adult",A212&gt;=18,"Teenager")</f>
        <v>Adult</v>
      </c>
      <c r="C212" t="s">
        <v>18</v>
      </c>
      <c r="D212">
        <f t="shared" si="3"/>
        <v>1</v>
      </c>
      <c r="E212" t="s">
        <v>19</v>
      </c>
      <c r="F212">
        <v>4</v>
      </c>
      <c r="G212" t="s">
        <v>24</v>
      </c>
      <c r="H212">
        <v>1</v>
      </c>
      <c r="I212">
        <v>3</v>
      </c>
      <c r="J212" t="s">
        <v>21</v>
      </c>
      <c r="K212">
        <v>4</v>
      </c>
      <c r="L212">
        <v>10400</v>
      </c>
      <c r="M212" t="str" cm="1">
        <f t="array" ref="M212">_xlfn.IFS(L212&lt;= 7000,"Low",L212&lt;=15000,"Medium",L212&lt;=20000,"High")</f>
        <v>Medium</v>
      </c>
      <c r="N212" t="s">
        <v>22</v>
      </c>
      <c r="O212">
        <v>11</v>
      </c>
      <c r="P212">
        <v>3</v>
      </c>
      <c r="Q212">
        <v>3</v>
      </c>
      <c r="R212">
        <v>14</v>
      </c>
      <c r="S212">
        <v>2</v>
      </c>
      <c r="T212">
        <v>14</v>
      </c>
      <c r="U212">
        <v>8</v>
      </c>
    </row>
    <row r="213" spans="1:21" x14ac:dyDescent="0.35">
      <c r="A213">
        <v>30</v>
      </c>
      <c r="B213" t="str" cm="1">
        <f t="array" ref="B213">_xlfn.IFS(A213&gt;40,"Senior",A213&gt;30,"Adult",A213&gt;=18,"Teenager")</f>
        <v>Teenager</v>
      </c>
      <c r="C213" t="s">
        <v>22</v>
      </c>
      <c r="D213">
        <f t="shared" si="3"/>
        <v>0</v>
      </c>
      <c r="E213" t="s">
        <v>23</v>
      </c>
      <c r="F213">
        <v>3</v>
      </c>
      <c r="G213" t="s">
        <v>24</v>
      </c>
      <c r="H213">
        <v>2</v>
      </c>
      <c r="I213">
        <v>3</v>
      </c>
      <c r="J213" t="s">
        <v>27</v>
      </c>
      <c r="K213">
        <v>3</v>
      </c>
      <c r="L213">
        <v>8474</v>
      </c>
      <c r="M213" t="str" cm="1">
        <f t="array" ref="M213">_xlfn.IFS(L213&lt;= 7000,"Low",L213&lt;=15000,"Medium",L213&lt;=20000,"High")</f>
        <v>Medium</v>
      </c>
      <c r="N213" t="s">
        <v>22</v>
      </c>
      <c r="O213">
        <v>22</v>
      </c>
      <c r="P213">
        <v>4</v>
      </c>
      <c r="Q213">
        <v>3</v>
      </c>
      <c r="R213">
        <v>12</v>
      </c>
      <c r="S213">
        <v>3</v>
      </c>
      <c r="T213">
        <v>11</v>
      </c>
      <c r="U213">
        <v>8</v>
      </c>
    </row>
    <row r="214" spans="1:21" x14ac:dyDescent="0.35">
      <c r="A214">
        <v>27</v>
      </c>
      <c r="B214" t="str" cm="1">
        <f t="array" ref="B214">_xlfn.IFS(A214&gt;40,"Senior",A214&gt;30,"Adult",A214&gt;=18,"Teenager")</f>
        <v>Teenager</v>
      </c>
      <c r="C214" t="s">
        <v>22</v>
      </c>
      <c r="D214">
        <f t="shared" si="3"/>
        <v>0</v>
      </c>
      <c r="E214" t="s">
        <v>19</v>
      </c>
      <c r="F214">
        <v>4</v>
      </c>
      <c r="G214" t="s">
        <v>20</v>
      </c>
      <c r="H214">
        <v>3</v>
      </c>
      <c r="I214">
        <v>2</v>
      </c>
      <c r="J214" t="s">
        <v>21</v>
      </c>
      <c r="K214">
        <v>3</v>
      </c>
      <c r="L214">
        <v>9981</v>
      </c>
      <c r="M214" t="str" cm="1">
        <f t="array" ref="M214">_xlfn.IFS(L214&lt;= 7000,"Low",L214&lt;=15000,"Medium",L214&lt;=20000,"High")</f>
        <v>Medium</v>
      </c>
      <c r="N214" t="s">
        <v>22</v>
      </c>
      <c r="O214">
        <v>14</v>
      </c>
      <c r="P214">
        <v>3</v>
      </c>
      <c r="Q214">
        <v>4</v>
      </c>
      <c r="R214">
        <v>7</v>
      </c>
      <c r="S214">
        <v>3</v>
      </c>
      <c r="T214">
        <v>7</v>
      </c>
      <c r="U214">
        <v>7</v>
      </c>
    </row>
    <row r="215" spans="1:21" x14ac:dyDescent="0.35">
      <c r="A215">
        <v>51</v>
      </c>
      <c r="B215" t="str" cm="1">
        <f t="array" ref="B215">_xlfn.IFS(A215&gt;40,"Senior",A215&gt;30,"Adult",A215&gt;=18,"Teenager")</f>
        <v>Senior</v>
      </c>
      <c r="C215" t="s">
        <v>22</v>
      </c>
      <c r="D215">
        <f t="shared" si="3"/>
        <v>0</v>
      </c>
      <c r="E215" t="s">
        <v>23</v>
      </c>
      <c r="F215">
        <v>2</v>
      </c>
      <c r="G215" t="s">
        <v>24</v>
      </c>
      <c r="H215">
        <v>2</v>
      </c>
      <c r="I215">
        <v>3</v>
      </c>
      <c r="J215" t="s">
        <v>31</v>
      </c>
      <c r="K215">
        <v>2</v>
      </c>
      <c r="L215">
        <v>12490</v>
      </c>
      <c r="M215" t="str" cm="1">
        <f t="array" ref="M215">_xlfn.IFS(L215&lt;= 7000,"Low",L215&lt;=15000,"Medium",L215&lt;=20000,"High")</f>
        <v>Medium</v>
      </c>
      <c r="N215" t="s">
        <v>22</v>
      </c>
      <c r="O215">
        <v>16</v>
      </c>
      <c r="P215">
        <v>3</v>
      </c>
      <c r="Q215">
        <v>4</v>
      </c>
      <c r="R215">
        <v>16</v>
      </c>
      <c r="S215">
        <v>1</v>
      </c>
      <c r="T215">
        <v>10</v>
      </c>
      <c r="U215">
        <v>9</v>
      </c>
    </row>
    <row r="216" spans="1:21" x14ac:dyDescent="0.35">
      <c r="A216">
        <v>30</v>
      </c>
      <c r="B216" t="str" cm="1">
        <f t="array" ref="B216">_xlfn.IFS(A216&gt;40,"Senior",A216&gt;30,"Adult",A216&gt;=18,"Teenager")</f>
        <v>Teenager</v>
      </c>
      <c r="C216" t="s">
        <v>18</v>
      </c>
      <c r="D216">
        <f t="shared" si="3"/>
        <v>1</v>
      </c>
      <c r="E216" t="s">
        <v>23</v>
      </c>
      <c r="F216">
        <v>4</v>
      </c>
      <c r="G216" t="s">
        <v>20</v>
      </c>
      <c r="H216">
        <v>3</v>
      </c>
      <c r="I216">
        <v>1</v>
      </c>
      <c r="J216" t="s">
        <v>25</v>
      </c>
      <c r="K216">
        <v>1</v>
      </c>
      <c r="L216">
        <v>2657</v>
      </c>
      <c r="M216" t="str" cm="1">
        <f t="array" ref="M216">_xlfn.IFS(L216&lt;= 7000,"Low",L216&lt;=15000,"Medium",L216&lt;=20000,"High")</f>
        <v>Low</v>
      </c>
      <c r="N216" t="s">
        <v>18</v>
      </c>
      <c r="O216">
        <v>11</v>
      </c>
      <c r="P216">
        <v>3</v>
      </c>
      <c r="Q216">
        <v>3</v>
      </c>
      <c r="R216">
        <v>8</v>
      </c>
      <c r="S216">
        <v>3</v>
      </c>
      <c r="T216">
        <v>5</v>
      </c>
      <c r="U216">
        <v>2</v>
      </c>
    </row>
    <row r="217" spans="1:21" x14ac:dyDescent="0.35">
      <c r="A217">
        <v>41</v>
      </c>
      <c r="B217" t="str" cm="1">
        <f t="array" ref="B217">_xlfn.IFS(A217&gt;40,"Senior",A217&gt;30,"Adult",A217&gt;=18,"Teenager")</f>
        <v>Senior</v>
      </c>
      <c r="C217" t="s">
        <v>22</v>
      </c>
      <c r="D217">
        <f t="shared" si="3"/>
        <v>0</v>
      </c>
      <c r="E217" t="s">
        <v>19</v>
      </c>
      <c r="F217">
        <v>4</v>
      </c>
      <c r="G217" t="s">
        <v>20</v>
      </c>
      <c r="H217">
        <v>3</v>
      </c>
      <c r="I217">
        <v>3</v>
      </c>
      <c r="J217" t="s">
        <v>29</v>
      </c>
      <c r="K217">
        <v>4</v>
      </c>
      <c r="L217">
        <v>13591</v>
      </c>
      <c r="M217" t="str" cm="1">
        <f t="array" ref="M217">_xlfn.IFS(L217&lt;= 7000,"Low",L217&lt;=15000,"Medium",L217&lt;=20000,"High")</f>
        <v>Medium</v>
      </c>
      <c r="N217" t="s">
        <v>18</v>
      </c>
      <c r="O217">
        <v>18</v>
      </c>
      <c r="P217">
        <v>3</v>
      </c>
      <c r="Q217">
        <v>3</v>
      </c>
      <c r="R217">
        <v>16</v>
      </c>
      <c r="S217">
        <v>3</v>
      </c>
      <c r="T217">
        <v>1</v>
      </c>
      <c r="U217">
        <v>0</v>
      </c>
    </row>
    <row r="218" spans="1:21" x14ac:dyDescent="0.35">
      <c r="A218">
        <v>30</v>
      </c>
      <c r="B218" t="str" cm="1">
        <f t="array" ref="B218">_xlfn.IFS(A218&gt;40,"Senior",A218&gt;30,"Adult",A218&gt;=18,"Teenager")</f>
        <v>Teenager</v>
      </c>
      <c r="C218" t="s">
        <v>18</v>
      </c>
      <c r="D218">
        <f t="shared" si="3"/>
        <v>1</v>
      </c>
      <c r="E218" t="s">
        <v>19</v>
      </c>
      <c r="F218">
        <v>3</v>
      </c>
      <c r="G218" t="s">
        <v>20</v>
      </c>
      <c r="H218">
        <v>2</v>
      </c>
      <c r="I218">
        <v>2</v>
      </c>
      <c r="J218" t="s">
        <v>21</v>
      </c>
      <c r="K218">
        <v>1</v>
      </c>
      <c r="L218">
        <v>6696</v>
      </c>
      <c r="M218" t="str" cm="1">
        <f t="array" ref="M218">_xlfn.IFS(L218&lt;= 7000,"Low",L218&lt;=15000,"Medium",L218&lt;=20000,"High")</f>
        <v>Low</v>
      </c>
      <c r="N218" t="s">
        <v>22</v>
      </c>
      <c r="O218">
        <v>15</v>
      </c>
      <c r="P218">
        <v>3</v>
      </c>
      <c r="Q218">
        <v>3</v>
      </c>
      <c r="R218">
        <v>9</v>
      </c>
      <c r="S218">
        <v>2</v>
      </c>
      <c r="T218">
        <v>6</v>
      </c>
      <c r="U218">
        <v>3</v>
      </c>
    </row>
    <row r="219" spans="1:21" x14ac:dyDescent="0.35">
      <c r="A219">
        <v>29</v>
      </c>
      <c r="B219" t="str" cm="1">
        <f t="array" ref="B219">_xlfn.IFS(A219&gt;40,"Senior",A219&gt;30,"Adult",A219&gt;=18,"Teenager")</f>
        <v>Teenager</v>
      </c>
      <c r="C219" t="s">
        <v>18</v>
      </c>
      <c r="D219">
        <f t="shared" si="3"/>
        <v>1</v>
      </c>
      <c r="E219" t="s">
        <v>23</v>
      </c>
      <c r="F219">
        <v>3</v>
      </c>
      <c r="G219" t="s">
        <v>24</v>
      </c>
      <c r="H219">
        <v>3</v>
      </c>
      <c r="I219">
        <v>1</v>
      </c>
      <c r="J219" t="s">
        <v>25</v>
      </c>
      <c r="K219">
        <v>3</v>
      </c>
      <c r="L219">
        <v>2058</v>
      </c>
      <c r="M219" t="str" cm="1">
        <f t="array" ref="M219">_xlfn.IFS(L219&lt;= 7000,"Low",L219&lt;=15000,"Medium",L219&lt;=20000,"High")</f>
        <v>Low</v>
      </c>
      <c r="N219" t="s">
        <v>22</v>
      </c>
      <c r="O219">
        <v>14</v>
      </c>
      <c r="P219">
        <v>3</v>
      </c>
      <c r="Q219">
        <v>4</v>
      </c>
      <c r="R219">
        <v>7</v>
      </c>
      <c r="S219">
        <v>2</v>
      </c>
      <c r="T219">
        <v>6</v>
      </c>
      <c r="U219">
        <v>2</v>
      </c>
    </row>
    <row r="220" spans="1:21" x14ac:dyDescent="0.35">
      <c r="A220">
        <v>45</v>
      </c>
      <c r="B220" t="str" cm="1">
        <f t="array" ref="B220">_xlfn.IFS(A220&gt;40,"Senior",A220&gt;30,"Adult",A220&gt;=18,"Teenager")</f>
        <v>Senior</v>
      </c>
      <c r="C220" t="s">
        <v>22</v>
      </c>
      <c r="D220">
        <f t="shared" si="3"/>
        <v>0</v>
      </c>
      <c r="E220" t="s">
        <v>19</v>
      </c>
      <c r="F220">
        <v>4</v>
      </c>
      <c r="G220" t="s">
        <v>20</v>
      </c>
      <c r="H220">
        <v>2</v>
      </c>
      <c r="I220">
        <v>3</v>
      </c>
      <c r="J220" t="s">
        <v>21</v>
      </c>
      <c r="K220">
        <v>4</v>
      </c>
      <c r="L220">
        <v>8865</v>
      </c>
      <c r="M220" t="str" cm="1">
        <f t="array" ref="M220">_xlfn.IFS(L220&lt;= 7000,"Low",L220&lt;=15000,"Medium",L220&lt;=20000,"High")</f>
        <v>Medium</v>
      </c>
      <c r="N220" t="s">
        <v>22</v>
      </c>
      <c r="O220">
        <v>12</v>
      </c>
      <c r="P220">
        <v>3</v>
      </c>
      <c r="Q220">
        <v>4</v>
      </c>
      <c r="R220">
        <v>23</v>
      </c>
      <c r="S220">
        <v>3</v>
      </c>
      <c r="T220">
        <v>19</v>
      </c>
      <c r="U220">
        <v>7</v>
      </c>
    </row>
    <row r="221" spans="1:21" x14ac:dyDescent="0.35">
      <c r="A221">
        <v>54</v>
      </c>
      <c r="B221" t="str" cm="1">
        <f t="array" ref="B221">_xlfn.IFS(A221&gt;40,"Senior",A221&gt;30,"Adult",A221&gt;=18,"Teenager")</f>
        <v>Senior</v>
      </c>
      <c r="C221" t="s">
        <v>22</v>
      </c>
      <c r="D221">
        <f t="shared" si="3"/>
        <v>0</v>
      </c>
      <c r="E221" t="s">
        <v>19</v>
      </c>
      <c r="F221">
        <v>4</v>
      </c>
      <c r="G221" t="s">
        <v>20</v>
      </c>
      <c r="H221">
        <v>3</v>
      </c>
      <c r="I221">
        <v>2</v>
      </c>
      <c r="J221" t="s">
        <v>21</v>
      </c>
      <c r="K221">
        <v>1</v>
      </c>
      <c r="L221">
        <v>5940</v>
      </c>
      <c r="M221" t="str" cm="1">
        <f t="array" ref="M221">_xlfn.IFS(L221&lt;= 7000,"Low",L221&lt;=15000,"Medium",L221&lt;=20000,"High")</f>
        <v>Low</v>
      </c>
      <c r="N221" t="s">
        <v>22</v>
      </c>
      <c r="O221">
        <v>14</v>
      </c>
      <c r="P221">
        <v>3</v>
      </c>
      <c r="Q221">
        <v>4</v>
      </c>
      <c r="R221">
        <v>16</v>
      </c>
      <c r="S221">
        <v>3</v>
      </c>
      <c r="T221">
        <v>6</v>
      </c>
      <c r="U221">
        <v>2</v>
      </c>
    </row>
    <row r="222" spans="1:21" x14ac:dyDescent="0.35">
      <c r="A222">
        <v>36</v>
      </c>
      <c r="B222" t="str" cm="1">
        <f t="array" ref="B222">_xlfn.IFS(A222&gt;40,"Senior",A222&gt;30,"Adult",A222&gt;=18,"Teenager")</f>
        <v>Adult</v>
      </c>
      <c r="C222" t="s">
        <v>22</v>
      </c>
      <c r="D222">
        <f t="shared" si="3"/>
        <v>0</v>
      </c>
      <c r="E222" t="s">
        <v>23</v>
      </c>
      <c r="F222">
        <v>4</v>
      </c>
      <c r="G222" t="s">
        <v>24</v>
      </c>
      <c r="H222">
        <v>3</v>
      </c>
      <c r="I222">
        <v>2</v>
      </c>
      <c r="J222" t="s">
        <v>26</v>
      </c>
      <c r="K222">
        <v>2</v>
      </c>
      <c r="L222">
        <v>5914</v>
      </c>
      <c r="M222" t="str" cm="1">
        <f t="array" ref="M222">_xlfn.IFS(L222&lt;= 7000,"Low",L222&lt;=15000,"Medium",L222&lt;=20000,"High")</f>
        <v>Low</v>
      </c>
      <c r="N222" t="s">
        <v>22</v>
      </c>
      <c r="O222">
        <v>16</v>
      </c>
      <c r="P222">
        <v>3</v>
      </c>
      <c r="Q222">
        <v>4</v>
      </c>
      <c r="R222">
        <v>16</v>
      </c>
      <c r="S222">
        <v>4</v>
      </c>
      <c r="T222">
        <v>13</v>
      </c>
      <c r="U222">
        <v>11</v>
      </c>
    </row>
    <row r="223" spans="1:21" x14ac:dyDescent="0.35">
      <c r="A223">
        <v>33</v>
      </c>
      <c r="B223" t="str" cm="1">
        <f t="array" ref="B223">_xlfn.IFS(A223&gt;40,"Senior",A223&gt;30,"Adult",A223&gt;=18,"Teenager")</f>
        <v>Adult</v>
      </c>
      <c r="C223" t="s">
        <v>22</v>
      </c>
      <c r="D223">
        <f t="shared" si="3"/>
        <v>0</v>
      </c>
      <c r="E223" t="s">
        <v>23</v>
      </c>
      <c r="F223">
        <v>3</v>
      </c>
      <c r="G223" t="s">
        <v>20</v>
      </c>
      <c r="H223">
        <v>2</v>
      </c>
      <c r="I223">
        <v>1</v>
      </c>
      <c r="J223" t="s">
        <v>25</v>
      </c>
      <c r="K223">
        <v>2</v>
      </c>
      <c r="L223">
        <v>2622</v>
      </c>
      <c r="M223" t="str" cm="1">
        <f t="array" ref="M223">_xlfn.IFS(L223&lt;= 7000,"Low",L223&lt;=15000,"Medium",L223&lt;=20000,"High")</f>
        <v>Low</v>
      </c>
      <c r="N223" t="s">
        <v>22</v>
      </c>
      <c r="O223">
        <v>21</v>
      </c>
      <c r="P223">
        <v>4</v>
      </c>
      <c r="Q223">
        <v>4</v>
      </c>
      <c r="R223">
        <v>7</v>
      </c>
      <c r="S223">
        <v>3</v>
      </c>
      <c r="T223">
        <v>3</v>
      </c>
      <c r="U223">
        <v>2</v>
      </c>
    </row>
    <row r="224" spans="1:21" x14ac:dyDescent="0.35">
      <c r="A224">
        <v>37</v>
      </c>
      <c r="B224" t="str" cm="1">
        <f t="array" ref="B224">_xlfn.IFS(A224&gt;40,"Senior",A224&gt;30,"Adult",A224&gt;=18,"Teenager")</f>
        <v>Adult</v>
      </c>
      <c r="C224" t="s">
        <v>22</v>
      </c>
      <c r="D224">
        <f t="shared" si="3"/>
        <v>0</v>
      </c>
      <c r="E224" t="s">
        <v>23</v>
      </c>
      <c r="F224">
        <v>2</v>
      </c>
      <c r="G224" t="s">
        <v>24</v>
      </c>
      <c r="H224">
        <v>3</v>
      </c>
      <c r="I224">
        <v>3</v>
      </c>
      <c r="J224" t="s">
        <v>31</v>
      </c>
      <c r="K224">
        <v>4</v>
      </c>
      <c r="L224">
        <v>12185</v>
      </c>
      <c r="M224" t="str" cm="1">
        <f t="array" ref="M224">_xlfn.IFS(L224&lt;= 7000,"Low",L224&lt;=15000,"Medium",L224&lt;=20000,"High")</f>
        <v>Medium</v>
      </c>
      <c r="N224" t="s">
        <v>18</v>
      </c>
      <c r="O224">
        <v>14</v>
      </c>
      <c r="P224">
        <v>3</v>
      </c>
      <c r="Q224">
        <v>3</v>
      </c>
      <c r="R224">
        <v>10</v>
      </c>
      <c r="S224">
        <v>3</v>
      </c>
      <c r="T224">
        <v>10</v>
      </c>
      <c r="U224">
        <v>8</v>
      </c>
    </row>
    <row r="225" spans="1:21" x14ac:dyDescent="0.35">
      <c r="A225">
        <v>38</v>
      </c>
      <c r="B225" t="str" cm="1">
        <f t="array" ref="B225">_xlfn.IFS(A225&gt;40,"Senior",A225&gt;30,"Adult",A225&gt;=18,"Teenager")</f>
        <v>Adult</v>
      </c>
      <c r="C225" t="s">
        <v>22</v>
      </c>
      <c r="D225">
        <f t="shared" si="3"/>
        <v>0</v>
      </c>
      <c r="E225" t="s">
        <v>19</v>
      </c>
      <c r="F225">
        <v>1</v>
      </c>
      <c r="G225" t="s">
        <v>24</v>
      </c>
      <c r="H225">
        <v>3</v>
      </c>
      <c r="I225">
        <v>3</v>
      </c>
      <c r="J225" t="s">
        <v>21</v>
      </c>
      <c r="K225">
        <v>3</v>
      </c>
      <c r="L225">
        <v>10609</v>
      </c>
      <c r="M225" t="str" cm="1">
        <f t="array" ref="M225">_xlfn.IFS(L225&lt;= 7000,"Low",L225&lt;=15000,"Medium",L225&lt;=20000,"High")</f>
        <v>Medium</v>
      </c>
      <c r="N225" t="s">
        <v>22</v>
      </c>
      <c r="O225">
        <v>12</v>
      </c>
      <c r="P225">
        <v>3</v>
      </c>
      <c r="Q225">
        <v>3</v>
      </c>
      <c r="R225">
        <v>17</v>
      </c>
      <c r="S225">
        <v>2</v>
      </c>
      <c r="T225">
        <v>16</v>
      </c>
      <c r="U225">
        <v>10</v>
      </c>
    </row>
    <row r="226" spans="1:21" x14ac:dyDescent="0.35">
      <c r="A226">
        <v>31</v>
      </c>
      <c r="B226" t="str" cm="1">
        <f t="array" ref="B226">_xlfn.IFS(A226&gt;40,"Senior",A226&gt;30,"Adult",A226&gt;=18,"Teenager")</f>
        <v>Adult</v>
      </c>
      <c r="C226" t="s">
        <v>22</v>
      </c>
      <c r="D226">
        <f t="shared" si="3"/>
        <v>0</v>
      </c>
      <c r="E226" t="s">
        <v>23</v>
      </c>
      <c r="F226">
        <v>3</v>
      </c>
      <c r="G226" t="s">
        <v>24</v>
      </c>
      <c r="H226">
        <v>1</v>
      </c>
      <c r="I226">
        <v>2</v>
      </c>
      <c r="J226" t="s">
        <v>27</v>
      </c>
      <c r="K226">
        <v>3</v>
      </c>
      <c r="L226">
        <v>4345</v>
      </c>
      <c r="M226" t="str" cm="1">
        <f t="array" ref="M226">_xlfn.IFS(L226&lt;= 7000,"Low",L226&lt;=15000,"Medium",L226&lt;=20000,"High")</f>
        <v>Low</v>
      </c>
      <c r="N226" t="s">
        <v>22</v>
      </c>
      <c r="O226">
        <v>12</v>
      </c>
      <c r="P226">
        <v>3</v>
      </c>
      <c r="Q226">
        <v>4</v>
      </c>
      <c r="R226">
        <v>6</v>
      </c>
      <c r="S226">
        <v>3</v>
      </c>
      <c r="T226">
        <v>5</v>
      </c>
      <c r="U226">
        <v>4</v>
      </c>
    </row>
    <row r="227" spans="1:21" x14ac:dyDescent="0.35">
      <c r="A227">
        <v>59</v>
      </c>
      <c r="B227" t="str" cm="1">
        <f t="array" ref="B227">_xlfn.IFS(A227&gt;40,"Senior",A227&gt;30,"Adult",A227&gt;=18,"Teenager")</f>
        <v>Senior</v>
      </c>
      <c r="C227" t="s">
        <v>22</v>
      </c>
      <c r="D227">
        <f t="shared" si="3"/>
        <v>0</v>
      </c>
      <c r="E227" t="s">
        <v>23</v>
      </c>
      <c r="F227">
        <v>3</v>
      </c>
      <c r="G227" t="s">
        <v>24</v>
      </c>
      <c r="H227">
        <v>2</v>
      </c>
      <c r="I227">
        <v>1</v>
      </c>
      <c r="J227" t="s">
        <v>25</v>
      </c>
      <c r="K227">
        <v>4</v>
      </c>
      <c r="L227">
        <v>2177</v>
      </c>
      <c r="M227" t="str" cm="1">
        <f t="array" ref="M227">_xlfn.IFS(L227&lt;= 7000,"Low",L227&lt;=15000,"Medium",L227&lt;=20000,"High")</f>
        <v>Low</v>
      </c>
      <c r="N227" t="s">
        <v>22</v>
      </c>
      <c r="O227">
        <v>17</v>
      </c>
      <c r="P227">
        <v>3</v>
      </c>
      <c r="Q227">
        <v>1</v>
      </c>
      <c r="R227">
        <v>7</v>
      </c>
      <c r="S227">
        <v>3</v>
      </c>
      <c r="T227">
        <v>1</v>
      </c>
      <c r="U227">
        <v>0</v>
      </c>
    </row>
    <row r="228" spans="1:21" x14ac:dyDescent="0.35">
      <c r="A228">
        <v>37</v>
      </c>
      <c r="B228" t="str" cm="1">
        <f t="array" ref="B228">_xlfn.IFS(A228&gt;40,"Senior",A228&gt;30,"Adult",A228&gt;=18,"Teenager")</f>
        <v>Adult</v>
      </c>
      <c r="C228" t="s">
        <v>22</v>
      </c>
      <c r="D228">
        <f t="shared" si="3"/>
        <v>0</v>
      </c>
      <c r="E228" t="s">
        <v>19</v>
      </c>
      <c r="F228">
        <v>1</v>
      </c>
      <c r="G228" t="s">
        <v>24</v>
      </c>
      <c r="H228">
        <v>3</v>
      </c>
      <c r="I228">
        <v>1</v>
      </c>
      <c r="J228" t="s">
        <v>30</v>
      </c>
      <c r="K228">
        <v>4</v>
      </c>
      <c r="L228">
        <v>2793</v>
      </c>
      <c r="M228" t="str" cm="1">
        <f t="array" ref="M228">_xlfn.IFS(L228&lt;= 7000,"Low",L228&lt;=15000,"Medium",L228&lt;=20000,"High")</f>
        <v>Low</v>
      </c>
      <c r="N228" t="s">
        <v>22</v>
      </c>
      <c r="O228">
        <v>17</v>
      </c>
      <c r="P228">
        <v>3</v>
      </c>
      <c r="Q228">
        <v>3</v>
      </c>
      <c r="R228">
        <v>13</v>
      </c>
      <c r="S228">
        <v>3</v>
      </c>
      <c r="T228">
        <v>9</v>
      </c>
      <c r="U228">
        <v>8</v>
      </c>
    </row>
    <row r="229" spans="1:21" x14ac:dyDescent="0.35">
      <c r="A229">
        <v>29</v>
      </c>
      <c r="B229" t="str" cm="1">
        <f t="array" ref="B229">_xlfn.IFS(A229&gt;40,"Senior",A229&gt;30,"Adult",A229&gt;=18,"Teenager")</f>
        <v>Teenager</v>
      </c>
      <c r="C229" t="s">
        <v>22</v>
      </c>
      <c r="D229">
        <f t="shared" si="3"/>
        <v>0</v>
      </c>
      <c r="E229" t="s">
        <v>19</v>
      </c>
      <c r="F229">
        <v>2</v>
      </c>
      <c r="G229" t="s">
        <v>20</v>
      </c>
      <c r="H229">
        <v>3</v>
      </c>
      <c r="I229">
        <v>3</v>
      </c>
      <c r="J229" t="s">
        <v>21</v>
      </c>
      <c r="K229">
        <v>4</v>
      </c>
      <c r="L229">
        <v>7918</v>
      </c>
      <c r="M229" t="str" cm="1">
        <f t="array" ref="M229">_xlfn.IFS(L229&lt;= 7000,"Low",L229&lt;=15000,"Medium",L229&lt;=20000,"High")</f>
        <v>Medium</v>
      </c>
      <c r="N229" t="s">
        <v>22</v>
      </c>
      <c r="O229">
        <v>14</v>
      </c>
      <c r="P229">
        <v>3</v>
      </c>
      <c r="Q229">
        <v>4</v>
      </c>
      <c r="R229">
        <v>11</v>
      </c>
      <c r="S229">
        <v>3</v>
      </c>
      <c r="T229">
        <v>11</v>
      </c>
      <c r="U229">
        <v>10</v>
      </c>
    </row>
    <row r="230" spans="1:21" x14ac:dyDescent="0.35">
      <c r="A230">
        <v>35</v>
      </c>
      <c r="B230" t="str" cm="1">
        <f t="array" ref="B230">_xlfn.IFS(A230&gt;40,"Senior",A230&gt;30,"Adult",A230&gt;=18,"Teenager")</f>
        <v>Adult</v>
      </c>
      <c r="C230" t="s">
        <v>22</v>
      </c>
      <c r="D230">
        <f t="shared" si="3"/>
        <v>0</v>
      </c>
      <c r="E230" t="s">
        <v>19</v>
      </c>
      <c r="F230">
        <v>3</v>
      </c>
      <c r="G230" t="s">
        <v>20</v>
      </c>
      <c r="H230">
        <v>3</v>
      </c>
      <c r="I230">
        <v>3</v>
      </c>
      <c r="J230" t="s">
        <v>21</v>
      </c>
      <c r="K230">
        <v>3</v>
      </c>
      <c r="L230">
        <v>8789</v>
      </c>
      <c r="M230" t="str" cm="1">
        <f t="array" ref="M230">_xlfn.IFS(L230&lt;= 7000,"Low",L230&lt;=15000,"Medium",L230&lt;=20000,"High")</f>
        <v>Medium</v>
      </c>
      <c r="N230" t="s">
        <v>22</v>
      </c>
      <c r="O230">
        <v>14</v>
      </c>
      <c r="P230">
        <v>3</v>
      </c>
      <c r="Q230">
        <v>1</v>
      </c>
      <c r="R230">
        <v>10</v>
      </c>
      <c r="S230">
        <v>4</v>
      </c>
      <c r="T230">
        <v>10</v>
      </c>
      <c r="U230">
        <v>7</v>
      </c>
    </row>
    <row r="231" spans="1:21" x14ac:dyDescent="0.35">
      <c r="A231">
        <v>29</v>
      </c>
      <c r="B231" t="str" cm="1">
        <f t="array" ref="B231">_xlfn.IFS(A231&gt;40,"Senior",A231&gt;30,"Adult",A231&gt;=18,"Teenager")</f>
        <v>Teenager</v>
      </c>
      <c r="C231" t="s">
        <v>18</v>
      </c>
      <c r="D231">
        <f t="shared" si="3"/>
        <v>1</v>
      </c>
      <c r="E231" t="s">
        <v>23</v>
      </c>
      <c r="F231">
        <v>3</v>
      </c>
      <c r="G231" t="s">
        <v>24</v>
      </c>
      <c r="H231">
        <v>2</v>
      </c>
      <c r="I231">
        <v>1</v>
      </c>
      <c r="J231" t="s">
        <v>25</v>
      </c>
      <c r="K231">
        <v>4</v>
      </c>
      <c r="L231">
        <v>2389</v>
      </c>
      <c r="M231" t="str" cm="1">
        <f t="array" ref="M231">_xlfn.IFS(L231&lt;= 7000,"Low",L231&lt;=15000,"Medium",L231&lt;=20000,"High")</f>
        <v>Low</v>
      </c>
      <c r="N231" t="s">
        <v>18</v>
      </c>
      <c r="O231">
        <v>13</v>
      </c>
      <c r="P231">
        <v>3</v>
      </c>
      <c r="Q231">
        <v>3</v>
      </c>
      <c r="R231">
        <v>4</v>
      </c>
      <c r="S231">
        <v>2</v>
      </c>
      <c r="T231">
        <v>4</v>
      </c>
      <c r="U231">
        <v>3</v>
      </c>
    </row>
    <row r="232" spans="1:21" x14ac:dyDescent="0.35">
      <c r="A232">
        <v>52</v>
      </c>
      <c r="B232" t="str" cm="1">
        <f t="array" ref="B232">_xlfn.IFS(A232&gt;40,"Senior",A232&gt;30,"Adult",A232&gt;=18,"Teenager")</f>
        <v>Senior</v>
      </c>
      <c r="C232" t="s">
        <v>22</v>
      </c>
      <c r="D232">
        <f t="shared" si="3"/>
        <v>0</v>
      </c>
      <c r="E232" t="s">
        <v>23</v>
      </c>
      <c r="F232">
        <v>3</v>
      </c>
      <c r="G232" t="s">
        <v>20</v>
      </c>
      <c r="H232">
        <v>2</v>
      </c>
      <c r="I232">
        <v>1</v>
      </c>
      <c r="J232" t="s">
        <v>26</v>
      </c>
      <c r="K232">
        <v>4</v>
      </c>
      <c r="L232">
        <v>3212</v>
      </c>
      <c r="M232" t="str" cm="1">
        <f t="array" ref="M232">_xlfn.IFS(L232&lt;= 7000,"Low",L232&lt;=15000,"Medium",L232&lt;=20000,"High")</f>
        <v>Low</v>
      </c>
      <c r="N232" t="s">
        <v>22</v>
      </c>
      <c r="O232">
        <v>15</v>
      </c>
      <c r="P232">
        <v>3</v>
      </c>
      <c r="Q232">
        <v>2</v>
      </c>
      <c r="R232">
        <v>6</v>
      </c>
      <c r="S232">
        <v>2</v>
      </c>
      <c r="T232">
        <v>2</v>
      </c>
      <c r="U232">
        <v>2</v>
      </c>
    </row>
    <row r="233" spans="1:21" x14ac:dyDescent="0.35">
      <c r="A233">
        <v>42</v>
      </c>
      <c r="B233" t="str" cm="1">
        <f t="array" ref="B233">_xlfn.IFS(A233&gt;40,"Senior",A233&gt;30,"Adult",A233&gt;=18,"Teenager")</f>
        <v>Senior</v>
      </c>
      <c r="C233" t="s">
        <v>22</v>
      </c>
      <c r="D233">
        <f t="shared" si="3"/>
        <v>0</v>
      </c>
      <c r="E233" t="s">
        <v>23</v>
      </c>
      <c r="F233">
        <v>3</v>
      </c>
      <c r="G233" t="s">
        <v>24</v>
      </c>
      <c r="H233">
        <v>3</v>
      </c>
      <c r="I233">
        <v>5</v>
      </c>
      <c r="J233" t="s">
        <v>29</v>
      </c>
      <c r="K233">
        <v>4</v>
      </c>
      <c r="L233">
        <v>19232</v>
      </c>
      <c r="M233" t="str" cm="1">
        <f t="array" ref="M233">_xlfn.IFS(L233&lt;= 7000,"Low",L233&lt;=15000,"Medium",L233&lt;=20000,"High")</f>
        <v>High</v>
      </c>
      <c r="N233" t="s">
        <v>22</v>
      </c>
      <c r="O233">
        <v>11</v>
      </c>
      <c r="P233">
        <v>3</v>
      </c>
      <c r="Q233">
        <v>4</v>
      </c>
      <c r="R233">
        <v>22</v>
      </c>
      <c r="S233">
        <v>3</v>
      </c>
      <c r="T233">
        <v>22</v>
      </c>
      <c r="U233">
        <v>17</v>
      </c>
    </row>
    <row r="234" spans="1:21" x14ac:dyDescent="0.35">
      <c r="A234">
        <v>59</v>
      </c>
      <c r="B234" t="str" cm="1">
        <f t="array" ref="B234">_xlfn.IFS(A234&gt;40,"Senior",A234&gt;30,"Adult",A234&gt;=18,"Teenager")</f>
        <v>Senior</v>
      </c>
      <c r="C234" t="s">
        <v>22</v>
      </c>
      <c r="D234">
        <f t="shared" si="3"/>
        <v>0</v>
      </c>
      <c r="E234" t="s">
        <v>32</v>
      </c>
      <c r="F234">
        <v>2</v>
      </c>
      <c r="G234" t="s">
        <v>24</v>
      </c>
      <c r="H234">
        <v>3</v>
      </c>
      <c r="I234">
        <v>1</v>
      </c>
      <c r="J234" t="s">
        <v>32</v>
      </c>
      <c r="K234">
        <v>3</v>
      </c>
      <c r="L234">
        <v>2267</v>
      </c>
      <c r="M234" t="str" cm="1">
        <f t="array" ref="M234">_xlfn.IFS(L234&lt;= 7000,"Low",L234&lt;=15000,"Medium",L234&lt;=20000,"High")</f>
        <v>Low</v>
      </c>
      <c r="N234" t="s">
        <v>22</v>
      </c>
      <c r="O234">
        <v>17</v>
      </c>
      <c r="P234">
        <v>3</v>
      </c>
      <c r="Q234">
        <v>4</v>
      </c>
      <c r="R234">
        <v>7</v>
      </c>
      <c r="S234">
        <v>2</v>
      </c>
      <c r="T234">
        <v>2</v>
      </c>
      <c r="U234">
        <v>2</v>
      </c>
    </row>
    <row r="235" spans="1:21" x14ac:dyDescent="0.35">
      <c r="A235">
        <v>50</v>
      </c>
      <c r="B235" t="str" cm="1">
        <f t="array" ref="B235">_xlfn.IFS(A235&gt;40,"Senior",A235&gt;30,"Adult",A235&gt;=18,"Teenager")</f>
        <v>Senior</v>
      </c>
      <c r="C235" t="s">
        <v>22</v>
      </c>
      <c r="D235">
        <f t="shared" si="3"/>
        <v>0</v>
      </c>
      <c r="E235" t="s">
        <v>19</v>
      </c>
      <c r="F235">
        <v>4</v>
      </c>
      <c r="G235" t="s">
        <v>20</v>
      </c>
      <c r="H235">
        <v>3</v>
      </c>
      <c r="I235">
        <v>5</v>
      </c>
      <c r="J235" t="s">
        <v>29</v>
      </c>
      <c r="K235">
        <v>4</v>
      </c>
      <c r="L235">
        <v>19517</v>
      </c>
      <c r="M235" t="str" cm="1">
        <f t="array" ref="M235">_xlfn.IFS(L235&lt;= 7000,"Low",L235&lt;=15000,"Medium",L235&lt;=20000,"High")</f>
        <v>High</v>
      </c>
      <c r="N235" t="s">
        <v>22</v>
      </c>
      <c r="O235">
        <v>11</v>
      </c>
      <c r="P235">
        <v>3</v>
      </c>
      <c r="Q235">
        <v>3</v>
      </c>
      <c r="R235">
        <v>32</v>
      </c>
      <c r="S235">
        <v>2</v>
      </c>
      <c r="T235">
        <v>7</v>
      </c>
      <c r="U235">
        <v>0</v>
      </c>
    </row>
    <row r="236" spans="1:21" x14ac:dyDescent="0.35">
      <c r="A236">
        <v>33</v>
      </c>
      <c r="B236" t="str" cm="1">
        <f t="array" ref="B236">_xlfn.IFS(A236&gt;40,"Senior",A236&gt;30,"Adult",A236&gt;=18,"Teenager")</f>
        <v>Adult</v>
      </c>
      <c r="C236" t="s">
        <v>18</v>
      </c>
      <c r="D236">
        <f t="shared" si="3"/>
        <v>1</v>
      </c>
      <c r="E236" t="s">
        <v>23</v>
      </c>
      <c r="F236">
        <v>3</v>
      </c>
      <c r="G236" t="s">
        <v>24</v>
      </c>
      <c r="H236">
        <v>3</v>
      </c>
      <c r="I236">
        <v>1</v>
      </c>
      <c r="J236" t="s">
        <v>26</v>
      </c>
      <c r="K236">
        <v>4</v>
      </c>
      <c r="L236">
        <v>2436</v>
      </c>
      <c r="M236" t="str" cm="1">
        <f t="array" ref="M236">_xlfn.IFS(L236&lt;= 7000,"Low",L236&lt;=15000,"Medium",L236&lt;=20000,"High")</f>
        <v>Low</v>
      </c>
      <c r="N236" t="s">
        <v>18</v>
      </c>
      <c r="O236">
        <v>13</v>
      </c>
      <c r="P236">
        <v>3</v>
      </c>
      <c r="Q236">
        <v>3</v>
      </c>
      <c r="R236">
        <v>8</v>
      </c>
      <c r="S236">
        <v>1</v>
      </c>
      <c r="T236">
        <v>5</v>
      </c>
      <c r="U236">
        <v>4</v>
      </c>
    </row>
    <row r="237" spans="1:21" x14ac:dyDescent="0.35">
      <c r="A237">
        <v>43</v>
      </c>
      <c r="B237" t="str" cm="1">
        <f t="array" ref="B237">_xlfn.IFS(A237&gt;40,"Senior",A237&gt;30,"Adult",A237&gt;=18,"Teenager")</f>
        <v>Senior</v>
      </c>
      <c r="C237" t="s">
        <v>22</v>
      </c>
      <c r="D237">
        <f t="shared" si="3"/>
        <v>0</v>
      </c>
      <c r="E237" t="s">
        <v>19</v>
      </c>
      <c r="F237">
        <v>4</v>
      </c>
      <c r="G237" t="s">
        <v>20</v>
      </c>
      <c r="H237">
        <v>3</v>
      </c>
      <c r="I237">
        <v>4</v>
      </c>
      <c r="J237" t="s">
        <v>29</v>
      </c>
      <c r="K237">
        <v>4</v>
      </c>
      <c r="L237">
        <v>16064</v>
      </c>
      <c r="M237" t="str" cm="1">
        <f t="array" ref="M237">_xlfn.IFS(L237&lt;= 7000,"Low",L237&lt;=15000,"Medium",L237&lt;=20000,"High")</f>
        <v>High</v>
      </c>
      <c r="N237" t="s">
        <v>18</v>
      </c>
      <c r="O237">
        <v>22</v>
      </c>
      <c r="P237">
        <v>4</v>
      </c>
      <c r="Q237">
        <v>3</v>
      </c>
      <c r="R237">
        <v>22</v>
      </c>
      <c r="S237">
        <v>3</v>
      </c>
      <c r="T237">
        <v>17</v>
      </c>
      <c r="U237">
        <v>13</v>
      </c>
    </row>
    <row r="238" spans="1:21" x14ac:dyDescent="0.35">
      <c r="A238">
        <v>33</v>
      </c>
      <c r="B238" t="str" cm="1">
        <f t="array" ref="B238">_xlfn.IFS(A238&gt;40,"Senior",A238&gt;30,"Adult",A238&gt;=18,"Teenager")</f>
        <v>Adult</v>
      </c>
      <c r="C238" t="s">
        <v>18</v>
      </c>
      <c r="D238">
        <f t="shared" si="3"/>
        <v>1</v>
      </c>
      <c r="E238" t="s">
        <v>23</v>
      </c>
      <c r="F238">
        <v>1</v>
      </c>
      <c r="G238" t="s">
        <v>20</v>
      </c>
      <c r="H238">
        <v>3</v>
      </c>
      <c r="I238">
        <v>1</v>
      </c>
      <c r="J238" t="s">
        <v>26</v>
      </c>
      <c r="K238">
        <v>1</v>
      </c>
      <c r="L238">
        <v>2707</v>
      </c>
      <c r="M238" t="str" cm="1">
        <f t="array" ref="M238">_xlfn.IFS(L238&lt;= 7000,"Low",L238&lt;=15000,"Medium",L238&lt;=20000,"High")</f>
        <v>Low</v>
      </c>
      <c r="N238" t="s">
        <v>22</v>
      </c>
      <c r="O238">
        <v>20</v>
      </c>
      <c r="P238">
        <v>4</v>
      </c>
      <c r="Q238">
        <v>1</v>
      </c>
      <c r="R238">
        <v>13</v>
      </c>
      <c r="S238">
        <v>4</v>
      </c>
      <c r="T238">
        <v>9</v>
      </c>
      <c r="U238">
        <v>7</v>
      </c>
    </row>
    <row r="239" spans="1:21" x14ac:dyDescent="0.35">
      <c r="A239">
        <v>52</v>
      </c>
      <c r="B239" t="str" cm="1">
        <f t="array" ref="B239">_xlfn.IFS(A239&gt;40,"Senior",A239&gt;30,"Adult",A239&gt;=18,"Teenager")</f>
        <v>Senior</v>
      </c>
      <c r="C239" t="s">
        <v>22</v>
      </c>
      <c r="D239">
        <f t="shared" si="3"/>
        <v>0</v>
      </c>
      <c r="E239" t="s">
        <v>19</v>
      </c>
      <c r="F239">
        <v>1</v>
      </c>
      <c r="G239" t="s">
        <v>24</v>
      </c>
      <c r="H239">
        <v>2</v>
      </c>
      <c r="I239">
        <v>5</v>
      </c>
      <c r="J239" t="s">
        <v>29</v>
      </c>
      <c r="K239">
        <v>3</v>
      </c>
      <c r="L239">
        <v>19068</v>
      </c>
      <c r="M239" t="str" cm="1">
        <f t="array" ref="M239">_xlfn.IFS(L239&lt;= 7000,"Low",L239&lt;=15000,"Medium",L239&lt;=20000,"High")</f>
        <v>High</v>
      </c>
      <c r="N239" t="s">
        <v>18</v>
      </c>
      <c r="O239">
        <v>18</v>
      </c>
      <c r="P239">
        <v>3</v>
      </c>
      <c r="Q239">
        <v>4</v>
      </c>
      <c r="R239">
        <v>33</v>
      </c>
      <c r="S239">
        <v>4</v>
      </c>
      <c r="T239">
        <v>33</v>
      </c>
      <c r="U239">
        <v>7</v>
      </c>
    </row>
    <row r="240" spans="1:21" x14ac:dyDescent="0.35">
      <c r="A240">
        <v>32</v>
      </c>
      <c r="B240" t="str" cm="1">
        <f t="array" ref="B240">_xlfn.IFS(A240&gt;40,"Senior",A240&gt;30,"Adult",A240&gt;=18,"Teenager")</f>
        <v>Adult</v>
      </c>
      <c r="C240" t="s">
        <v>22</v>
      </c>
      <c r="D240">
        <f t="shared" si="3"/>
        <v>0</v>
      </c>
      <c r="E240" t="s">
        <v>19</v>
      </c>
      <c r="F240">
        <v>3</v>
      </c>
      <c r="G240" t="s">
        <v>20</v>
      </c>
      <c r="H240">
        <v>3</v>
      </c>
      <c r="I240">
        <v>1</v>
      </c>
      <c r="J240" t="s">
        <v>30</v>
      </c>
      <c r="K240">
        <v>2</v>
      </c>
      <c r="L240">
        <v>3931</v>
      </c>
      <c r="M240" t="str" cm="1">
        <f t="array" ref="M240">_xlfn.IFS(L240&lt;= 7000,"Low",L240&lt;=15000,"Medium",L240&lt;=20000,"High")</f>
        <v>Low</v>
      </c>
      <c r="N240" t="s">
        <v>22</v>
      </c>
      <c r="O240">
        <v>11</v>
      </c>
      <c r="P240">
        <v>3</v>
      </c>
      <c r="Q240">
        <v>1</v>
      </c>
      <c r="R240">
        <v>6</v>
      </c>
      <c r="S240">
        <v>3</v>
      </c>
      <c r="T240">
        <v>4</v>
      </c>
      <c r="U240">
        <v>3</v>
      </c>
    </row>
    <row r="241" spans="1:21" x14ac:dyDescent="0.35">
      <c r="A241">
        <v>32</v>
      </c>
      <c r="B241" t="str" cm="1">
        <f t="array" ref="B241">_xlfn.IFS(A241&gt;40,"Senior",A241&gt;30,"Adult",A241&gt;=18,"Teenager")</f>
        <v>Adult</v>
      </c>
      <c r="C241" t="s">
        <v>18</v>
      </c>
      <c r="D241">
        <f t="shared" si="3"/>
        <v>1</v>
      </c>
      <c r="E241" t="s">
        <v>23</v>
      </c>
      <c r="F241">
        <v>4</v>
      </c>
      <c r="G241" t="s">
        <v>24</v>
      </c>
      <c r="H241">
        <v>2</v>
      </c>
      <c r="I241">
        <v>1</v>
      </c>
      <c r="J241" t="s">
        <v>26</v>
      </c>
      <c r="K241">
        <v>3</v>
      </c>
      <c r="L241">
        <v>3730</v>
      </c>
      <c r="M241" t="str" cm="1">
        <f t="array" ref="M241">_xlfn.IFS(L241&lt;= 7000,"Low",L241&lt;=15000,"Medium",L241&lt;=20000,"High")</f>
        <v>Low</v>
      </c>
      <c r="N241" t="s">
        <v>18</v>
      </c>
      <c r="O241">
        <v>14</v>
      </c>
      <c r="P241">
        <v>3</v>
      </c>
      <c r="Q241">
        <v>4</v>
      </c>
      <c r="R241">
        <v>4</v>
      </c>
      <c r="S241">
        <v>1</v>
      </c>
      <c r="T241">
        <v>3</v>
      </c>
      <c r="U241">
        <v>2</v>
      </c>
    </row>
    <row r="242" spans="1:21" x14ac:dyDescent="0.35">
      <c r="A242">
        <v>39</v>
      </c>
      <c r="B242" t="str" cm="1">
        <f t="array" ref="B242">_xlfn.IFS(A242&gt;40,"Senior",A242&gt;30,"Adult",A242&gt;=18,"Teenager")</f>
        <v>Adult</v>
      </c>
      <c r="C242" t="s">
        <v>22</v>
      </c>
      <c r="D242">
        <f t="shared" si="3"/>
        <v>0</v>
      </c>
      <c r="E242" t="s">
        <v>23</v>
      </c>
      <c r="F242">
        <v>3</v>
      </c>
      <c r="G242" t="s">
        <v>20</v>
      </c>
      <c r="H242">
        <v>3</v>
      </c>
      <c r="I242">
        <v>1</v>
      </c>
      <c r="J242" t="s">
        <v>26</v>
      </c>
      <c r="K242">
        <v>3</v>
      </c>
      <c r="L242">
        <v>2232</v>
      </c>
      <c r="M242" t="str" cm="1">
        <f t="array" ref="M242">_xlfn.IFS(L242&lt;= 7000,"Low",L242&lt;=15000,"Medium",L242&lt;=20000,"High")</f>
        <v>Low</v>
      </c>
      <c r="N242" t="s">
        <v>22</v>
      </c>
      <c r="O242">
        <v>14</v>
      </c>
      <c r="P242">
        <v>3</v>
      </c>
      <c r="Q242">
        <v>3</v>
      </c>
      <c r="R242">
        <v>7</v>
      </c>
      <c r="S242">
        <v>3</v>
      </c>
      <c r="T242">
        <v>3</v>
      </c>
      <c r="U242">
        <v>2</v>
      </c>
    </row>
    <row r="243" spans="1:21" x14ac:dyDescent="0.35">
      <c r="A243">
        <v>32</v>
      </c>
      <c r="B243" t="str" cm="1">
        <f t="array" ref="B243">_xlfn.IFS(A243&gt;40,"Senior",A243&gt;30,"Adult",A243&gt;=18,"Teenager")</f>
        <v>Adult</v>
      </c>
      <c r="C243" t="s">
        <v>22</v>
      </c>
      <c r="D243">
        <f t="shared" si="3"/>
        <v>0</v>
      </c>
      <c r="E243" t="s">
        <v>19</v>
      </c>
      <c r="F243">
        <v>3</v>
      </c>
      <c r="G243" t="s">
        <v>24</v>
      </c>
      <c r="H243">
        <v>3</v>
      </c>
      <c r="I243">
        <v>2</v>
      </c>
      <c r="J243" t="s">
        <v>21</v>
      </c>
      <c r="K243">
        <v>4</v>
      </c>
      <c r="L243">
        <v>4465</v>
      </c>
      <c r="M243" t="str" cm="1">
        <f t="array" ref="M243">_xlfn.IFS(L243&lt;= 7000,"Low",L243&lt;=15000,"Medium",L243&lt;=20000,"High")</f>
        <v>Low</v>
      </c>
      <c r="N243" t="s">
        <v>22</v>
      </c>
      <c r="O243">
        <v>18</v>
      </c>
      <c r="P243">
        <v>3</v>
      </c>
      <c r="Q243">
        <v>1</v>
      </c>
      <c r="R243">
        <v>4</v>
      </c>
      <c r="S243">
        <v>3</v>
      </c>
      <c r="T243">
        <v>3</v>
      </c>
      <c r="U243">
        <v>2</v>
      </c>
    </row>
    <row r="244" spans="1:21" x14ac:dyDescent="0.35">
      <c r="A244">
        <v>41</v>
      </c>
      <c r="B244" t="str" cm="1">
        <f t="array" ref="B244">_xlfn.IFS(A244&gt;40,"Senior",A244&gt;30,"Adult",A244&gt;=18,"Teenager")</f>
        <v>Senior</v>
      </c>
      <c r="C244" t="s">
        <v>22</v>
      </c>
      <c r="D244">
        <f t="shared" si="3"/>
        <v>0</v>
      </c>
      <c r="E244" t="s">
        <v>23</v>
      </c>
      <c r="F244">
        <v>3</v>
      </c>
      <c r="G244" t="s">
        <v>24</v>
      </c>
      <c r="H244">
        <v>3</v>
      </c>
      <c r="I244">
        <v>2</v>
      </c>
      <c r="J244" t="s">
        <v>25</v>
      </c>
      <c r="K244">
        <v>1</v>
      </c>
      <c r="L244">
        <v>3072</v>
      </c>
      <c r="M244" t="str" cm="1">
        <f t="array" ref="M244">_xlfn.IFS(L244&lt;= 7000,"Low",L244&lt;=15000,"Medium",L244&lt;=20000,"High")</f>
        <v>Low</v>
      </c>
      <c r="N244" t="s">
        <v>22</v>
      </c>
      <c r="O244">
        <v>16</v>
      </c>
      <c r="P244">
        <v>3</v>
      </c>
      <c r="Q244">
        <v>1</v>
      </c>
      <c r="R244">
        <v>17</v>
      </c>
      <c r="S244">
        <v>2</v>
      </c>
      <c r="T244">
        <v>1</v>
      </c>
      <c r="U244">
        <v>0</v>
      </c>
    </row>
    <row r="245" spans="1:21" x14ac:dyDescent="0.35">
      <c r="A245">
        <v>40</v>
      </c>
      <c r="B245" t="str" cm="1">
        <f t="array" ref="B245">_xlfn.IFS(A245&gt;40,"Senior",A245&gt;30,"Adult",A245&gt;=18,"Teenager")</f>
        <v>Adult</v>
      </c>
      <c r="C245" t="s">
        <v>22</v>
      </c>
      <c r="D245">
        <f t="shared" si="3"/>
        <v>0</v>
      </c>
      <c r="E245" t="s">
        <v>23</v>
      </c>
      <c r="F245">
        <v>1</v>
      </c>
      <c r="G245" t="s">
        <v>24</v>
      </c>
      <c r="H245">
        <v>3</v>
      </c>
      <c r="I245">
        <v>2</v>
      </c>
      <c r="J245" t="s">
        <v>25</v>
      </c>
      <c r="K245">
        <v>4</v>
      </c>
      <c r="L245">
        <v>3319</v>
      </c>
      <c r="M245" t="str" cm="1">
        <f t="array" ref="M245">_xlfn.IFS(L245&lt;= 7000,"Low",L245&lt;=15000,"Medium",L245&lt;=20000,"High")</f>
        <v>Low</v>
      </c>
      <c r="N245" t="s">
        <v>22</v>
      </c>
      <c r="O245">
        <v>17</v>
      </c>
      <c r="P245">
        <v>3</v>
      </c>
      <c r="Q245">
        <v>1</v>
      </c>
      <c r="R245">
        <v>9</v>
      </c>
      <c r="S245">
        <v>3</v>
      </c>
      <c r="T245">
        <v>9</v>
      </c>
      <c r="U245">
        <v>8</v>
      </c>
    </row>
    <row r="246" spans="1:21" x14ac:dyDescent="0.35">
      <c r="A246">
        <v>45</v>
      </c>
      <c r="B246" t="str" cm="1">
        <f t="array" ref="B246">_xlfn.IFS(A246&gt;40,"Senior",A246&gt;30,"Adult",A246&gt;=18,"Teenager")</f>
        <v>Senior</v>
      </c>
      <c r="C246" t="s">
        <v>22</v>
      </c>
      <c r="D246">
        <f t="shared" si="3"/>
        <v>0</v>
      </c>
      <c r="E246" t="s">
        <v>23</v>
      </c>
      <c r="F246">
        <v>3</v>
      </c>
      <c r="G246" t="s">
        <v>24</v>
      </c>
      <c r="H246">
        <v>4</v>
      </c>
      <c r="I246">
        <v>5</v>
      </c>
      <c r="J246" t="s">
        <v>29</v>
      </c>
      <c r="K246">
        <v>4</v>
      </c>
      <c r="L246">
        <v>19202</v>
      </c>
      <c r="M246" t="str" cm="1">
        <f t="array" ref="M246">_xlfn.IFS(L246&lt;= 7000,"Low",L246&lt;=15000,"Medium",L246&lt;=20000,"High")</f>
        <v>High</v>
      </c>
      <c r="N246" t="s">
        <v>22</v>
      </c>
      <c r="O246">
        <v>11</v>
      </c>
      <c r="P246">
        <v>3</v>
      </c>
      <c r="Q246">
        <v>3</v>
      </c>
      <c r="R246">
        <v>25</v>
      </c>
      <c r="S246">
        <v>3</v>
      </c>
      <c r="T246">
        <v>24</v>
      </c>
      <c r="U246">
        <v>0</v>
      </c>
    </row>
    <row r="247" spans="1:21" x14ac:dyDescent="0.35">
      <c r="A247">
        <v>31</v>
      </c>
      <c r="B247" t="str" cm="1">
        <f t="array" ref="B247">_xlfn.IFS(A247&gt;40,"Senior",A247&gt;30,"Adult",A247&gt;=18,"Teenager")</f>
        <v>Adult</v>
      </c>
      <c r="C247" t="s">
        <v>22</v>
      </c>
      <c r="D247">
        <f t="shared" si="3"/>
        <v>0</v>
      </c>
      <c r="E247" t="s">
        <v>23</v>
      </c>
      <c r="F247">
        <v>2</v>
      </c>
      <c r="G247" t="s">
        <v>24</v>
      </c>
      <c r="H247">
        <v>3</v>
      </c>
      <c r="I247">
        <v>3</v>
      </c>
      <c r="J247" t="s">
        <v>31</v>
      </c>
      <c r="K247">
        <v>3</v>
      </c>
      <c r="L247">
        <v>13675</v>
      </c>
      <c r="M247" t="str" cm="1">
        <f t="array" ref="M247">_xlfn.IFS(L247&lt;= 7000,"Low",L247&lt;=15000,"Medium",L247&lt;=20000,"High")</f>
        <v>Medium</v>
      </c>
      <c r="N247" t="s">
        <v>22</v>
      </c>
      <c r="O247">
        <v>12</v>
      </c>
      <c r="P247">
        <v>3</v>
      </c>
      <c r="Q247">
        <v>1</v>
      </c>
      <c r="R247">
        <v>9</v>
      </c>
      <c r="S247">
        <v>3</v>
      </c>
      <c r="T247">
        <v>2</v>
      </c>
      <c r="U247">
        <v>2</v>
      </c>
    </row>
    <row r="248" spans="1:21" x14ac:dyDescent="0.35">
      <c r="A248">
        <v>33</v>
      </c>
      <c r="B248" t="str" cm="1">
        <f t="array" ref="B248">_xlfn.IFS(A248&gt;40,"Senior",A248&gt;30,"Adult",A248&gt;=18,"Teenager")</f>
        <v>Adult</v>
      </c>
      <c r="C248" t="s">
        <v>22</v>
      </c>
      <c r="D248">
        <f t="shared" si="3"/>
        <v>0</v>
      </c>
      <c r="E248" t="s">
        <v>23</v>
      </c>
      <c r="F248">
        <v>3</v>
      </c>
      <c r="G248" t="s">
        <v>20</v>
      </c>
      <c r="H248">
        <v>2</v>
      </c>
      <c r="I248">
        <v>1</v>
      </c>
      <c r="J248" t="s">
        <v>25</v>
      </c>
      <c r="K248">
        <v>4</v>
      </c>
      <c r="L248">
        <v>2911</v>
      </c>
      <c r="M248" t="str" cm="1">
        <f t="array" ref="M248">_xlfn.IFS(L248&lt;= 7000,"Low",L248&lt;=15000,"Medium",L248&lt;=20000,"High")</f>
        <v>Low</v>
      </c>
      <c r="N248" t="s">
        <v>22</v>
      </c>
      <c r="O248">
        <v>13</v>
      </c>
      <c r="P248">
        <v>3</v>
      </c>
      <c r="Q248">
        <v>3</v>
      </c>
      <c r="R248">
        <v>2</v>
      </c>
      <c r="S248">
        <v>2</v>
      </c>
      <c r="T248">
        <v>2</v>
      </c>
      <c r="U248">
        <v>2</v>
      </c>
    </row>
    <row r="249" spans="1:21" x14ac:dyDescent="0.35">
      <c r="A249">
        <v>34</v>
      </c>
      <c r="B249" t="str" cm="1">
        <f t="array" ref="B249">_xlfn.IFS(A249&gt;40,"Senior",A249&gt;30,"Adult",A249&gt;=18,"Teenager")</f>
        <v>Adult</v>
      </c>
      <c r="C249" t="s">
        <v>22</v>
      </c>
      <c r="D249">
        <f t="shared" si="3"/>
        <v>0</v>
      </c>
      <c r="E249" t="s">
        <v>23</v>
      </c>
      <c r="F249">
        <v>4</v>
      </c>
      <c r="G249" t="s">
        <v>24</v>
      </c>
      <c r="H249">
        <v>2</v>
      </c>
      <c r="I249">
        <v>2</v>
      </c>
      <c r="J249" t="s">
        <v>27</v>
      </c>
      <c r="K249">
        <v>1</v>
      </c>
      <c r="L249">
        <v>5957</v>
      </c>
      <c r="M249" t="str" cm="1">
        <f t="array" ref="M249">_xlfn.IFS(L249&lt;= 7000,"Low",L249&lt;=15000,"Medium",L249&lt;=20000,"High")</f>
        <v>Low</v>
      </c>
      <c r="N249" t="s">
        <v>22</v>
      </c>
      <c r="O249">
        <v>13</v>
      </c>
      <c r="P249">
        <v>3</v>
      </c>
      <c r="Q249">
        <v>2</v>
      </c>
      <c r="R249">
        <v>13</v>
      </c>
      <c r="S249">
        <v>3</v>
      </c>
      <c r="T249">
        <v>11</v>
      </c>
      <c r="U249">
        <v>9</v>
      </c>
    </row>
    <row r="250" spans="1:21" x14ac:dyDescent="0.35">
      <c r="A250">
        <v>37</v>
      </c>
      <c r="B250" t="str" cm="1">
        <f t="array" ref="B250">_xlfn.IFS(A250&gt;40,"Senior",A250&gt;30,"Adult",A250&gt;=18,"Teenager")</f>
        <v>Adult</v>
      </c>
      <c r="C250" t="s">
        <v>22</v>
      </c>
      <c r="D250">
        <f t="shared" si="3"/>
        <v>0</v>
      </c>
      <c r="E250" t="s">
        <v>23</v>
      </c>
      <c r="F250">
        <v>3</v>
      </c>
      <c r="G250" t="s">
        <v>20</v>
      </c>
      <c r="H250">
        <v>2</v>
      </c>
      <c r="I250">
        <v>1</v>
      </c>
      <c r="J250" t="s">
        <v>25</v>
      </c>
      <c r="K250">
        <v>1</v>
      </c>
      <c r="L250">
        <v>3920</v>
      </c>
      <c r="M250" t="str" cm="1">
        <f t="array" ref="M250">_xlfn.IFS(L250&lt;= 7000,"Low",L250&lt;=15000,"Medium",L250&lt;=20000,"High")</f>
        <v>Low</v>
      </c>
      <c r="N250" t="s">
        <v>22</v>
      </c>
      <c r="O250">
        <v>14</v>
      </c>
      <c r="P250">
        <v>3</v>
      </c>
      <c r="Q250">
        <v>1</v>
      </c>
      <c r="R250">
        <v>17</v>
      </c>
      <c r="S250">
        <v>2</v>
      </c>
      <c r="T250">
        <v>3</v>
      </c>
      <c r="U250">
        <v>1</v>
      </c>
    </row>
    <row r="251" spans="1:21" x14ac:dyDescent="0.35">
      <c r="A251">
        <v>45</v>
      </c>
      <c r="B251" t="str" cm="1">
        <f t="array" ref="B251">_xlfn.IFS(A251&gt;40,"Senior",A251&gt;30,"Adult",A251&gt;=18,"Teenager")</f>
        <v>Senior</v>
      </c>
      <c r="C251" t="s">
        <v>22</v>
      </c>
      <c r="D251">
        <f t="shared" si="3"/>
        <v>0</v>
      </c>
      <c r="E251" t="s">
        <v>23</v>
      </c>
      <c r="F251">
        <v>1</v>
      </c>
      <c r="G251" t="s">
        <v>24</v>
      </c>
      <c r="H251">
        <v>4</v>
      </c>
      <c r="I251">
        <v>2</v>
      </c>
      <c r="J251" t="s">
        <v>27</v>
      </c>
      <c r="K251">
        <v>3</v>
      </c>
      <c r="L251">
        <v>6434</v>
      </c>
      <c r="M251" t="str" cm="1">
        <f t="array" ref="M251">_xlfn.IFS(L251&lt;= 7000,"Low",L251&lt;=15000,"Medium",L251&lt;=20000,"High")</f>
        <v>Low</v>
      </c>
      <c r="N251" t="s">
        <v>22</v>
      </c>
      <c r="O251">
        <v>17</v>
      </c>
      <c r="P251">
        <v>3</v>
      </c>
      <c r="Q251">
        <v>4</v>
      </c>
      <c r="R251">
        <v>9</v>
      </c>
      <c r="S251">
        <v>3</v>
      </c>
      <c r="T251">
        <v>3</v>
      </c>
      <c r="U251">
        <v>2</v>
      </c>
    </row>
    <row r="252" spans="1:21" x14ac:dyDescent="0.35">
      <c r="A252">
        <v>37</v>
      </c>
      <c r="B252" t="str" cm="1">
        <f t="array" ref="B252">_xlfn.IFS(A252&gt;40,"Senior",A252&gt;30,"Adult",A252&gt;=18,"Teenager")</f>
        <v>Adult</v>
      </c>
      <c r="C252" t="s">
        <v>18</v>
      </c>
      <c r="D252">
        <f t="shared" si="3"/>
        <v>1</v>
      </c>
      <c r="E252" t="s">
        <v>23</v>
      </c>
      <c r="F252">
        <v>1</v>
      </c>
      <c r="G252" t="s">
        <v>24</v>
      </c>
      <c r="H252">
        <v>3</v>
      </c>
      <c r="I252">
        <v>3</v>
      </c>
      <c r="J252" t="s">
        <v>27</v>
      </c>
      <c r="K252">
        <v>3</v>
      </c>
      <c r="L252">
        <v>10048</v>
      </c>
      <c r="M252" t="str" cm="1">
        <f t="array" ref="M252">_xlfn.IFS(L252&lt;= 7000,"Low",L252&lt;=15000,"Medium",L252&lt;=20000,"High")</f>
        <v>Medium</v>
      </c>
      <c r="N252" t="s">
        <v>22</v>
      </c>
      <c r="O252">
        <v>11</v>
      </c>
      <c r="P252">
        <v>3</v>
      </c>
      <c r="Q252">
        <v>2</v>
      </c>
      <c r="R252">
        <v>17</v>
      </c>
      <c r="S252">
        <v>3</v>
      </c>
      <c r="T252">
        <v>1</v>
      </c>
      <c r="U252">
        <v>0</v>
      </c>
    </row>
    <row r="253" spans="1:21" x14ac:dyDescent="0.35">
      <c r="A253">
        <v>39</v>
      </c>
      <c r="B253" t="str" cm="1">
        <f t="array" ref="B253">_xlfn.IFS(A253&gt;40,"Senior",A253&gt;30,"Adult",A253&gt;=18,"Teenager")</f>
        <v>Adult</v>
      </c>
      <c r="C253" t="s">
        <v>22</v>
      </c>
      <c r="D253">
        <f t="shared" si="3"/>
        <v>0</v>
      </c>
      <c r="E253" t="s">
        <v>23</v>
      </c>
      <c r="F253">
        <v>3</v>
      </c>
      <c r="G253" t="s">
        <v>20</v>
      </c>
      <c r="H253">
        <v>3</v>
      </c>
      <c r="I253">
        <v>3</v>
      </c>
      <c r="J253" t="s">
        <v>28</v>
      </c>
      <c r="K253">
        <v>3</v>
      </c>
      <c r="L253">
        <v>10938</v>
      </c>
      <c r="M253" t="str" cm="1">
        <f t="array" ref="M253">_xlfn.IFS(L253&lt;= 7000,"Low",L253&lt;=15000,"Medium",L253&lt;=20000,"High")</f>
        <v>Medium</v>
      </c>
      <c r="N253" t="s">
        <v>22</v>
      </c>
      <c r="O253">
        <v>25</v>
      </c>
      <c r="P253">
        <v>4</v>
      </c>
      <c r="Q253">
        <v>4</v>
      </c>
      <c r="R253">
        <v>20</v>
      </c>
      <c r="S253">
        <v>3</v>
      </c>
      <c r="T253">
        <v>19</v>
      </c>
      <c r="U253">
        <v>6</v>
      </c>
    </row>
    <row r="254" spans="1:21" x14ac:dyDescent="0.35">
      <c r="A254">
        <v>29</v>
      </c>
      <c r="B254" t="str" cm="1">
        <f t="array" ref="B254">_xlfn.IFS(A254&gt;40,"Senior",A254&gt;30,"Adult",A254&gt;=18,"Teenager")</f>
        <v>Teenager</v>
      </c>
      <c r="C254" t="s">
        <v>22</v>
      </c>
      <c r="D254">
        <f t="shared" si="3"/>
        <v>0</v>
      </c>
      <c r="E254" t="s">
        <v>23</v>
      </c>
      <c r="F254">
        <v>3</v>
      </c>
      <c r="G254" t="s">
        <v>24</v>
      </c>
      <c r="H254">
        <v>3</v>
      </c>
      <c r="I254">
        <v>1</v>
      </c>
      <c r="J254" t="s">
        <v>25</v>
      </c>
      <c r="K254">
        <v>4</v>
      </c>
      <c r="L254">
        <v>2340</v>
      </c>
      <c r="M254" t="str" cm="1">
        <f t="array" ref="M254">_xlfn.IFS(L254&lt;= 7000,"Low",L254&lt;=15000,"Medium",L254&lt;=20000,"High")</f>
        <v>Low</v>
      </c>
      <c r="N254" t="s">
        <v>22</v>
      </c>
      <c r="O254">
        <v>19</v>
      </c>
      <c r="P254">
        <v>3</v>
      </c>
      <c r="Q254">
        <v>1</v>
      </c>
      <c r="R254">
        <v>6</v>
      </c>
      <c r="S254">
        <v>3</v>
      </c>
      <c r="T254">
        <v>6</v>
      </c>
      <c r="U254">
        <v>5</v>
      </c>
    </row>
    <row r="255" spans="1:21" x14ac:dyDescent="0.35">
      <c r="A255">
        <v>42</v>
      </c>
      <c r="B255" t="str" cm="1">
        <f t="array" ref="B255">_xlfn.IFS(A255&gt;40,"Senior",A255&gt;30,"Adult",A255&gt;=18,"Teenager")</f>
        <v>Senior</v>
      </c>
      <c r="C255" t="s">
        <v>22</v>
      </c>
      <c r="D255">
        <f t="shared" si="3"/>
        <v>0</v>
      </c>
      <c r="E255" t="s">
        <v>23</v>
      </c>
      <c r="F255">
        <v>4</v>
      </c>
      <c r="G255" t="s">
        <v>20</v>
      </c>
      <c r="H255">
        <v>4</v>
      </c>
      <c r="I255">
        <v>2</v>
      </c>
      <c r="J255" t="s">
        <v>25</v>
      </c>
      <c r="K255">
        <v>1</v>
      </c>
      <c r="L255">
        <v>6545</v>
      </c>
      <c r="M255" t="str" cm="1">
        <f t="array" ref="M255">_xlfn.IFS(L255&lt;= 7000,"Low",L255&lt;=15000,"Medium",L255&lt;=20000,"High")</f>
        <v>Low</v>
      </c>
      <c r="N255" t="s">
        <v>18</v>
      </c>
      <c r="O255">
        <v>13</v>
      </c>
      <c r="P255">
        <v>3</v>
      </c>
      <c r="Q255">
        <v>3</v>
      </c>
      <c r="R255">
        <v>10</v>
      </c>
      <c r="S255">
        <v>3</v>
      </c>
      <c r="T255">
        <v>3</v>
      </c>
      <c r="U255">
        <v>2</v>
      </c>
    </row>
    <row r="256" spans="1:21" x14ac:dyDescent="0.35">
      <c r="A256">
        <v>29</v>
      </c>
      <c r="B256" t="str" cm="1">
        <f t="array" ref="B256">_xlfn.IFS(A256&gt;40,"Senior",A256&gt;30,"Adult",A256&gt;=18,"Teenager")</f>
        <v>Teenager</v>
      </c>
      <c r="C256" t="s">
        <v>22</v>
      </c>
      <c r="D256">
        <f t="shared" si="3"/>
        <v>0</v>
      </c>
      <c r="E256" t="s">
        <v>19</v>
      </c>
      <c r="F256">
        <v>4</v>
      </c>
      <c r="G256" t="s">
        <v>24</v>
      </c>
      <c r="H256">
        <v>3</v>
      </c>
      <c r="I256">
        <v>2</v>
      </c>
      <c r="J256" t="s">
        <v>21</v>
      </c>
      <c r="K256">
        <v>4</v>
      </c>
      <c r="L256">
        <v>6931</v>
      </c>
      <c r="M256" t="str" cm="1">
        <f t="array" ref="M256">_xlfn.IFS(L256&lt;= 7000,"Low",L256&lt;=15000,"Medium",L256&lt;=20000,"High")</f>
        <v>Low</v>
      </c>
      <c r="N256" t="s">
        <v>22</v>
      </c>
      <c r="O256">
        <v>14</v>
      </c>
      <c r="P256">
        <v>3</v>
      </c>
      <c r="Q256">
        <v>4</v>
      </c>
      <c r="R256">
        <v>10</v>
      </c>
      <c r="S256">
        <v>3</v>
      </c>
      <c r="T256">
        <v>3</v>
      </c>
      <c r="U256">
        <v>2</v>
      </c>
    </row>
    <row r="257" spans="1:21" x14ac:dyDescent="0.35">
      <c r="A257">
        <v>25</v>
      </c>
      <c r="B257" t="str" cm="1">
        <f t="array" ref="B257">_xlfn.IFS(A257&gt;40,"Senior",A257&gt;30,"Adult",A257&gt;=18,"Teenager")</f>
        <v>Teenager</v>
      </c>
      <c r="C257" t="s">
        <v>22</v>
      </c>
      <c r="D257">
        <f t="shared" si="3"/>
        <v>0</v>
      </c>
      <c r="E257" t="s">
        <v>23</v>
      </c>
      <c r="F257">
        <v>1</v>
      </c>
      <c r="G257" t="s">
        <v>20</v>
      </c>
      <c r="H257">
        <v>3</v>
      </c>
      <c r="I257">
        <v>2</v>
      </c>
      <c r="J257" t="s">
        <v>27</v>
      </c>
      <c r="K257">
        <v>3</v>
      </c>
      <c r="L257">
        <v>4898</v>
      </c>
      <c r="M257" t="str" cm="1">
        <f t="array" ref="M257">_xlfn.IFS(L257&lt;= 7000,"Low",L257&lt;=15000,"Medium",L257&lt;=20000,"High")</f>
        <v>Low</v>
      </c>
      <c r="N257" t="s">
        <v>22</v>
      </c>
      <c r="O257">
        <v>12</v>
      </c>
      <c r="P257">
        <v>3</v>
      </c>
      <c r="Q257">
        <v>4</v>
      </c>
      <c r="R257">
        <v>5</v>
      </c>
      <c r="S257">
        <v>3</v>
      </c>
      <c r="T257">
        <v>4</v>
      </c>
      <c r="U257">
        <v>2</v>
      </c>
    </row>
    <row r="258" spans="1:21" x14ac:dyDescent="0.35">
      <c r="A258">
        <v>42</v>
      </c>
      <c r="B258" t="str" cm="1">
        <f t="array" ref="B258">_xlfn.IFS(A258&gt;40,"Senior",A258&gt;30,"Adult",A258&gt;=18,"Teenager")</f>
        <v>Senior</v>
      </c>
      <c r="C258" t="s">
        <v>22</v>
      </c>
      <c r="D258">
        <f t="shared" si="3"/>
        <v>0</v>
      </c>
      <c r="E258" t="s">
        <v>23</v>
      </c>
      <c r="F258">
        <v>4</v>
      </c>
      <c r="G258" t="s">
        <v>20</v>
      </c>
      <c r="H258">
        <v>2</v>
      </c>
      <c r="I258">
        <v>1</v>
      </c>
      <c r="J258" t="s">
        <v>26</v>
      </c>
      <c r="K258">
        <v>1</v>
      </c>
      <c r="L258">
        <v>2593</v>
      </c>
      <c r="M258" t="str" cm="1">
        <f t="array" ref="M258">_xlfn.IFS(L258&lt;= 7000,"Low",L258&lt;=15000,"Medium",L258&lt;=20000,"High")</f>
        <v>Low</v>
      </c>
      <c r="N258" t="s">
        <v>18</v>
      </c>
      <c r="O258">
        <v>11</v>
      </c>
      <c r="P258">
        <v>3</v>
      </c>
      <c r="Q258">
        <v>3</v>
      </c>
      <c r="R258">
        <v>10</v>
      </c>
      <c r="S258">
        <v>3</v>
      </c>
      <c r="T258">
        <v>9</v>
      </c>
      <c r="U258">
        <v>6</v>
      </c>
    </row>
    <row r="259" spans="1:21" x14ac:dyDescent="0.35">
      <c r="A259">
        <v>40</v>
      </c>
      <c r="B259" t="str" cm="1">
        <f t="array" ref="B259">_xlfn.IFS(A259&gt;40,"Senior",A259&gt;30,"Adult",A259&gt;=18,"Teenager")</f>
        <v>Adult</v>
      </c>
      <c r="C259" t="s">
        <v>22</v>
      </c>
      <c r="D259">
        <f t="shared" ref="D259:D322" si="4">IF(C259="Yes",1,0)</f>
        <v>0</v>
      </c>
      <c r="E259" t="s">
        <v>23</v>
      </c>
      <c r="F259">
        <v>1</v>
      </c>
      <c r="G259" t="s">
        <v>24</v>
      </c>
      <c r="H259">
        <v>3</v>
      </c>
      <c r="I259">
        <v>5</v>
      </c>
      <c r="J259" t="s">
        <v>31</v>
      </c>
      <c r="K259">
        <v>3</v>
      </c>
      <c r="L259">
        <v>19436</v>
      </c>
      <c r="M259" t="str" cm="1">
        <f t="array" ref="M259">_xlfn.IFS(L259&lt;= 7000,"Low",L259&lt;=15000,"Medium",L259&lt;=20000,"High")</f>
        <v>High</v>
      </c>
      <c r="N259" t="s">
        <v>22</v>
      </c>
      <c r="O259">
        <v>19</v>
      </c>
      <c r="P259">
        <v>3</v>
      </c>
      <c r="Q259">
        <v>4</v>
      </c>
      <c r="R259">
        <v>22</v>
      </c>
      <c r="S259">
        <v>3</v>
      </c>
      <c r="T259">
        <v>21</v>
      </c>
      <c r="U259">
        <v>7</v>
      </c>
    </row>
    <row r="260" spans="1:21" x14ac:dyDescent="0.35">
      <c r="A260">
        <v>51</v>
      </c>
      <c r="B260" t="str" cm="1">
        <f t="array" ref="B260">_xlfn.IFS(A260&gt;40,"Senior",A260&gt;30,"Adult",A260&gt;=18,"Teenager")</f>
        <v>Senior</v>
      </c>
      <c r="C260" t="s">
        <v>22</v>
      </c>
      <c r="D260">
        <f t="shared" si="4"/>
        <v>0</v>
      </c>
      <c r="E260" t="s">
        <v>23</v>
      </c>
      <c r="F260">
        <v>3</v>
      </c>
      <c r="G260" t="s">
        <v>24</v>
      </c>
      <c r="H260">
        <v>3</v>
      </c>
      <c r="I260">
        <v>1</v>
      </c>
      <c r="J260" t="s">
        <v>25</v>
      </c>
      <c r="K260">
        <v>4</v>
      </c>
      <c r="L260">
        <v>2723</v>
      </c>
      <c r="M260" t="str" cm="1">
        <f t="array" ref="M260">_xlfn.IFS(L260&lt;= 7000,"Low",L260&lt;=15000,"Medium",L260&lt;=20000,"High")</f>
        <v>Low</v>
      </c>
      <c r="N260" t="s">
        <v>22</v>
      </c>
      <c r="O260">
        <v>11</v>
      </c>
      <c r="P260">
        <v>3</v>
      </c>
      <c r="Q260">
        <v>2</v>
      </c>
      <c r="R260">
        <v>1</v>
      </c>
      <c r="S260">
        <v>2</v>
      </c>
      <c r="T260">
        <v>1</v>
      </c>
      <c r="U260">
        <v>0</v>
      </c>
    </row>
    <row r="261" spans="1:21" x14ac:dyDescent="0.35">
      <c r="A261">
        <v>31</v>
      </c>
      <c r="B261" t="str" cm="1">
        <f t="array" ref="B261">_xlfn.IFS(A261&gt;40,"Senior",A261&gt;30,"Adult",A261&gt;=18,"Teenager")</f>
        <v>Adult</v>
      </c>
      <c r="C261" t="s">
        <v>18</v>
      </c>
      <c r="D261">
        <f t="shared" si="4"/>
        <v>1</v>
      </c>
      <c r="E261" t="s">
        <v>23</v>
      </c>
      <c r="F261">
        <v>3</v>
      </c>
      <c r="G261" t="s">
        <v>24</v>
      </c>
      <c r="H261">
        <v>2</v>
      </c>
      <c r="I261">
        <v>1</v>
      </c>
      <c r="J261" t="s">
        <v>26</v>
      </c>
      <c r="K261">
        <v>2</v>
      </c>
      <c r="L261">
        <v>3479</v>
      </c>
      <c r="M261" t="str" cm="1">
        <f t="array" ref="M261">_xlfn.IFS(L261&lt;= 7000,"Low",L261&lt;=15000,"Medium",L261&lt;=20000,"High")</f>
        <v>Low</v>
      </c>
      <c r="N261" t="s">
        <v>22</v>
      </c>
      <c r="O261">
        <v>11</v>
      </c>
      <c r="P261">
        <v>3</v>
      </c>
      <c r="Q261">
        <v>2</v>
      </c>
      <c r="R261">
        <v>6</v>
      </c>
      <c r="S261">
        <v>4</v>
      </c>
      <c r="T261">
        <v>5</v>
      </c>
      <c r="U261">
        <v>4</v>
      </c>
    </row>
    <row r="262" spans="1:21" x14ac:dyDescent="0.35">
      <c r="A262">
        <v>32</v>
      </c>
      <c r="B262" t="str" cm="1">
        <f t="array" ref="B262">_xlfn.IFS(A262&gt;40,"Senior",A262&gt;30,"Adult",A262&gt;=18,"Teenager")</f>
        <v>Adult</v>
      </c>
      <c r="C262" t="s">
        <v>22</v>
      </c>
      <c r="D262">
        <f t="shared" si="4"/>
        <v>0</v>
      </c>
      <c r="E262" t="s">
        <v>23</v>
      </c>
      <c r="F262">
        <v>2</v>
      </c>
      <c r="G262" t="s">
        <v>24</v>
      </c>
      <c r="H262">
        <v>4</v>
      </c>
      <c r="I262">
        <v>1</v>
      </c>
      <c r="J262" t="s">
        <v>26</v>
      </c>
      <c r="K262">
        <v>2</v>
      </c>
      <c r="L262">
        <v>2794</v>
      </c>
      <c r="M262" t="str" cm="1">
        <f t="array" ref="M262">_xlfn.IFS(L262&lt;= 7000,"Low",L262&lt;=15000,"Medium",L262&lt;=20000,"High")</f>
        <v>Low</v>
      </c>
      <c r="N262" t="s">
        <v>22</v>
      </c>
      <c r="O262">
        <v>20</v>
      </c>
      <c r="P262">
        <v>4</v>
      </c>
      <c r="Q262">
        <v>3</v>
      </c>
      <c r="R262">
        <v>5</v>
      </c>
      <c r="S262">
        <v>1</v>
      </c>
      <c r="T262">
        <v>5</v>
      </c>
      <c r="U262">
        <v>1</v>
      </c>
    </row>
    <row r="263" spans="1:21" x14ac:dyDescent="0.35">
      <c r="A263">
        <v>38</v>
      </c>
      <c r="B263" t="str" cm="1">
        <f t="array" ref="B263">_xlfn.IFS(A263&gt;40,"Senior",A263&gt;30,"Adult",A263&gt;=18,"Teenager")</f>
        <v>Adult</v>
      </c>
      <c r="C263" t="s">
        <v>22</v>
      </c>
      <c r="D263">
        <f t="shared" si="4"/>
        <v>0</v>
      </c>
      <c r="E263" t="s">
        <v>19</v>
      </c>
      <c r="F263">
        <v>4</v>
      </c>
      <c r="G263" t="s">
        <v>24</v>
      </c>
      <c r="H263">
        <v>2</v>
      </c>
      <c r="I263">
        <v>2</v>
      </c>
      <c r="J263" t="s">
        <v>21</v>
      </c>
      <c r="K263">
        <v>4</v>
      </c>
      <c r="L263">
        <v>5249</v>
      </c>
      <c r="M263" t="str" cm="1">
        <f t="array" ref="M263">_xlfn.IFS(L263&lt;= 7000,"Low",L263&lt;=15000,"Medium",L263&lt;=20000,"High")</f>
        <v>Low</v>
      </c>
      <c r="N263" t="s">
        <v>22</v>
      </c>
      <c r="O263">
        <v>18</v>
      </c>
      <c r="P263">
        <v>3</v>
      </c>
      <c r="Q263">
        <v>4</v>
      </c>
      <c r="R263">
        <v>13</v>
      </c>
      <c r="S263">
        <v>3</v>
      </c>
      <c r="T263">
        <v>8</v>
      </c>
      <c r="U263">
        <v>7</v>
      </c>
    </row>
    <row r="264" spans="1:21" x14ac:dyDescent="0.35">
      <c r="A264">
        <v>32</v>
      </c>
      <c r="B264" t="str" cm="1">
        <f t="array" ref="B264">_xlfn.IFS(A264&gt;40,"Senior",A264&gt;30,"Adult",A264&gt;=18,"Teenager")</f>
        <v>Adult</v>
      </c>
      <c r="C264" t="s">
        <v>22</v>
      </c>
      <c r="D264">
        <f t="shared" si="4"/>
        <v>0</v>
      </c>
      <c r="E264" t="s">
        <v>23</v>
      </c>
      <c r="F264">
        <v>4</v>
      </c>
      <c r="G264" t="s">
        <v>24</v>
      </c>
      <c r="H264">
        <v>2</v>
      </c>
      <c r="I264">
        <v>2</v>
      </c>
      <c r="J264" t="s">
        <v>26</v>
      </c>
      <c r="K264">
        <v>1</v>
      </c>
      <c r="L264">
        <v>2176</v>
      </c>
      <c r="M264" t="str" cm="1">
        <f t="array" ref="M264">_xlfn.IFS(L264&lt;= 7000,"Low",L264&lt;=15000,"Medium",L264&lt;=20000,"High")</f>
        <v>Low</v>
      </c>
      <c r="N264" t="s">
        <v>22</v>
      </c>
      <c r="O264">
        <v>13</v>
      </c>
      <c r="P264">
        <v>3</v>
      </c>
      <c r="Q264">
        <v>4</v>
      </c>
      <c r="R264">
        <v>9</v>
      </c>
      <c r="S264">
        <v>3</v>
      </c>
      <c r="T264">
        <v>6</v>
      </c>
      <c r="U264">
        <v>2</v>
      </c>
    </row>
    <row r="265" spans="1:21" x14ac:dyDescent="0.35">
      <c r="A265">
        <v>46</v>
      </c>
      <c r="B265" t="str" cm="1">
        <f t="array" ref="B265">_xlfn.IFS(A265&gt;40,"Senior",A265&gt;30,"Adult",A265&gt;=18,"Teenager")</f>
        <v>Senior</v>
      </c>
      <c r="C265" t="s">
        <v>22</v>
      </c>
      <c r="D265">
        <f t="shared" si="4"/>
        <v>0</v>
      </c>
      <c r="E265" t="s">
        <v>19</v>
      </c>
      <c r="F265">
        <v>3</v>
      </c>
      <c r="G265" t="s">
        <v>20</v>
      </c>
      <c r="H265">
        <v>1</v>
      </c>
      <c r="I265">
        <v>4</v>
      </c>
      <c r="J265" t="s">
        <v>29</v>
      </c>
      <c r="K265">
        <v>2</v>
      </c>
      <c r="L265">
        <v>16872</v>
      </c>
      <c r="M265" t="str" cm="1">
        <f t="array" ref="M265">_xlfn.IFS(L265&lt;= 7000,"Low",L265&lt;=15000,"Medium",L265&lt;=20000,"High")</f>
        <v>High</v>
      </c>
      <c r="N265" t="s">
        <v>18</v>
      </c>
      <c r="O265">
        <v>12</v>
      </c>
      <c r="P265">
        <v>3</v>
      </c>
      <c r="Q265">
        <v>2</v>
      </c>
      <c r="R265">
        <v>28</v>
      </c>
      <c r="S265">
        <v>2</v>
      </c>
      <c r="T265">
        <v>7</v>
      </c>
      <c r="U265">
        <v>7</v>
      </c>
    </row>
    <row r="266" spans="1:21" x14ac:dyDescent="0.35">
      <c r="A266">
        <v>28</v>
      </c>
      <c r="B266" t="str" cm="1">
        <f t="array" ref="B266">_xlfn.IFS(A266&gt;40,"Senior",A266&gt;30,"Adult",A266&gt;=18,"Teenager")</f>
        <v>Teenager</v>
      </c>
      <c r="C266" t="s">
        <v>18</v>
      </c>
      <c r="D266">
        <f t="shared" si="4"/>
        <v>1</v>
      </c>
      <c r="E266" t="s">
        <v>23</v>
      </c>
      <c r="F266">
        <v>1</v>
      </c>
      <c r="G266" t="s">
        <v>24</v>
      </c>
      <c r="H266">
        <v>3</v>
      </c>
      <c r="I266">
        <v>1</v>
      </c>
      <c r="J266" t="s">
        <v>26</v>
      </c>
      <c r="K266">
        <v>3</v>
      </c>
      <c r="L266">
        <v>3485</v>
      </c>
      <c r="M266" t="str" cm="1">
        <f t="array" ref="M266">_xlfn.IFS(L266&lt;= 7000,"Low",L266&lt;=15000,"Medium",L266&lt;=20000,"High")</f>
        <v>Low</v>
      </c>
      <c r="N266" t="s">
        <v>22</v>
      </c>
      <c r="O266">
        <v>11</v>
      </c>
      <c r="P266">
        <v>3</v>
      </c>
      <c r="Q266">
        <v>3</v>
      </c>
      <c r="R266">
        <v>5</v>
      </c>
      <c r="S266">
        <v>1</v>
      </c>
      <c r="T266">
        <v>0</v>
      </c>
      <c r="U266">
        <v>0</v>
      </c>
    </row>
    <row r="267" spans="1:21" x14ac:dyDescent="0.35">
      <c r="A267">
        <v>29</v>
      </c>
      <c r="B267" t="str" cm="1">
        <f t="array" ref="B267">_xlfn.IFS(A267&gt;40,"Senior",A267&gt;30,"Adult",A267&gt;=18,"Teenager")</f>
        <v>Teenager</v>
      </c>
      <c r="C267" t="s">
        <v>22</v>
      </c>
      <c r="D267">
        <f t="shared" si="4"/>
        <v>0</v>
      </c>
      <c r="E267" t="s">
        <v>19</v>
      </c>
      <c r="F267">
        <v>1</v>
      </c>
      <c r="G267" t="s">
        <v>24</v>
      </c>
      <c r="H267">
        <v>2</v>
      </c>
      <c r="I267">
        <v>2</v>
      </c>
      <c r="J267" t="s">
        <v>21</v>
      </c>
      <c r="K267">
        <v>2</v>
      </c>
      <c r="L267">
        <v>6644</v>
      </c>
      <c r="M267" t="str" cm="1">
        <f t="array" ref="M267">_xlfn.IFS(L267&lt;= 7000,"Low",L267&lt;=15000,"Medium",L267&lt;=20000,"High")</f>
        <v>Low</v>
      </c>
      <c r="N267" t="s">
        <v>22</v>
      </c>
      <c r="O267">
        <v>19</v>
      </c>
      <c r="P267">
        <v>3</v>
      </c>
      <c r="Q267">
        <v>2</v>
      </c>
      <c r="R267">
        <v>10</v>
      </c>
      <c r="S267">
        <v>3</v>
      </c>
      <c r="T267">
        <v>0</v>
      </c>
      <c r="U267">
        <v>0</v>
      </c>
    </row>
    <row r="268" spans="1:21" x14ac:dyDescent="0.35">
      <c r="A268">
        <v>31</v>
      </c>
      <c r="B268" t="str" cm="1">
        <f t="array" ref="B268">_xlfn.IFS(A268&gt;40,"Senior",A268&gt;30,"Adult",A268&gt;=18,"Teenager")</f>
        <v>Adult</v>
      </c>
      <c r="C268" t="s">
        <v>22</v>
      </c>
      <c r="D268">
        <f t="shared" si="4"/>
        <v>0</v>
      </c>
      <c r="E268" t="s">
        <v>23</v>
      </c>
      <c r="F268">
        <v>2</v>
      </c>
      <c r="G268" t="s">
        <v>24</v>
      </c>
      <c r="H268">
        <v>2</v>
      </c>
      <c r="I268">
        <v>2</v>
      </c>
      <c r="J268" t="s">
        <v>28</v>
      </c>
      <c r="K268">
        <v>4</v>
      </c>
      <c r="L268">
        <v>5582</v>
      </c>
      <c r="M268" t="str" cm="1">
        <f t="array" ref="M268">_xlfn.IFS(L268&lt;= 7000,"Low",L268&lt;=15000,"Medium",L268&lt;=20000,"High")</f>
        <v>Low</v>
      </c>
      <c r="N268" t="s">
        <v>22</v>
      </c>
      <c r="O268">
        <v>21</v>
      </c>
      <c r="P268">
        <v>4</v>
      </c>
      <c r="Q268">
        <v>2</v>
      </c>
      <c r="R268">
        <v>10</v>
      </c>
      <c r="S268">
        <v>3</v>
      </c>
      <c r="T268">
        <v>9</v>
      </c>
      <c r="U268">
        <v>0</v>
      </c>
    </row>
    <row r="269" spans="1:21" x14ac:dyDescent="0.35">
      <c r="A269">
        <v>25</v>
      </c>
      <c r="B269" t="str" cm="1">
        <f t="array" ref="B269">_xlfn.IFS(A269&gt;40,"Senior",A269&gt;30,"Adult",A269&gt;=18,"Teenager")</f>
        <v>Teenager</v>
      </c>
      <c r="C269" t="s">
        <v>22</v>
      </c>
      <c r="D269">
        <f t="shared" si="4"/>
        <v>0</v>
      </c>
      <c r="E269" t="s">
        <v>23</v>
      </c>
      <c r="F269">
        <v>2</v>
      </c>
      <c r="G269" t="s">
        <v>24</v>
      </c>
      <c r="H269">
        <v>4</v>
      </c>
      <c r="I269">
        <v>2</v>
      </c>
      <c r="J269" t="s">
        <v>28</v>
      </c>
      <c r="K269">
        <v>1</v>
      </c>
      <c r="L269">
        <v>4000</v>
      </c>
      <c r="M269" t="str" cm="1">
        <f t="array" ref="M269">_xlfn.IFS(L269&lt;= 7000,"Low",L269&lt;=15000,"Medium",L269&lt;=20000,"High")</f>
        <v>Low</v>
      </c>
      <c r="N269" t="s">
        <v>22</v>
      </c>
      <c r="O269">
        <v>12</v>
      </c>
      <c r="P269">
        <v>3</v>
      </c>
      <c r="Q269">
        <v>4</v>
      </c>
      <c r="R269">
        <v>6</v>
      </c>
      <c r="S269">
        <v>3</v>
      </c>
      <c r="T269">
        <v>6</v>
      </c>
      <c r="U269">
        <v>3</v>
      </c>
    </row>
    <row r="270" spans="1:21" x14ac:dyDescent="0.35">
      <c r="A270">
        <v>45</v>
      </c>
      <c r="B270" t="str" cm="1">
        <f t="array" ref="B270">_xlfn.IFS(A270&gt;40,"Senior",A270&gt;30,"Adult",A270&gt;=18,"Teenager")</f>
        <v>Senior</v>
      </c>
      <c r="C270" t="s">
        <v>22</v>
      </c>
      <c r="D270">
        <f t="shared" si="4"/>
        <v>0</v>
      </c>
      <c r="E270" t="s">
        <v>23</v>
      </c>
      <c r="F270">
        <v>3</v>
      </c>
      <c r="G270" t="s">
        <v>24</v>
      </c>
      <c r="H270">
        <v>3</v>
      </c>
      <c r="I270">
        <v>4</v>
      </c>
      <c r="J270" t="s">
        <v>28</v>
      </c>
      <c r="K270">
        <v>4</v>
      </c>
      <c r="L270">
        <v>13496</v>
      </c>
      <c r="M270" t="str" cm="1">
        <f t="array" ref="M270">_xlfn.IFS(L270&lt;= 7000,"Low",L270&lt;=15000,"Medium",L270&lt;=20000,"High")</f>
        <v>Medium</v>
      </c>
      <c r="N270" t="s">
        <v>18</v>
      </c>
      <c r="O270">
        <v>14</v>
      </c>
      <c r="P270">
        <v>3</v>
      </c>
      <c r="Q270">
        <v>2</v>
      </c>
      <c r="R270">
        <v>21</v>
      </c>
      <c r="S270">
        <v>3</v>
      </c>
      <c r="T270">
        <v>20</v>
      </c>
      <c r="U270">
        <v>7</v>
      </c>
    </row>
    <row r="271" spans="1:21" x14ac:dyDescent="0.35">
      <c r="A271">
        <v>36</v>
      </c>
      <c r="B271" t="str" cm="1">
        <f t="array" ref="B271">_xlfn.IFS(A271&gt;40,"Senior",A271&gt;30,"Adult",A271&gt;=18,"Teenager")</f>
        <v>Adult</v>
      </c>
      <c r="C271" t="s">
        <v>22</v>
      </c>
      <c r="D271">
        <f t="shared" si="4"/>
        <v>0</v>
      </c>
      <c r="E271" t="s">
        <v>23</v>
      </c>
      <c r="F271">
        <v>4</v>
      </c>
      <c r="G271" t="s">
        <v>24</v>
      </c>
      <c r="H271">
        <v>3</v>
      </c>
      <c r="I271">
        <v>1</v>
      </c>
      <c r="J271" t="s">
        <v>26</v>
      </c>
      <c r="K271">
        <v>4</v>
      </c>
      <c r="L271">
        <v>3210</v>
      </c>
      <c r="M271" t="str" cm="1">
        <f t="array" ref="M271">_xlfn.IFS(L271&lt;= 7000,"Low",L271&lt;=15000,"Medium",L271&lt;=20000,"High")</f>
        <v>Low</v>
      </c>
      <c r="N271" t="s">
        <v>22</v>
      </c>
      <c r="O271">
        <v>11</v>
      </c>
      <c r="P271">
        <v>3</v>
      </c>
      <c r="Q271">
        <v>3</v>
      </c>
      <c r="R271">
        <v>16</v>
      </c>
      <c r="S271">
        <v>3</v>
      </c>
      <c r="T271">
        <v>15</v>
      </c>
      <c r="U271">
        <v>13</v>
      </c>
    </row>
    <row r="272" spans="1:21" x14ac:dyDescent="0.35">
      <c r="A272">
        <v>55</v>
      </c>
      <c r="B272" t="str" cm="1">
        <f t="array" ref="B272">_xlfn.IFS(A272&gt;40,"Senior",A272&gt;30,"Adult",A272&gt;=18,"Teenager")</f>
        <v>Senior</v>
      </c>
      <c r="C272" t="s">
        <v>22</v>
      </c>
      <c r="D272">
        <f t="shared" si="4"/>
        <v>0</v>
      </c>
      <c r="E272" t="s">
        <v>23</v>
      </c>
      <c r="F272">
        <v>4</v>
      </c>
      <c r="G272" t="s">
        <v>24</v>
      </c>
      <c r="H272">
        <v>3</v>
      </c>
      <c r="I272">
        <v>5</v>
      </c>
      <c r="J272" t="s">
        <v>29</v>
      </c>
      <c r="K272">
        <v>1</v>
      </c>
      <c r="L272">
        <v>19045</v>
      </c>
      <c r="M272" t="str" cm="1">
        <f t="array" ref="M272">_xlfn.IFS(L272&lt;= 7000,"Low",L272&lt;=15000,"Medium",L272&lt;=20000,"High")</f>
        <v>High</v>
      </c>
      <c r="N272" t="s">
        <v>18</v>
      </c>
      <c r="O272">
        <v>14</v>
      </c>
      <c r="P272">
        <v>3</v>
      </c>
      <c r="Q272">
        <v>3</v>
      </c>
      <c r="R272">
        <v>37</v>
      </c>
      <c r="S272">
        <v>3</v>
      </c>
      <c r="T272">
        <v>36</v>
      </c>
      <c r="U272">
        <v>10</v>
      </c>
    </row>
    <row r="273" spans="1:21" x14ac:dyDescent="0.35">
      <c r="A273">
        <v>47</v>
      </c>
      <c r="B273" t="str" cm="1">
        <f t="array" ref="B273">_xlfn.IFS(A273&gt;40,"Senior",A273&gt;30,"Adult",A273&gt;=18,"Teenager")</f>
        <v>Senior</v>
      </c>
      <c r="C273" t="s">
        <v>18</v>
      </c>
      <c r="D273">
        <f t="shared" si="4"/>
        <v>1</v>
      </c>
      <c r="E273" t="s">
        <v>23</v>
      </c>
      <c r="F273">
        <v>1</v>
      </c>
      <c r="G273" t="s">
        <v>24</v>
      </c>
      <c r="H273">
        <v>3</v>
      </c>
      <c r="I273">
        <v>3</v>
      </c>
      <c r="J273" t="s">
        <v>29</v>
      </c>
      <c r="K273">
        <v>2</v>
      </c>
      <c r="L273">
        <v>11849</v>
      </c>
      <c r="M273" t="str" cm="1">
        <f t="array" ref="M273">_xlfn.IFS(L273&lt;= 7000,"Low",L273&lt;=15000,"Medium",L273&lt;=20000,"High")</f>
        <v>Medium</v>
      </c>
      <c r="N273" t="s">
        <v>18</v>
      </c>
      <c r="O273">
        <v>12</v>
      </c>
      <c r="P273">
        <v>3</v>
      </c>
      <c r="Q273">
        <v>4</v>
      </c>
      <c r="R273">
        <v>10</v>
      </c>
      <c r="S273">
        <v>2</v>
      </c>
      <c r="T273">
        <v>10</v>
      </c>
      <c r="U273">
        <v>7</v>
      </c>
    </row>
    <row r="274" spans="1:21" x14ac:dyDescent="0.35">
      <c r="A274">
        <v>28</v>
      </c>
      <c r="B274" t="str" cm="1">
        <f t="array" ref="B274">_xlfn.IFS(A274&gt;40,"Senior",A274&gt;30,"Adult",A274&gt;=18,"Teenager")</f>
        <v>Teenager</v>
      </c>
      <c r="C274" t="s">
        <v>22</v>
      </c>
      <c r="D274">
        <f t="shared" si="4"/>
        <v>0</v>
      </c>
      <c r="E274" t="s">
        <v>23</v>
      </c>
      <c r="F274">
        <v>4</v>
      </c>
      <c r="G274" t="s">
        <v>24</v>
      </c>
      <c r="H274">
        <v>3</v>
      </c>
      <c r="I274">
        <v>1</v>
      </c>
      <c r="J274" t="s">
        <v>25</v>
      </c>
      <c r="K274">
        <v>4</v>
      </c>
      <c r="L274">
        <v>2070</v>
      </c>
      <c r="M274" t="str" cm="1">
        <f t="array" ref="M274">_xlfn.IFS(L274&lt;= 7000,"Low",L274&lt;=15000,"Medium",L274&lt;=20000,"High")</f>
        <v>Low</v>
      </c>
      <c r="N274" t="s">
        <v>22</v>
      </c>
      <c r="O274">
        <v>23</v>
      </c>
      <c r="P274">
        <v>4</v>
      </c>
      <c r="Q274">
        <v>4</v>
      </c>
      <c r="R274">
        <v>5</v>
      </c>
      <c r="S274">
        <v>2</v>
      </c>
      <c r="T274">
        <v>5</v>
      </c>
      <c r="U274">
        <v>2</v>
      </c>
    </row>
    <row r="275" spans="1:21" x14ac:dyDescent="0.35">
      <c r="A275">
        <v>37</v>
      </c>
      <c r="B275" t="str" cm="1">
        <f t="array" ref="B275">_xlfn.IFS(A275&gt;40,"Senior",A275&gt;30,"Adult",A275&gt;=18,"Teenager")</f>
        <v>Adult</v>
      </c>
      <c r="C275" t="s">
        <v>22</v>
      </c>
      <c r="D275">
        <f t="shared" si="4"/>
        <v>0</v>
      </c>
      <c r="E275" t="s">
        <v>19</v>
      </c>
      <c r="F275">
        <v>3</v>
      </c>
      <c r="G275" t="s">
        <v>24</v>
      </c>
      <c r="H275">
        <v>3</v>
      </c>
      <c r="I275">
        <v>2</v>
      </c>
      <c r="J275" t="s">
        <v>21</v>
      </c>
      <c r="K275">
        <v>4</v>
      </c>
      <c r="L275">
        <v>6502</v>
      </c>
      <c r="M275" t="str" cm="1">
        <f t="array" ref="M275">_xlfn.IFS(L275&lt;= 7000,"Low",L275&lt;=15000,"Medium",L275&lt;=20000,"High")</f>
        <v>Low</v>
      </c>
      <c r="N275" t="s">
        <v>22</v>
      </c>
      <c r="O275">
        <v>14</v>
      </c>
      <c r="P275">
        <v>3</v>
      </c>
      <c r="Q275">
        <v>2</v>
      </c>
      <c r="R275">
        <v>7</v>
      </c>
      <c r="S275">
        <v>4</v>
      </c>
      <c r="T275">
        <v>5</v>
      </c>
      <c r="U275">
        <v>4</v>
      </c>
    </row>
    <row r="276" spans="1:21" x14ac:dyDescent="0.35">
      <c r="A276">
        <v>21</v>
      </c>
      <c r="B276" t="str" cm="1">
        <f t="array" ref="B276">_xlfn.IFS(A276&gt;40,"Senior",A276&gt;30,"Adult",A276&gt;=18,"Teenager")</f>
        <v>Teenager</v>
      </c>
      <c r="C276" t="s">
        <v>22</v>
      </c>
      <c r="D276">
        <f t="shared" si="4"/>
        <v>0</v>
      </c>
      <c r="E276" t="s">
        <v>23</v>
      </c>
      <c r="F276">
        <v>4</v>
      </c>
      <c r="G276" t="s">
        <v>24</v>
      </c>
      <c r="H276">
        <v>2</v>
      </c>
      <c r="I276">
        <v>1</v>
      </c>
      <c r="J276" t="s">
        <v>25</v>
      </c>
      <c r="K276">
        <v>3</v>
      </c>
      <c r="L276">
        <v>3230</v>
      </c>
      <c r="M276" t="str" cm="1">
        <f t="array" ref="M276">_xlfn.IFS(L276&lt;= 7000,"Low",L276&lt;=15000,"Medium",L276&lt;=20000,"High")</f>
        <v>Low</v>
      </c>
      <c r="N276" t="s">
        <v>22</v>
      </c>
      <c r="O276">
        <v>17</v>
      </c>
      <c r="P276">
        <v>3</v>
      </c>
      <c r="Q276">
        <v>1</v>
      </c>
      <c r="R276">
        <v>3</v>
      </c>
      <c r="S276">
        <v>4</v>
      </c>
      <c r="T276">
        <v>3</v>
      </c>
      <c r="U276">
        <v>2</v>
      </c>
    </row>
    <row r="277" spans="1:21" x14ac:dyDescent="0.35">
      <c r="A277">
        <v>37</v>
      </c>
      <c r="B277" t="str" cm="1">
        <f t="array" ref="B277">_xlfn.IFS(A277&gt;40,"Senior",A277&gt;30,"Adult",A277&gt;=18,"Teenager")</f>
        <v>Adult</v>
      </c>
      <c r="C277" t="s">
        <v>22</v>
      </c>
      <c r="D277">
        <f t="shared" si="4"/>
        <v>0</v>
      </c>
      <c r="E277" t="s">
        <v>23</v>
      </c>
      <c r="F277">
        <v>1</v>
      </c>
      <c r="G277" t="s">
        <v>20</v>
      </c>
      <c r="H277">
        <v>3</v>
      </c>
      <c r="I277">
        <v>3</v>
      </c>
      <c r="J277" t="s">
        <v>31</v>
      </c>
      <c r="K277">
        <v>4</v>
      </c>
      <c r="L277">
        <v>13603</v>
      </c>
      <c r="M277" t="str" cm="1">
        <f t="array" ref="M277">_xlfn.IFS(L277&lt;= 7000,"Low",L277&lt;=15000,"Medium",L277&lt;=20000,"High")</f>
        <v>Medium</v>
      </c>
      <c r="N277" t="s">
        <v>18</v>
      </c>
      <c r="O277">
        <v>18</v>
      </c>
      <c r="P277">
        <v>3</v>
      </c>
      <c r="Q277">
        <v>1</v>
      </c>
      <c r="R277">
        <v>15</v>
      </c>
      <c r="S277">
        <v>3</v>
      </c>
      <c r="T277">
        <v>5</v>
      </c>
      <c r="U277">
        <v>2</v>
      </c>
    </row>
    <row r="278" spans="1:21" x14ac:dyDescent="0.35">
      <c r="A278">
        <v>35</v>
      </c>
      <c r="B278" t="str" cm="1">
        <f t="array" ref="B278">_xlfn.IFS(A278&gt;40,"Senior",A278&gt;30,"Adult",A278&gt;=18,"Teenager")</f>
        <v>Adult</v>
      </c>
      <c r="C278" t="s">
        <v>22</v>
      </c>
      <c r="D278">
        <f t="shared" si="4"/>
        <v>0</v>
      </c>
      <c r="E278" t="s">
        <v>23</v>
      </c>
      <c r="F278">
        <v>2</v>
      </c>
      <c r="G278" t="s">
        <v>20</v>
      </c>
      <c r="H278">
        <v>4</v>
      </c>
      <c r="I278">
        <v>3</v>
      </c>
      <c r="J278" t="s">
        <v>29</v>
      </c>
      <c r="K278">
        <v>2</v>
      </c>
      <c r="L278">
        <v>11996</v>
      </c>
      <c r="M278" t="str" cm="1">
        <f t="array" ref="M278">_xlfn.IFS(L278&lt;= 7000,"Low",L278&lt;=15000,"Medium",L278&lt;=20000,"High")</f>
        <v>Medium</v>
      </c>
      <c r="N278" t="s">
        <v>22</v>
      </c>
      <c r="O278">
        <v>18</v>
      </c>
      <c r="P278">
        <v>3</v>
      </c>
      <c r="Q278">
        <v>2</v>
      </c>
      <c r="R278">
        <v>10</v>
      </c>
      <c r="S278">
        <v>2</v>
      </c>
      <c r="T278">
        <v>7</v>
      </c>
      <c r="U278">
        <v>7</v>
      </c>
    </row>
    <row r="279" spans="1:21" x14ac:dyDescent="0.35">
      <c r="A279">
        <v>38</v>
      </c>
      <c r="B279" t="str" cm="1">
        <f t="array" ref="B279">_xlfn.IFS(A279&gt;40,"Senior",A279&gt;30,"Adult",A279&gt;=18,"Teenager")</f>
        <v>Adult</v>
      </c>
      <c r="C279" t="s">
        <v>22</v>
      </c>
      <c r="D279">
        <f t="shared" si="4"/>
        <v>0</v>
      </c>
      <c r="E279" t="s">
        <v>19</v>
      </c>
      <c r="F279">
        <v>1</v>
      </c>
      <c r="G279" t="s">
        <v>20</v>
      </c>
      <c r="H279">
        <v>4</v>
      </c>
      <c r="I279">
        <v>2</v>
      </c>
      <c r="J279" t="s">
        <v>21</v>
      </c>
      <c r="K279">
        <v>1</v>
      </c>
      <c r="L279">
        <v>5605</v>
      </c>
      <c r="M279" t="str" cm="1">
        <f t="array" ref="M279">_xlfn.IFS(L279&lt;= 7000,"Low",L279&lt;=15000,"Medium",L279&lt;=20000,"High")</f>
        <v>Low</v>
      </c>
      <c r="N279" t="s">
        <v>18</v>
      </c>
      <c r="O279">
        <v>24</v>
      </c>
      <c r="P279">
        <v>4</v>
      </c>
      <c r="Q279">
        <v>3</v>
      </c>
      <c r="R279">
        <v>8</v>
      </c>
      <c r="S279">
        <v>3</v>
      </c>
      <c r="T279">
        <v>8</v>
      </c>
      <c r="U279">
        <v>0</v>
      </c>
    </row>
    <row r="280" spans="1:21" x14ac:dyDescent="0.35">
      <c r="A280">
        <v>26</v>
      </c>
      <c r="B280" t="str" cm="1">
        <f t="array" ref="B280">_xlfn.IFS(A280&gt;40,"Senior",A280&gt;30,"Adult",A280&gt;=18,"Teenager")</f>
        <v>Teenager</v>
      </c>
      <c r="C280" t="s">
        <v>22</v>
      </c>
      <c r="D280">
        <f t="shared" si="4"/>
        <v>0</v>
      </c>
      <c r="E280" t="s">
        <v>23</v>
      </c>
      <c r="F280">
        <v>3</v>
      </c>
      <c r="G280" t="s">
        <v>20</v>
      </c>
      <c r="H280">
        <v>3</v>
      </c>
      <c r="I280">
        <v>2</v>
      </c>
      <c r="J280" t="s">
        <v>27</v>
      </c>
      <c r="K280">
        <v>2</v>
      </c>
      <c r="L280">
        <v>6397</v>
      </c>
      <c r="M280" t="str" cm="1">
        <f t="array" ref="M280">_xlfn.IFS(L280&lt;= 7000,"Low",L280&lt;=15000,"Medium",L280&lt;=20000,"High")</f>
        <v>Low</v>
      </c>
      <c r="N280" t="s">
        <v>22</v>
      </c>
      <c r="O280">
        <v>20</v>
      </c>
      <c r="P280">
        <v>4</v>
      </c>
      <c r="Q280">
        <v>1</v>
      </c>
      <c r="R280">
        <v>6</v>
      </c>
      <c r="S280">
        <v>1</v>
      </c>
      <c r="T280">
        <v>6</v>
      </c>
      <c r="U280">
        <v>5</v>
      </c>
    </row>
    <row r="281" spans="1:21" x14ac:dyDescent="0.35">
      <c r="A281">
        <v>50</v>
      </c>
      <c r="B281" t="str" cm="1">
        <f t="array" ref="B281">_xlfn.IFS(A281&gt;40,"Senior",A281&gt;30,"Adult",A281&gt;=18,"Teenager")</f>
        <v>Senior</v>
      </c>
      <c r="C281" t="s">
        <v>22</v>
      </c>
      <c r="D281">
        <f t="shared" si="4"/>
        <v>0</v>
      </c>
      <c r="E281" t="s">
        <v>23</v>
      </c>
      <c r="F281">
        <v>1</v>
      </c>
      <c r="G281" t="s">
        <v>24</v>
      </c>
      <c r="H281">
        <v>3</v>
      </c>
      <c r="I281">
        <v>5</v>
      </c>
      <c r="J281" t="s">
        <v>31</v>
      </c>
      <c r="K281">
        <v>2</v>
      </c>
      <c r="L281">
        <v>19144</v>
      </c>
      <c r="M281" t="str" cm="1">
        <f t="array" ref="M281">_xlfn.IFS(L281&lt;= 7000,"Low",L281&lt;=15000,"Medium",L281&lt;=20000,"High")</f>
        <v>High</v>
      </c>
      <c r="N281" t="s">
        <v>22</v>
      </c>
      <c r="O281">
        <v>14</v>
      </c>
      <c r="P281">
        <v>3</v>
      </c>
      <c r="Q281">
        <v>1</v>
      </c>
      <c r="R281">
        <v>28</v>
      </c>
      <c r="S281">
        <v>2</v>
      </c>
      <c r="T281">
        <v>10</v>
      </c>
      <c r="U281">
        <v>4</v>
      </c>
    </row>
    <row r="282" spans="1:21" x14ac:dyDescent="0.35">
      <c r="A282">
        <v>53</v>
      </c>
      <c r="B282" t="str" cm="1">
        <f t="array" ref="B282">_xlfn.IFS(A282&gt;40,"Senior",A282&gt;30,"Adult",A282&gt;=18,"Teenager")</f>
        <v>Senior</v>
      </c>
      <c r="C282" t="s">
        <v>22</v>
      </c>
      <c r="D282">
        <f t="shared" si="4"/>
        <v>0</v>
      </c>
      <c r="E282" t="s">
        <v>23</v>
      </c>
      <c r="F282">
        <v>3</v>
      </c>
      <c r="G282" t="s">
        <v>24</v>
      </c>
      <c r="H282">
        <v>3</v>
      </c>
      <c r="I282">
        <v>4</v>
      </c>
      <c r="J282" t="s">
        <v>31</v>
      </c>
      <c r="K282">
        <v>3</v>
      </c>
      <c r="L282">
        <v>17584</v>
      </c>
      <c r="M282" t="str" cm="1">
        <f t="array" ref="M282">_xlfn.IFS(L282&lt;= 7000,"Low",L282&lt;=15000,"Medium",L282&lt;=20000,"High")</f>
        <v>High</v>
      </c>
      <c r="N282" t="s">
        <v>18</v>
      </c>
      <c r="O282">
        <v>16</v>
      </c>
      <c r="P282">
        <v>3</v>
      </c>
      <c r="Q282">
        <v>4</v>
      </c>
      <c r="R282">
        <v>21</v>
      </c>
      <c r="S282">
        <v>2</v>
      </c>
      <c r="T282">
        <v>5</v>
      </c>
      <c r="U282">
        <v>3</v>
      </c>
    </row>
    <row r="283" spans="1:21" x14ac:dyDescent="0.35">
      <c r="A283">
        <v>42</v>
      </c>
      <c r="B283" t="str" cm="1">
        <f t="array" ref="B283">_xlfn.IFS(A283&gt;40,"Senior",A283&gt;30,"Adult",A283&gt;=18,"Teenager")</f>
        <v>Senior</v>
      </c>
      <c r="C283" t="s">
        <v>22</v>
      </c>
      <c r="D283">
        <f t="shared" si="4"/>
        <v>0</v>
      </c>
      <c r="E283" t="s">
        <v>19</v>
      </c>
      <c r="F283">
        <v>2</v>
      </c>
      <c r="G283" t="s">
        <v>24</v>
      </c>
      <c r="H283">
        <v>3</v>
      </c>
      <c r="I283">
        <v>2</v>
      </c>
      <c r="J283" t="s">
        <v>21</v>
      </c>
      <c r="K283">
        <v>3</v>
      </c>
      <c r="L283">
        <v>4907</v>
      </c>
      <c r="M283" t="str" cm="1">
        <f t="array" ref="M283">_xlfn.IFS(L283&lt;= 7000,"Low",L283&lt;=15000,"Medium",L283&lt;=20000,"High")</f>
        <v>Low</v>
      </c>
      <c r="N283" t="s">
        <v>22</v>
      </c>
      <c r="O283">
        <v>25</v>
      </c>
      <c r="P283">
        <v>4</v>
      </c>
      <c r="Q283">
        <v>3</v>
      </c>
      <c r="R283">
        <v>20</v>
      </c>
      <c r="S283">
        <v>3</v>
      </c>
      <c r="T283">
        <v>20</v>
      </c>
      <c r="U283">
        <v>16</v>
      </c>
    </row>
    <row r="284" spans="1:21" x14ac:dyDescent="0.35">
      <c r="A284">
        <v>29</v>
      </c>
      <c r="B284" t="str" cm="1">
        <f t="array" ref="B284">_xlfn.IFS(A284&gt;40,"Senior",A284&gt;30,"Adult",A284&gt;=18,"Teenager")</f>
        <v>Teenager</v>
      </c>
      <c r="C284" t="s">
        <v>22</v>
      </c>
      <c r="D284">
        <f t="shared" si="4"/>
        <v>0</v>
      </c>
      <c r="E284" t="s">
        <v>19</v>
      </c>
      <c r="F284">
        <v>2</v>
      </c>
      <c r="G284" t="s">
        <v>24</v>
      </c>
      <c r="H284">
        <v>3</v>
      </c>
      <c r="I284">
        <v>2</v>
      </c>
      <c r="J284" t="s">
        <v>21</v>
      </c>
      <c r="K284">
        <v>4</v>
      </c>
      <c r="L284">
        <v>4554</v>
      </c>
      <c r="M284" t="str" cm="1">
        <f t="array" ref="M284">_xlfn.IFS(L284&lt;= 7000,"Low",L284&lt;=15000,"Medium",L284&lt;=20000,"High")</f>
        <v>Low</v>
      </c>
      <c r="N284" t="s">
        <v>22</v>
      </c>
      <c r="O284">
        <v>18</v>
      </c>
      <c r="P284">
        <v>3</v>
      </c>
      <c r="Q284">
        <v>1</v>
      </c>
      <c r="R284">
        <v>10</v>
      </c>
      <c r="S284">
        <v>2</v>
      </c>
      <c r="T284">
        <v>10</v>
      </c>
      <c r="U284">
        <v>7</v>
      </c>
    </row>
    <row r="285" spans="1:21" x14ac:dyDescent="0.35">
      <c r="A285">
        <v>55</v>
      </c>
      <c r="B285" t="str" cm="1">
        <f t="array" ref="B285">_xlfn.IFS(A285&gt;40,"Senior",A285&gt;30,"Adult",A285&gt;=18,"Teenager")</f>
        <v>Senior</v>
      </c>
      <c r="C285" t="s">
        <v>22</v>
      </c>
      <c r="D285">
        <f t="shared" si="4"/>
        <v>0</v>
      </c>
      <c r="E285" t="s">
        <v>23</v>
      </c>
      <c r="F285">
        <v>2</v>
      </c>
      <c r="G285" t="s">
        <v>24</v>
      </c>
      <c r="H285">
        <v>3</v>
      </c>
      <c r="I285">
        <v>2</v>
      </c>
      <c r="J285" t="s">
        <v>26</v>
      </c>
      <c r="K285">
        <v>4</v>
      </c>
      <c r="L285">
        <v>5415</v>
      </c>
      <c r="M285" t="str" cm="1">
        <f t="array" ref="M285">_xlfn.IFS(L285&lt;= 7000,"Low",L285&lt;=15000,"Medium",L285&lt;=20000,"High")</f>
        <v>Low</v>
      </c>
      <c r="N285" t="s">
        <v>18</v>
      </c>
      <c r="O285">
        <v>19</v>
      </c>
      <c r="P285">
        <v>3</v>
      </c>
      <c r="Q285">
        <v>4</v>
      </c>
      <c r="R285">
        <v>12</v>
      </c>
      <c r="S285">
        <v>3</v>
      </c>
      <c r="T285">
        <v>10</v>
      </c>
      <c r="U285">
        <v>7</v>
      </c>
    </row>
    <row r="286" spans="1:21" x14ac:dyDescent="0.35">
      <c r="A286">
        <v>26</v>
      </c>
      <c r="B286" t="str" cm="1">
        <f t="array" ref="B286">_xlfn.IFS(A286&gt;40,"Senior",A286&gt;30,"Adult",A286&gt;=18,"Teenager")</f>
        <v>Teenager</v>
      </c>
      <c r="C286" t="s">
        <v>22</v>
      </c>
      <c r="D286">
        <f t="shared" si="4"/>
        <v>0</v>
      </c>
      <c r="E286" t="s">
        <v>23</v>
      </c>
      <c r="F286">
        <v>1</v>
      </c>
      <c r="G286" t="s">
        <v>24</v>
      </c>
      <c r="H286">
        <v>3</v>
      </c>
      <c r="I286">
        <v>2</v>
      </c>
      <c r="J286" t="s">
        <v>28</v>
      </c>
      <c r="K286">
        <v>1</v>
      </c>
      <c r="L286">
        <v>4741</v>
      </c>
      <c r="M286" t="str" cm="1">
        <f t="array" ref="M286">_xlfn.IFS(L286&lt;= 7000,"Low",L286&lt;=15000,"Medium",L286&lt;=20000,"High")</f>
        <v>Low</v>
      </c>
      <c r="N286" t="s">
        <v>18</v>
      </c>
      <c r="O286">
        <v>13</v>
      </c>
      <c r="P286">
        <v>3</v>
      </c>
      <c r="Q286">
        <v>3</v>
      </c>
      <c r="R286">
        <v>5</v>
      </c>
      <c r="S286">
        <v>3</v>
      </c>
      <c r="T286">
        <v>5</v>
      </c>
      <c r="U286">
        <v>3</v>
      </c>
    </row>
    <row r="287" spans="1:21" x14ac:dyDescent="0.35">
      <c r="A287">
        <v>37</v>
      </c>
      <c r="B287" t="str" cm="1">
        <f t="array" ref="B287">_xlfn.IFS(A287&gt;40,"Senior",A287&gt;30,"Adult",A287&gt;=18,"Teenager")</f>
        <v>Adult</v>
      </c>
      <c r="C287" t="s">
        <v>22</v>
      </c>
      <c r="D287">
        <f t="shared" si="4"/>
        <v>0</v>
      </c>
      <c r="E287" t="s">
        <v>23</v>
      </c>
      <c r="F287">
        <v>4</v>
      </c>
      <c r="G287" t="s">
        <v>20</v>
      </c>
      <c r="H287">
        <v>3</v>
      </c>
      <c r="I287">
        <v>1</v>
      </c>
      <c r="J287" t="s">
        <v>25</v>
      </c>
      <c r="K287">
        <v>4</v>
      </c>
      <c r="L287">
        <v>2115</v>
      </c>
      <c r="M287" t="str" cm="1">
        <f t="array" ref="M287">_xlfn.IFS(L287&lt;= 7000,"Low",L287&lt;=15000,"Medium",L287&lt;=20000,"High")</f>
        <v>Low</v>
      </c>
      <c r="N287" t="s">
        <v>22</v>
      </c>
      <c r="O287">
        <v>12</v>
      </c>
      <c r="P287">
        <v>3</v>
      </c>
      <c r="Q287">
        <v>2</v>
      </c>
      <c r="R287">
        <v>17</v>
      </c>
      <c r="S287">
        <v>3</v>
      </c>
      <c r="T287">
        <v>17</v>
      </c>
      <c r="U287">
        <v>12</v>
      </c>
    </row>
    <row r="288" spans="1:21" x14ac:dyDescent="0.35">
      <c r="A288">
        <v>44</v>
      </c>
      <c r="B288" t="str" cm="1">
        <f t="array" ref="B288">_xlfn.IFS(A288&gt;40,"Senior",A288&gt;30,"Adult",A288&gt;=18,"Teenager")</f>
        <v>Senior</v>
      </c>
      <c r="C288" t="s">
        <v>18</v>
      </c>
      <c r="D288">
        <f t="shared" si="4"/>
        <v>1</v>
      </c>
      <c r="E288" t="s">
        <v>23</v>
      </c>
      <c r="F288">
        <v>4</v>
      </c>
      <c r="G288" t="s">
        <v>24</v>
      </c>
      <c r="H288">
        <v>3</v>
      </c>
      <c r="I288">
        <v>1</v>
      </c>
      <c r="J288" t="s">
        <v>26</v>
      </c>
      <c r="K288">
        <v>3</v>
      </c>
      <c r="L288">
        <v>3161</v>
      </c>
      <c r="M288" t="str" cm="1">
        <f t="array" ref="M288">_xlfn.IFS(L288&lt;= 7000,"Low",L288&lt;=15000,"Medium",L288&lt;=20000,"High")</f>
        <v>Low</v>
      </c>
      <c r="N288" t="s">
        <v>18</v>
      </c>
      <c r="O288">
        <v>22</v>
      </c>
      <c r="P288">
        <v>4</v>
      </c>
      <c r="Q288">
        <v>4</v>
      </c>
      <c r="R288">
        <v>19</v>
      </c>
      <c r="S288">
        <v>1</v>
      </c>
      <c r="T288">
        <v>1</v>
      </c>
      <c r="U288">
        <v>0</v>
      </c>
    </row>
    <row r="289" spans="1:21" x14ac:dyDescent="0.35">
      <c r="A289">
        <v>38</v>
      </c>
      <c r="B289" t="str" cm="1">
        <f t="array" ref="B289">_xlfn.IFS(A289&gt;40,"Senior",A289&gt;30,"Adult",A289&gt;=18,"Teenager")</f>
        <v>Adult</v>
      </c>
      <c r="C289" t="s">
        <v>22</v>
      </c>
      <c r="D289">
        <f t="shared" si="4"/>
        <v>0</v>
      </c>
      <c r="E289" t="s">
        <v>23</v>
      </c>
      <c r="F289">
        <v>4</v>
      </c>
      <c r="G289" t="s">
        <v>24</v>
      </c>
      <c r="H289">
        <v>3</v>
      </c>
      <c r="I289">
        <v>2</v>
      </c>
      <c r="J289" t="s">
        <v>28</v>
      </c>
      <c r="K289">
        <v>4</v>
      </c>
      <c r="L289">
        <v>5745</v>
      </c>
      <c r="M289" t="str" cm="1">
        <f t="array" ref="M289">_xlfn.IFS(L289&lt;= 7000,"Low",L289&lt;=15000,"Medium",L289&lt;=20000,"High")</f>
        <v>Low</v>
      </c>
      <c r="N289" t="s">
        <v>22</v>
      </c>
      <c r="O289">
        <v>14</v>
      </c>
      <c r="P289">
        <v>3</v>
      </c>
      <c r="Q289">
        <v>2</v>
      </c>
      <c r="R289">
        <v>10</v>
      </c>
      <c r="S289">
        <v>3</v>
      </c>
      <c r="T289">
        <v>2</v>
      </c>
      <c r="U289">
        <v>2</v>
      </c>
    </row>
    <row r="290" spans="1:21" x14ac:dyDescent="0.35">
      <c r="A290">
        <v>26</v>
      </c>
      <c r="B290" t="str" cm="1">
        <f t="array" ref="B290">_xlfn.IFS(A290&gt;40,"Senior",A290&gt;30,"Adult",A290&gt;=18,"Teenager")</f>
        <v>Teenager</v>
      </c>
      <c r="C290" t="s">
        <v>18</v>
      </c>
      <c r="D290">
        <f t="shared" si="4"/>
        <v>1</v>
      </c>
      <c r="E290" t="s">
        <v>23</v>
      </c>
      <c r="F290">
        <v>1</v>
      </c>
      <c r="G290" t="s">
        <v>24</v>
      </c>
      <c r="H290">
        <v>3</v>
      </c>
      <c r="I290">
        <v>1</v>
      </c>
      <c r="J290" t="s">
        <v>26</v>
      </c>
      <c r="K290">
        <v>2</v>
      </c>
      <c r="L290">
        <v>2373</v>
      </c>
      <c r="M290" t="str" cm="1">
        <f t="array" ref="M290">_xlfn.IFS(L290&lt;= 7000,"Low",L290&lt;=15000,"Medium",L290&lt;=20000,"High")</f>
        <v>Low</v>
      </c>
      <c r="N290" t="s">
        <v>18</v>
      </c>
      <c r="O290">
        <v>13</v>
      </c>
      <c r="P290">
        <v>3</v>
      </c>
      <c r="Q290">
        <v>4</v>
      </c>
      <c r="R290">
        <v>5</v>
      </c>
      <c r="S290">
        <v>3</v>
      </c>
      <c r="T290">
        <v>3</v>
      </c>
      <c r="U290">
        <v>2</v>
      </c>
    </row>
    <row r="291" spans="1:21" x14ac:dyDescent="0.35">
      <c r="A291">
        <v>28</v>
      </c>
      <c r="B291" t="str" cm="1">
        <f t="array" ref="B291">_xlfn.IFS(A291&gt;40,"Senior",A291&gt;30,"Adult",A291&gt;=18,"Teenager")</f>
        <v>Teenager</v>
      </c>
      <c r="C291" t="s">
        <v>22</v>
      </c>
      <c r="D291">
        <f t="shared" si="4"/>
        <v>0</v>
      </c>
      <c r="E291" t="s">
        <v>23</v>
      </c>
      <c r="F291">
        <v>4</v>
      </c>
      <c r="G291" t="s">
        <v>20</v>
      </c>
      <c r="H291">
        <v>3</v>
      </c>
      <c r="I291">
        <v>1</v>
      </c>
      <c r="J291" t="s">
        <v>25</v>
      </c>
      <c r="K291">
        <v>4</v>
      </c>
      <c r="L291">
        <v>3310</v>
      </c>
      <c r="M291" t="str" cm="1">
        <f t="array" ref="M291">_xlfn.IFS(L291&lt;= 7000,"Low",L291&lt;=15000,"Medium",L291&lt;=20000,"High")</f>
        <v>Low</v>
      </c>
      <c r="N291" t="s">
        <v>22</v>
      </c>
      <c r="O291">
        <v>21</v>
      </c>
      <c r="P291">
        <v>4</v>
      </c>
      <c r="Q291">
        <v>4</v>
      </c>
      <c r="R291">
        <v>5</v>
      </c>
      <c r="S291">
        <v>3</v>
      </c>
      <c r="T291">
        <v>5</v>
      </c>
      <c r="U291">
        <v>3</v>
      </c>
    </row>
    <row r="292" spans="1:21" x14ac:dyDescent="0.35">
      <c r="A292">
        <v>49</v>
      </c>
      <c r="B292" t="str" cm="1">
        <f t="array" ref="B292">_xlfn.IFS(A292&gt;40,"Senior",A292&gt;30,"Adult",A292&gt;=18,"Teenager")</f>
        <v>Senior</v>
      </c>
      <c r="C292" t="s">
        <v>22</v>
      </c>
      <c r="D292">
        <f t="shared" si="4"/>
        <v>0</v>
      </c>
      <c r="E292" t="s">
        <v>23</v>
      </c>
      <c r="F292">
        <v>3</v>
      </c>
      <c r="G292" t="s">
        <v>20</v>
      </c>
      <c r="H292">
        <v>3</v>
      </c>
      <c r="I292">
        <v>5</v>
      </c>
      <c r="J292" t="s">
        <v>31</v>
      </c>
      <c r="K292">
        <v>1</v>
      </c>
      <c r="L292">
        <v>18665</v>
      </c>
      <c r="M292" t="str" cm="1">
        <f t="array" ref="M292">_xlfn.IFS(L292&lt;= 7000,"Low",L292&lt;=15000,"Medium",L292&lt;=20000,"High")</f>
        <v>High</v>
      </c>
      <c r="N292" t="s">
        <v>18</v>
      </c>
      <c r="O292">
        <v>11</v>
      </c>
      <c r="P292">
        <v>3</v>
      </c>
      <c r="Q292">
        <v>4</v>
      </c>
      <c r="R292">
        <v>22</v>
      </c>
      <c r="S292">
        <v>3</v>
      </c>
      <c r="T292">
        <v>3</v>
      </c>
      <c r="U292">
        <v>2</v>
      </c>
    </row>
    <row r="293" spans="1:21" x14ac:dyDescent="0.35">
      <c r="A293">
        <v>36</v>
      </c>
      <c r="B293" t="str" cm="1">
        <f t="array" ref="B293">_xlfn.IFS(A293&gt;40,"Senior",A293&gt;30,"Adult",A293&gt;=18,"Teenager")</f>
        <v>Adult</v>
      </c>
      <c r="C293" t="s">
        <v>22</v>
      </c>
      <c r="D293">
        <f t="shared" si="4"/>
        <v>0</v>
      </c>
      <c r="E293" t="s">
        <v>23</v>
      </c>
      <c r="F293">
        <v>3</v>
      </c>
      <c r="G293" t="s">
        <v>24</v>
      </c>
      <c r="H293">
        <v>3</v>
      </c>
      <c r="I293">
        <v>2</v>
      </c>
      <c r="J293" t="s">
        <v>25</v>
      </c>
      <c r="K293">
        <v>2</v>
      </c>
      <c r="L293">
        <v>4485</v>
      </c>
      <c r="M293" t="str" cm="1">
        <f t="array" ref="M293">_xlfn.IFS(L293&lt;= 7000,"Low",L293&lt;=15000,"Medium",L293&lt;=20000,"High")</f>
        <v>Low</v>
      </c>
      <c r="N293" t="s">
        <v>22</v>
      </c>
      <c r="O293">
        <v>12</v>
      </c>
      <c r="P293">
        <v>3</v>
      </c>
      <c r="Q293">
        <v>4</v>
      </c>
      <c r="R293">
        <v>10</v>
      </c>
      <c r="S293">
        <v>3</v>
      </c>
      <c r="T293">
        <v>8</v>
      </c>
      <c r="U293">
        <v>0</v>
      </c>
    </row>
    <row r="294" spans="1:21" x14ac:dyDescent="0.35">
      <c r="A294">
        <v>31</v>
      </c>
      <c r="B294" t="str" cm="1">
        <f t="array" ref="B294">_xlfn.IFS(A294&gt;40,"Senior",A294&gt;30,"Adult",A294&gt;=18,"Teenager")</f>
        <v>Adult</v>
      </c>
      <c r="C294" t="s">
        <v>22</v>
      </c>
      <c r="D294">
        <f t="shared" si="4"/>
        <v>0</v>
      </c>
      <c r="E294" t="s">
        <v>19</v>
      </c>
      <c r="F294">
        <v>4</v>
      </c>
      <c r="G294" t="s">
        <v>20</v>
      </c>
      <c r="H294">
        <v>3</v>
      </c>
      <c r="I294">
        <v>1</v>
      </c>
      <c r="J294" t="s">
        <v>30</v>
      </c>
      <c r="K294">
        <v>2</v>
      </c>
      <c r="L294">
        <v>2789</v>
      </c>
      <c r="M294" t="str" cm="1">
        <f t="array" ref="M294">_xlfn.IFS(L294&lt;= 7000,"Low",L294&lt;=15000,"Medium",L294&lt;=20000,"High")</f>
        <v>Low</v>
      </c>
      <c r="N294" t="s">
        <v>22</v>
      </c>
      <c r="O294">
        <v>11</v>
      </c>
      <c r="P294">
        <v>3</v>
      </c>
      <c r="Q294">
        <v>3</v>
      </c>
      <c r="R294">
        <v>2</v>
      </c>
      <c r="S294">
        <v>2</v>
      </c>
      <c r="T294">
        <v>2</v>
      </c>
      <c r="U294">
        <v>2</v>
      </c>
    </row>
    <row r="295" spans="1:21" x14ac:dyDescent="0.35">
      <c r="A295">
        <v>26</v>
      </c>
      <c r="B295" t="str" cm="1">
        <f t="array" ref="B295">_xlfn.IFS(A295&gt;40,"Senior",A295&gt;30,"Adult",A295&gt;=18,"Teenager")</f>
        <v>Teenager</v>
      </c>
      <c r="C295" t="s">
        <v>18</v>
      </c>
      <c r="D295">
        <f t="shared" si="4"/>
        <v>1</v>
      </c>
      <c r="E295" t="s">
        <v>19</v>
      </c>
      <c r="F295">
        <v>4</v>
      </c>
      <c r="G295" t="s">
        <v>24</v>
      </c>
      <c r="H295">
        <v>2</v>
      </c>
      <c r="I295">
        <v>2</v>
      </c>
      <c r="J295" t="s">
        <v>21</v>
      </c>
      <c r="K295">
        <v>4</v>
      </c>
      <c r="L295">
        <v>5828</v>
      </c>
      <c r="M295" t="str" cm="1">
        <f t="array" ref="M295">_xlfn.IFS(L295&lt;= 7000,"Low",L295&lt;=15000,"Medium",L295&lt;=20000,"High")</f>
        <v>Low</v>
      </c>
      <c r="N295" t="s">
        <v>18</v>
      </c>
      <c r="O295">
        <v>12</v>
      </c>
      <c r="P295">
        <v>3</v>
      </c>
      <c r="Q295">
        <v>2</v>
      </c>
      <c r="R295">
        <v>8</v>
      </c>
      <c r="S295">
        <v>3</v>
      </c>
      <c r="T295">
        <v>8</v>
      </c>
      <c r="U295">
        <v>7</v>
      </c>
    </row>
    <row r="296" spans="1:21" x14ac:dyDescent="0.35">
      <c r="A296">
        <v>37</v>
      </c>
      <c r="B296" t="str" cm="1">
        <f t="array" ref="B296">_xlfn.IFS(A296&gt;40,"Senior",A296&gt;30,"Adult",A296&gt;=18,"Teenager")</f>
        <v>Adult</v>
      </c>
      <c r="C296" t="s">
        <v>22</v>
      </c>
      <c r="D296">
        <f t="shared" si="4"/>
        <v>0</v>
      </c>
      <c r="E296" t="s">
        <v>23</v>
      </c>
      <c r="F296">
        <v>2</v>
      </c>
      <c r="G296" t="s">
        <v>24</v>
      </c>
      <c r="H296">
        <v>3</v>
      </c>
      <c r="I296">
        <v>1</v>
      </c>
      <c r="J296" t="s">
        <v>25</v>
      </c>
      <c r="K296">
        <v>4</v>
      </c>
      <c r="L296">
        <v>2326</v>
      </c>
      <c r="M296" t="str" cm="1">
        <f t="array" ref="M296">_xlfn.IFS(L296&lt;= 7000,"Low",L296&lt;=15000,"Medium",L296&lt;=20000,"High")</f>
        <v>Low</v>
      </c>
      <c r="N296" t="s">
        <v>18</v>
      </c>
      <c r="O296">
        <v>12</v>
      </c>
      <c r="P296">
        <v>3</v>
      </c>
      <c r="Q296">
        <v>3</v>
      </c>
      <c r="R296">
        <v>4</v>
      </c>
      <c r="S296">
        <v>2</v>
      </c>
      <c r="T296">
        <v>4</v>
      </c>
      <c r="U296">
        <v>2</v>
      </c>
    </row>
    <row r="297" spans="1:21" x14ac:dyDescent="0.35">
      <c r="A297">
        <v>42</v>
      </c>
      <c r="B297" t="str" cm="1">
        <f t="array" ref="B297">_xlfn.IFS(A297&gt;40,"Senior",A297&gt;30,"Adult",A297&gt;=18,"Teenager")</f>
        <v>Senior</v>
      </c>
      <c r="C297" t="s">
        <v>22</v>
      </c>
      <c r="D297">
        <f t="shared" si="4"/>
        <v>0</v>
      </c>
      <c r="E297" t="s">
        <v>19</v>
      </c>
      <c r="F297">
        <v>3</v>
      </c>
      <c r="G297" t="s">
        <v>20</v>
      </c>
      <c r="H297">
        <v>3</v>
      </c>
      <c r="I297">
        <v>4</v>
      </c>
      <c r="J297" t="s">
        <v>21</v>
      </c>
      <c r="K297">
        <v>2</v>
      </c>
      <c r="L297">
        <v>13525</v>
      </c>
      <c r="M297" t="str" cm="1">
        <f t="array" ref="M297">_xlfn.IFS(L297&lt;= 7000,"Low",L297&lt;=15000,"Medium",L297&lt;=20000,"High")</f>
        <v>Medium</v>
      </c>
      <c r="N297" t="s">
        <v>22</v>
      </c>
      <c r="O297">
        <v>14</v>
      </c>
      <c r="P297">
        <v>3</v>
      </c>
      <c r="Q297">
        <v>4</v>
      </c>
      <c r="R297">
        <v>23</v>
      </c>
      <c r="S297">
        <v>4</v>
      </c>
      <c r="T297">
        <v>20</v>
      </c>
      <c r="U297">
        <v>4</v>
      </c>
    </row>
    <row r="298" spans="1:21" x14ac:dyDescent="0.35">
      <c r="A298">
        <v>18</v>
      </c>
      <c r="B298" t="str" cm="1">
        <f t="array" ref="B298">_xlfn.IFS(A298&gt;40,"Senior",A298&gt;30,"Adult",A298&gt;=18,"Teenager")</f>
        <v>Teenager</v>
      </c>
      <c r="C298" t="s">
        <v>18</v>
      </c>
      <c r="D298">
        <f t="shared" si="4"/>
        <v>1</v>
      </c>
      <c r="E298" t="s">
        <v>23</v>
      </c>
      <c r="F298">
        <v>3</v>
      </c>
      <c r="G298" t="s">
        <v>24</v>
      </c>
      <c r="H298">
        <v>3</v>
      </c>
      <c r="I298">
        <v>1</v>
      </c>
      <c r="J298" t="s">
        <v>26</v>
      </c>
      <c r="K298">
        <v>3</v>
      </c>
      <c r="L298">
        <v>1420</v>
      </c>
      <c r="M298" t="str" cm="1">
        <f t="array" ref="M298">_xlfn.IFS(L298&lt;= 7000,"Low",L298&lt;=15000,"Medium",L298&lt;=20000,"High")</f>
        <v>Low</v>
      </c>
      <c r="N298" t="s">
        <v>22</v>
      </c>
      <c r="O298">
        <v>13</v>
      </c>
      <c r="P298">
        <v>3</v>
      </c>
      <c r="Q298">
        <v>3</v>
      </c>
      <c r="R298">
        <v>0</v>
      </c>
      <c r="S298">
        <v>3</v>
      </c>
      <c r="T298">
        <v>0</v>
      </c>
      <c r="U298">
        <v>0</v>
      </c>
    </row>
    <row r="299" spans="1:21" x14ac:dyDescent="0.35">
      <c r="A299">
        <v>35</v>
      </c>
      <c r="B299" t="str" cm="1">
        <f t="array" ref="B299">_xlfn.IFS(A299&gt;40,"Senior",A299&gt;30,"Adult",A299&gt;=18,"Teenager")</f>
        <v>Adult</v>
      </c>
      <c r="C299" t="s">
        <v>22</v>
      </c>
      <c r="D299">
        <f t="shared" si="4"/>
        <v>0</v>
      </c>
      <c r="E299" t="s">
        <v>19</v>
      </c>
      <c r="F299">
        <v>3</v>
      </c>
      <c r="G299" t="s">
        <v>24</v>
      </c>
      <c r="H299">
        <v>3</v>
      </c>
      <c r="I299">
        <v>3</v>
      </c>
      <c r="J299" t="s">
        <v>21</v>
      </c>
      <c r="K299">
        <v>2</v>
      </c>
      <c r="L299">
        <v>8020</v>
      </c>
      <c r="M299" t="str" cm="1">
        <f t="array" ref="M299">_xlfn.IFS(L299&lt;= 7000,"Low",L299&lt;=15000,"Medium",L299&lt;=20000,"High")</f>
        <v>Medium</v>
      </c>
      <c r="N299" t="s">
        <v>22</v>
      </c>
      <c r="O299">
        <v>15</v>
      </c>
      <c r="P299">
        <v>3</v>
      </c>
      <c r="Q299">
        <v>3</v>
      </c>
      <c r="R299">
        <v>12</v>
      </c>
      <c r="S299">
        <v>2</v>
      </c>
      <c r="T299">
        <v>11</v>
      </c>
      <c r="U299">
        <v>9</v>
      </c>
    </row>
    <row r="300" spans="1:21" x14ac:dyDescent="0.35">
      <c r="A300">
        <v>36</v>
      </c>
      <c r="B300" t="str" cm="1">
        <f t="array" ref="B300">_xlfn.IFS(A300&gt;40,"Senior",A300&gt;30,"Adult",A300&gt;=18,"Teenager")</f>
        <v>Adult</v>
      </c>
      <c r="C300" t="s">
        <v>22</v>
      </c>
      <c r="D300">
        <f t="shared" si="4"/>
        <v>0</v>
      </c>
      <c r="E300" t="s">
        <v>23</v>
      </c>
      <c r="F300">
        <v>3</v>
      </c>
      <c r="G300" t="s">
        <v>24</v>
      </c>
      <c r="H300">
        <v>4</v>
      </c>
      <c r="I300">
        <v>1</v>
      </c>
      <c r="J300" t="s">
        <v>26</v>
      </c>
      <c r="K300">
        <v>4</v>
      </c>
      <c r="L300">
        <v>3688</v>
      </c>
      <c r="M300" t="str" cm="1">
        <f t="array" ref="M300">_xlfn.IFS(L300&lt;= 7000,"Low",L300&lt;=15000,"Medium",L300&lt;=20000,"High")</f>
        <v>Low</v>
      </c>
      <c r="N300" t="s">
        <v>22</v>
      </c>
      <c r="O300">
        <v>18</v>
      </c>
      <c r="P300">
        <v>3</v>
      </c>
      <c r="Q300">
        <v>4</v>
      </c>
      <c r="R300">
        <v>4</v>
      </c>
      <c r="S300">
        <v>3</v>
      </c>
      <c r="T300">
        <v>1</v>
      </c>
      <c r="U300">
        <v>0</v>
      </c>
    </row>
    <row r="301" spans="1:21" x14ac:dyDescent="0.35">
      <c r="A301">
        <v>51</v>
      </c>
      <c r="B301" t="str" cm="1">
        <f t="array" ref="B301">_xlfn.IFS(A301&gt;40,"Senior",A301&gt;30,"Adult",A301&gt;=18,"Teenager")</f>
        <v>Senior</v>
      </c>
      <c r="C301" t="s">
        <v>22</v>
      </c>
      <c r="D301">
        <f t="shared" si="4"/>
        <v>0</v>
      </c>
      <c r="E301" t="s">
        <v>23</v>
      </c>
      <c r="F301">
        <v>4</v>
      </c>
      <c r="G301" t="s">
        <v>24</v>
      </c>
      <c r="H301">
        <v>1</v>
      </c>
      <c r="I301">
        <v>2</v>
      </c>
      <c r="J301" t="s">
        <v>27</v>
      </c>
      <c r="K301">
        <v>2</v>
      </c>
      <c r="L301">
        <v>5482</v>
      </c>
      <c r="M301" t="str" cm="1">
        <f t="array" ref="M301">_xlfn.IFS(L301&lt;= 7000,"Low",L301&lt;=15000,"Medium",L301&lt;=20000,"High")</f>
        <v>Low</v>
      </c>
      <c r="N301" t="s">
        <v>22</v>
      </c>
      <c r="O301">
        <v>18</v>
      </c>
      <c r="P301">
        <v>3</v>
      </c>
      <c r="Q301">
        <v>4</v>
      </c>
      <c r="R301">
        <v>13</v>
      </c>
      <c r="S301">
        <v>3</v>
      </c>
      <c r="T301">
        <v>4</v>
      </c>
      <c r="U301">
        <v>1</v>
      </c>
    </row>
    <row r="302" spans="1:21" x14ac:dyDescent="0.35">
      <c r="A302">
        <v>41</v>
      </c>
      <c r="B302" t="str" cm="1">
        <f t="array" ref="B302">_xlfn.IFS(A302&gt;40,"Senior",A302&gt;30,"Adult",A302&gt;=18,"Teenager")</f>
        <v>Senior</v>
      </c>
      <c r="C302" t="s">
        <v>22</v>
      </c>
      <c r="D302">
        <f t="shared" si="4"/>
        <v>0</v>
      </c>
      <c r="E302" t="s">
        <v>19</v>
      </c>
      <c r="F302">
        <v>4</v>
      </c>
      <c r="G302" t="s">
        <v>24</v>
      </c>
      <c r="H302">
        <v>3</v>
      </c>
      <c r="I302">
        <v>4</v>
      </c>
      <c r="J302" t="s">
        <v>29</v>
      </c>
      <c r="K302">
        <v>2</v>
      </c>
      <c r="L302">
        <v>16015</v>
      </c>
      <c r="M302" t="str" cm="1">
        <f t="array" ref="M302">_xlfn.IFS(L302&lt;= 7000,"Low",L302&lt;=15000,"Medium",L302&lt;=20000,"High")</f>
        <v>High</v>
      </c>
      <c r="N302" t="s">
        <v>22</v>
      </c>
      <c r="O302">
        <v>19</v>
      </c>
      <c r="P302">
        <v>3</v>
      </c>
      <c r="Q302">
        <v>2</v>
      </c>
      <c r="R302">
        <v>22</v>
      </c>
      <c r="S302">
        <v>3</v>
      </c>
      <c r="T302">
        <v>22</v>
      </c>
      <c r="U302">
        <v>10</v>
      </c>
    </row>
    <row r="303" spans="1:21" x14ac:dyDescent="0.35">
      <c r="A303">
        <v>18</v>
      </c>
      <c r="B303" t="str" cm="1">
        <f t="array" ref="B303">_xlfn.IFS(A303&gt;40,"Senior",A303&gt;30,"Adult",A303&gt;=18,"Teenager")</f>
        <v>Teenager</v>
      </c>
      <c r="C303" t="s">
        <v>22</v>
      </c>
      <c r="D303">
        <f t="shared" si="4"/>
        <v>0</v>
      </c>
      <c r="E303" t="s">
        <v>19</v>
      </c>
      <c r="F303">
        <v>4</v>
      </c>
      <c r="G303" t="s">
        <v>20</v>
      </c>
      <c r="H303">
        <v>2</v>
      </c>
      <c r="I303">
        <v>1</v>
      </c>
      <c r="J303" t="s">
        <v>30</v>
      </c>
      <c r="K303">
        <v>3</v>
      </c>
      <c r="L303">
        <v>1200</v>
      </c>
      <c r="M303" t="str" cm="1">
        <f t="array" ref="M303">_xlfn.IFS(L303&lt;= 7000,"Low",L303&lt;=15000,"Medium",L303&lt;=20000,"High")</f>
        <v>Low</v>
      </c>
      <c r="N303" t="s">
        <v>22</v>
      </c>
      <c r="O303">
        <v>12</v>
      </c>
      <c r="P303">
        <v>3</v>
      </c>
      <c r="Q303">
        <v>1</v>
      </c>
      <c r="R303">
        <v>0</v>
      </c>
      <c r="S303">
        <v>3</v>
      </c>
      <c r="T303">
        <v>0</v>
      </c>
      <c r="U303">
        <v>0</v>
      </c>
    </row>
    <row r="304" spans="1:21" x14ac:dyDescent="0.35">
      <c r="A304">
        <v>28</v>
      </c>
      <c r="B304" t="str" cm="1">
        <f t="array" ref="B304">_xlfn.IFS(A304&gt;40,"Senior",A304&gt;30,"Adult",A304&gt;=18,"Teenager")</f>
        <v>Teenager</v>
      </c>
      <c r="C304" t="s">
        <v>22</v>
      </c>
      <c r="D304">
        <f t="shared" si="4"/>
        <v>0</v>
      </c>
      <c r="E304" t="s">
        <v>23</v>
      </c>
      <c r="F304">
        <v>2</v>
      </c>
      <c r="G304" t="s">
        <v>24</v>
      </c>
      <c r="H304">
        <v>4</v>
      </c>
      <c r="I304">
        <v>2</v>
      </c>
      <c r="J304" t="s">
        <v>28</v>
      </c>
      <c r="K304">
        <v>1</v>
      </c>
      <c r="L304">
        <v>5661</v>
      </c>
      <c r="M304" t="str" cm="1">
        <f t="array" ref="M304">_xlfn.IFS(L304&lt;= 7000,"Low",L304&lt;=15000,"Medium",L304&lt;=20000,"High")</f>
        <v>Low</v>
      </c>
      <c r="N304" t="s">
        <v>22</v>
      </c>
      <c r="O304">
        <v>19</v>
      </c>
      <c r="P304">
        <v>3</v>
      </c>
      <c r="Q304">
        <v>3</v>
      </c>
      <c r="R304">
        <v>9</v>
      </c>
      <c r="S304">
        <v>3</v>
      </c>
      <c r="T304">
        <v>8</v>
      </c>
      <c r="U304">
        <v>3</v>
      </c>
    </row>
    <row r="305" spans="1:21" x14ac:dyDescent="0.35">
      <c r="A305">
        <v>31</v>
      </c>
      <c r="B305" t="str" cm="1">
        <f t="array" ref="B305">_xlfn.IFS(A305&gt;40,"Senior",A305&gt;30,"Adult",A305&gt;=18,"Teenager")</f>
        <v>Adult</v>
      </c>
      <c r="C305" t="s">
        <v>22</v>
      </c>
      <c r="D305">
        <f t="shared" si="4"/>
        <v>0</v>
      </c>
      <c r="E305" t="s">
        <v>19</v>
      </c>
      <c r="F305">
        <v>2</v>
      </c>
      <c r="G305" t="s">
        <v>24</v>
      </c>
      <c r="H305">
        <v>4</v>
      </c>
      <c r="I305">
        <v>2</v>
      </c>
      <c r="J305" t="s">
        <v>21</v>
      </c>
      <c r="K305">
        <v>4</v>
      </c>
      <c r="L305">
        <v>6929</v>
      </c>
      <c r="M305" t="str" cm="1">
        <f t="array" ref="M305">_xlfn.IFS(L305&lt;= 7000,"Low",L305&lt;=15000,"Medium",L305&lt;=20000,"High")</f>
        <v>Low</v>
      </c>
      <c r="N305" t="s">
        <v>22</v>
      </c>
      <c r="O305">
        <v>11</v>
      </c>
      <c r="P305">
        <v>3</v>
      </c>
      <c r="Q305">
        <v>2</v>
      </c>
      <c r="R305">
        <v>10</v>
      </c>
      <c r="S305">
        <v>2</v>
      </c>
      <c r="T305">
        <v>8</v>
      </c>
      <c r="U305">
        <v>7</v>
      </c>
    </row>
    <row r="306" spans="1:21" x14ac:dyDescent="0.35">
      <c r="A306">
        <v>39</v>
      </c>
      <c r="B306" t="str" cm="1">
        <f t="array" ref="B306">_xlfn.IFS(A306&gt;40,"Senior",A306&gt;30,"Adult",A306&gt;=18,"Teenager")</f>
        <v>Adult</v>
      </c>
      <c r="C306" t="s">
        <v>22</v>
      </c>
      <c r="D306">
        <f t="shared" si="4"/>
        <v>0</v>
      </c>
      <c r="E306" t="s">
        <v>23</v>
      </c>
      <c r="F306">
        <v>3</v>
      </c>
      <c r="G306" t="s">
        <v>24</v>
      </c>
      <c r="H306">
        <v>4</v>
      </c>
      <c r="I306">
        <v>3</v>
      </c>
      <c r="J306" t="s">
        <v>28</v>
      </c>
      <c r="K306">
        <v>4</v>
      </c>
      <c r="L306">
        <v>9613</v>
      </c>
      <c r="M306" t="str" cm="1">
        <f t="array" ref="M306">_xlfn.IFS(L306&lt;= 7000,"Low",L306&lt;=15000,"Medium",L306&lt;=20000,"High")</f>
        <v>Medium</v>
      </c>
      <c r="N306" t="s">
        <v>22</v>
      </c>
      <c r="O306">
        <v>17</v>
      </c>
      <c r="P306">
        <v>3</v>
      </c>
      <c r="Q306">
        <v>1</v>
      </c>
      <c r="R306">
        <v>19</v>
      </c>
      <c r="S306">
        <v>2</v>
      </c>
      <c r="T306">
        <v>18</v>
      </c>
      <c r="U306">
        <v>10</v>
      </c>
    </row>
    <row r="307" spans="1:21" x14ac:dyDescent="0.35">
      <c r="A307">
        <v>36</v>
      </c>
      <c r="B307" t="str" cm="1">
        <f t="array" ref="B307">_xlfn.IFS(A307&gt;40,"Senior",A307&gt;30,"Adult",A307&gt;=18,"Teenager")</f>
        <v>Adult</v>
      </c>
      <c r="C307" t="s">
        <v>22</v>
      </c>
      <c r="D307">
        <f t="shared" si="4"/>
        <v>0</v>
      </c>
      <c r="E307" t="s">
        <v>23</v>
      </c>
      <c r="F307">
        <v>2</v>
      </c>
      <c r="G307" t="s">
        <v>20</v>
      </c>
      <c r="H307">
        <v>3</v>
      </c>
      <c r="I307">
        <v>2</v>
      </c>
      <c r="J307" t="s">
        <v>26</v>
      </c>
      <c r="K307">
        <v>2</v>
      </c>
      <c r="L307">
        <v>5674</v>
      </c>
      <c r="M307" t="str" cm="1">
        <f t="array" ref="M307">_xlfn.IFS(L307&lt;= 7000,"Low",L307&lt;=15000,"Medium",L307&lt;=20000,"High")</f>
        <v>Low</v>
      </c>
      <c r="N307" t="s">
        <v>22</v>
      </c>
      <c r="O307">
        <v>15</v>
      </c>
      <c r="P307">
        <v>3</v>
      </c>
      <c r="Q307">
        <v>3</v>
      </c>
      <c r="R307">
        <v>11</v>
      </c>
      <c r="S307">
        <v>3</v>
      </c>
      <c r="T307">
        <v>9</v>
      </c>
      <c r="U307">
        <v>8</v>
      </c>
    </row>
    <row r="308" spans="1:21" x14ac:dyDescent="0.35">
      <c r="A308">
        <v>32</v>
      </c>
      <c r="B308" t="str" cm="1">
        <f t="array" ref="B308">_xlfn.IFS(A308&gt;40,"Senior",A308&gt;30,"Adult",A308&gt;=18,"Teenager")</f>
        <v>Adult</v>
      </c>
      <c r="C308" t="s">
        <v>22</v>
      </c>
      <c r="D308">
        <f t="shared" si="4"/>
        <v>0</v>
      </c>
      <c r="E308" t="s">
        <v>19</v>
      </c>
      <c r="F308">
        <v>4</v>
      </c>
      <c r="G308" t="s">
        <v>24</v>
      </c>
      <c r="H308">
        <v>2</v>
      </c>
      <c r="I308">
        <v>2</v>
      </c>
      <c r="J308" t="s">
        <v>21</v>
      </c>
      <c r="K308">
        <v>3</v>
      </c>
      <c r="L308">
        <v>5484</v>
      </c>
      <c r="M308" t="str" cm="1">
        <f t="array" ref="M308">_xlfn.IFS(L308&lt;= 7000,"Low",L308&lt;=15000,"Medium",L308&lt;=20000,"High")</f>
        <v>Low</v>
      </c>
      <c r="N308" t="s">
        <v>22</v>
      </c>
      <c r="O308">
        <v>14</v>
      </c>
      <c r="P308">
        <v>3</v>
      </c>
      <c r="Q308">
        <v>3</v>
      </c>
      <c r="R308">
        <v>13</v>
      </c>
      <c r="S308">
        <v>2</v>
      </c>
      <c r="T308">
        <v>13</v>
      </c>
      <c r="U308">
        <v>8</v>
      </c>
    </row>
    <row r="309" spans="1:21" x14ac:dyDescent="0.35">
      <c r="A309">
        <v>38</v>
      </c>
      <c r="B309" t="str" cm="1">
        <f t="array" ref="B309">_xlfn.IFS(A309&gt;40,"Senior",A309&gt;30,"Adult",A309&gt;=18,"Teenager")</f>
        <v>Adult</v>
      </c>
      <c r="C309" t="s">
        <v>22</v>
      </c>
      <c r="D309">
        <f t="shared" si="4"/>
        <v>0</v>
      </c>
      <c r="E309" t="s">
        <v>23</v>
      </c>
      <c r="F309">
        <v>1</v>
      </c>
      <c r="G309" t="s">
        <v>20</v>
      </c>
      <c r="H309">
        <v>2</v>
      </c>
      <c r="I309">
        <v>3</v>
      </c>
      <c r="J309" t="s">
        <v>31</v>
      </c>
      <c r="K309">
        <v>2</v>
      </c>
      <c r="L309">
        <v>12061</v>
      </c>
      <c r="M309" t="str" cm="1">
        <f t="array" ref="M309">_xlfn.IFS(L309&lt;= 7000,"Low",L309&lt;=15000,"Medium",L309&lt;=20000,"High")</f>
        <v>Medium</v>
      </c>
      <c r="N309" t="s">
        <v>22</v>
      </c>
      <c r="O309">
        <v>17</v>
      </c>
      <c r="P309">
        <v>3</v>
      </c>
      <c r="Q309">
        <v>3</v>
      </c>
      <c r="R309">
        <v>19</v>
      </c>
      <c r="S309">
        <v>3</v>
      </c>
      <c r="T309">
        <v>10</v>
      </c>
      <c r="U309">
        <v>8</v>
      </c>
    </row>
    <row r="310" spans="1:21" x14ac:dyDescent="0.35">
      <c r="A310">
        <v>58</v>
      </c>
      <c r="B310" t="str" cm="1">
        <f t="array" ref="B310">_xlfn.IFS(A310&gt;40,"Senior",A310&gt;30,"Adult",A310&gt;=18,"Teenager")</f>
        <v>Senior</v>
      </c>
      <c r="C310" t="s">
        <v>22</v>
      </c>
      <c r="D310">
        <f t="shared" si="4"/>
        <v>0</v>
      </c>
      <c r="E310" t="s">
        <v>23</v>
      </c>
      <c r="F310">
        <v>4</v>
      </c>
      <c r="G310" t="s">
        <v>24</v>
      </c>
      <c r="H310">
        <v>1</v>
      </c>
      <c r="I310">
        <v>2</v>
      </c>
      <c r="J310" t="s">
        <v>28</v>
      </c>
      <c r="K310">
        <v>3</v>
      </c>
      <c r="L310">
        <v>5660</v>
      </c>
      <c r="M310" t="str" cm="1">
        <f t="array" ref="M310">_xlfn.IFS(L310&lt;= 7000,"Low",L310&lt;=15000,"Medium",L310&lt;=20000,"High")</f>
        <v>Low</v>
      </c>
      <c r="N310" t="s">
        <v>18</v>
      </c>
      <c r="O310">
        <v>13</v>
      </c>
      <c r="P310">
        <v>3</v>
      </c>
      <c r="Q310">
        <v>4</v>
      </c>
      <c r="R310">
        <v>12</v>
      </c>
      <c r="S310">
        <v>3</v>
      </c>
      <c r="T310">
        <v>5</v>
      </c>
      <c r="U310">
        <v>3</v>
      </c>
    </row>
    <row r="311" spans="1:21" x14ac:dyDescent="0.35">
      <c r="A311">
        <v>31</v>
      </c>
      <c r="B311" t="str" cm="1">
        <f t="array" ref="B311">_xlfn.IFS(A311&gt;40,"Senior",A311&gt;30,"Adult",A311&gt;=18,"Teenager")</f>
        <v>Adult</v>
      </c>
      <c r="C311" t="s">
        <v>22</v>
      </c>
      <c r="D311">
        <f t="shared" si="4"/>
        <v>0</v>
      </c>
      <c r="E311" t="s">
        <v>23</v>
      </c>
      <c r="F311">
        <v>3</v>
      </c>
      <c r="G311" t="s">
        <v>24</v>
      </c>
      <c r="H311">
        <v>3</v>
      </c>
      <c r="I311">
        <v>1</v>
      </c>
      <c r="J311" t="s">
        <v>25</v>
      </c>
      <c r="K311">
        <v>4</v>
      </c>
      <c r="L311">
        <v>4821</v>
      </c>
      <c r="M311" t="str" cm="1">
        <f t="array" ref="M311">_xlfn.IFS(L311&lt;= 7000,"Low",L311&lt;=15000,"Medium",L311&lt;=20000,"High")</f>
        <v>Low</v>
      </c>
      <c r="N311" t="s">
        <v>18</v>
      </c>
      <c r="O311">
        <v>12</v>
      </c>
      <c r="P311">
        <v>3</v>
      </c>
      <c r="Q311">
        <v>3</v>
      </c>
      <c r="R311">
        <v>6</v>
      </c>
      <c r="S311">
        <v>3</v>
      </c>
      <c r="T311">
        <v>5</v>
      </c>
      <c r="U311">
        <v>2</v>
      </c>
    </row>
    <row r="312" spans="1:21" x14ac:dyDescent="0.35">
      <c r="A312">
        <v>31</v>
      </c>
      <c r="B312" t="str" cm="1">
        <f t="array" ref="B312">_xlfn.IFS(A312&gt;40,"Senior",A312&gt;30,"Adult",A312&gt;=18,"Teenager")</f>
        <v>Adult</v>
      </c>
      <c r="C312" t="s">
        <v>22</v>
      </c>
      <c r="D312">
        <f t="shared" si="4"/>
        <v>0</v>
      </c>
      <c r="E312" t="s">
        <v>32</v>
      </c>
      <c r="F312">
        <v>1</v>
      </c>
      <c r="G312" t="s">
        <v>24</v>
      </c>
      <c r="H312">
        <v>2</v>
      </c>
      <c r="I312">
        <v>2</v>
      </c>
      <c r="J312" t="s">
        <v>32</v>
      </c>
      <c r="K312">
        <v>1</v>
      </c>
      <c r="L312">
        <v>6410</v>
      </c>
      <c r="M312" t="str" cm="1">
        <f t="array" ref="M312">_xlfn.IFS(L312&lt;= 7000,"Low",L312&lt;=15000,"Medium",L312&lt;=20000,"High")</f>
        <v>Low</v>
      </c>
      <c r="N312" t="s">
        <v>22</v>
      </c>
      <c r="O312">
        <v>12</v>
      </c>
      <c r="P312">
        <v>3</v>
      </c>
      <c r="Q312">
        <v>4</v>
      </c>
      <c r="R312">
        <v>9</v>
      </c>
      <c r="S312">
        <v>3</v>
      </c>
      <c r="T312">
        <v>2</v>
      </c>
      <c r="U312">
        <v>2</v>
      </c>
    </row>
    <row r="313" spans="1:21" x14ac:dyDescent="0.35">
      <c r="A313">
        <v>45</v>
      </c>
      <c r="B313" t="str" cm="1">
        <f t="array" ref="B313">_xlfn.IFS(A313&gt;40,"Senior",A313&gt;30,"Adult",A313&gt;=18,"Teenager")</f>
        <v>Senior</v>
      </c>
      <c r="C313" t="s">
        <v>22</v>
      </c>
      <c r="D313">
        <f t="shared" si="4"/>
        <v>0</v>
      </c>
      <c r="E313" t="s">
        <v>23</v>
      </c>
      <c r="F313">
        <v>1</v>
      </c>
      <c r="G313" t="s">
        <v>24</v>
      </c>
      <c r="H313">
        <v>3</v>
      </c>
      <c r="I313">
        <v>3</v>
      </c>
      <c r="J313" t="s">
        <v>26</v>
      </c>
      <c r="K313">
        <v>1</v>
      </c>
      <c r="L313">
        <v>5210</v>
      </c>
      <c r="M313" t="str" cm="1">
        <f t="array" ref="M313">_xlfn.IFS(L313&lt;= 7000,"Low",L313&lt;=15000,"Medium",L313&lt;=20000,"High")</f>
        <v>Low</v>
      </c>
      <c r="N313" t="s">
        <v>22</v>
      </c>
      <c r="O313">
        <v>18</v>
      </c>
      <c r="P313">
        <v>3</v>
      </c>
      <c r="Q313">
        <v>1</v>
      </c>
      <c r="R313">
        <v>24</v>
      </c>
      <c r="S313">
        <v>3</v>
      </c>
      <c r="T313">
        <v>24</v>
      </c>
      <c r="U313">
        <v>9</v>
      </c>
    </row>
    <row r="314" spans="1:21" x14ac:dyDescent="0.35">
      <c r="A314">
        <v>31</v>
      </c>
      <c r="B314" t="str" cm="1">
        <f t="array" ref="B314">_xlfn.IFS(A314&gt;40,"Senior",A314&gt;30,"Adult",A314&gt;=18,"Teenager")</f>
        <v>Adult</v>
      </c>
      <c r="C314" t="s">
        <v>22</v>
      </c>
      <c r="D314">
        <f t="shared" si="4"/>
        <v>0</v>
      </c>
      <c r="E314" t="s">
        <v>23</v>
      </c>
      <c r="F314">
        <v>3</v>
      </c>
      <c r="G314" t="s">
        <v>24</v>
      </c>
      <c r="H314">
        <v>3</v>
      </c>
      <c r="I314">
        <v>1</v>
      </c>
      <c r="J314" t="s">
        <v>25</v>
      </c>
      <c r="K314">
        <v>4</v>
      </c>
      <c r="L314">
        <v>2695</v>
      </c>
      <c r="M314" t="str" cm="1">
        <f t="array" ref="M314">_xlfn.IFS(L314&lt;= 7000,"Low",L314&lt;=15000,"Medium",L314&lt;=20000,"High")</f>
        <v>Low</v>
      </c>
      <c r="N314" t="s">
        <v>18</v>
      </c>
      <c r="O314">
        <v>18</v>
      </c>
      <c r="P314">
        <v>3</v>
      </c>
      <c r="Q314">
        <v>2</v>
      </c>
      <c r="R314">
        <v>3</v>
      </c>
      <c r="S314">
        <v>1</v>
      </c>
      <c r="T314">
        <v>2</v>
      </c>
      <c r="U314">
        <v>2</v>
      </c>
    </row>
    <row r="315" spans="1:21" x14ac:dyDescent="0.35">
      <c r="A315">
        <v>33</v>
      </c>
      <c r="B315" t="str" cm="1">
        <f t="array" ref="B315">_xlfn.IFS(A315&gt;40,"Senior",A315&gt;30,"Adult",A315&gt;=18,"Teenager")</f>
        <v>Adult</v>
      </c>
      <c r="C315" t="s">
        <v>22</v>
      </c>
      <c r="D315">
        <f t="shared" si="4"/>
        <v>0</v>
      </c>
      <c r="E315" t="s">
        <v>23</v>
      </c>
      <c r="F315">
        <v>4</v>
      </c>
      <c r="G315" t="s">
        <v>20</v>
      </c>
      <c r="H315">
        <v>3</v>
      </c>
      <c r="I315">
        <v>3</v>
      </c>
      <c r="J315" t="s">
        <v>29</v>
      </c>
      <c r="K315">
        <v>2</v>
      </c>
      <c r="L315">
        <v>11878</v>
      </c>
      <c r="M315" t="str" cm="1">
        <f t="array" ref="M315">_xlfn.IFS(L315&lt;= 7000,"Low",L315&lt;=15000,"Medium",L315&lt;=20000,"High")</f>
        <v>Medium</v>
      </c>
      <c r="N315" t="s">
        <v>22</v>
      </c>
      <c r="O315">
        <v>11</v>
      </c>
      <c r="P315">
        <v>3</v>
      </c>
      <c r="Q315">
        <v>2</v>
      </c>
      <c r="R315">
        <v>12</v>
      </c>
      <c r="S315">
        <v>3</v>
      </c>
      <c r="T315">
        <v>10</v>
      </c>
      <c r="U315">
        <v>6</v>
      </c>
    </row>
    <row r="316" spans="1:21" x14ac:dyDescent="0.35">
      <c r="A316">
        <v>39</v>
      </c>
      <c r="B316" t="str" cm="1">
        <f t="array" ref="B316">_xlfn.IFS(A316&gt;40,"Senior",A316&gt;30,"Adult",A316&gt;=18,"Teenager")</f>
        <v>Adult</v>
      </c>
      <c r="C316" t="s">
        <v>22</v>
      </c>
      <c r="D316">
        <f t="shared" si="4"/>
        <v>0</v>
      </c>
      <c r="E316" t="s">
        <v>23</v>
      </c>
      <c r="F316">
        <v>3</v>
      </c>
      <c r="G316" t="s">
        <v>24</v>
      </c>
      <c r="H316">
        <v>3</v>
      </c>
      <c r="I316">
        <v>4</v>
      </c>
      <c r="J316" t="s">
        <v>29</v>
      </c>
      <c r="K316">
        <v>1</v>
      </c>
      <c r="L316">
        <v>17068</v>
      </c>
      <c r="M316" t="str" cm="1">
        <f t="array" ref="M316">_xlfn.IFS(L316&lt;= 7000,"Low",L316&lt;=15000,"Medium",L316&lt;=20000,"High")</f>
        <v>High</v>
      </c>
      <c r="N316" t="s">
        <v>18</v>
      </c>
      <c r="O316">
        <v>14</v>
      </c>
      <c r="P316">
        <v>3</v>
      </c>
      <c r="Q316">
        <v>4</v>
      </c>
      <c r="R316">
        <v>21</v>
      </c>
      <c r="S316">
        <v>3</v>
      </c>
      <c r="T316">
        <v>21</v>
      </c>
      <c r="U316">
        <v>9</v>
      </c>
    </row>
    <row r="317" spans="1:21" x14ac:dyDescent="0.35">
      <c r="A317">
        <v>43</v>
      </c>
      <c r="B317" t="str" cm="1">
        <f t="array" ref="B317">_xlfn.IFS(A317&gt;40,"Senior",A317&gt;30,"Adult",A317&gt;=18,"Teenager")</f>
        <v>Senior</v>
      </c>
      <c r="C317" t="s">
        <v>22</v>
      </c>
      <c r="D317">
        <f t="shared" si="4"/>
        <v>0</v>
      </c>
      <c r="E317" t="s">
        <v>23</v>
      </c>
      <c r="F317">
        <v>3</v>
      </c>
      <c r="G317" t="s">
        <v>20</v>
      </c>
      <c r="H317">
        <v>3</v>
      </c>
      <c r="I317">
        <v>1</v>
      </c>
      <c r="J317" t="s">
        <v>26</v>
      </c>
      <c r="K317">
        <v>4</v>
      </c>
      <c r="L317">
        <v>2455</v>
      </c>
      <c r="M317" t="str" cm="1">
        <f t="array" ref="M317">_xlfn.IFS(L317&lt;= 7000,"Low",L317&lt;=15000,"Medium",L317&lt;=20000,"High")</f>
        <v>Low</v>
      </c>
      <c r="N317" t="s">
        <v>22</v>
      </c>
      <c r="O317">
        <v>19</v>
      </c>
      <c r="P317">
        <v>3</v>
      </c>
      <c r="Q317">
        <v>1</v>
      </c>
      <c r="R317">
        <v>9</v>
      </c>
      <c r="S317">
        <v>3</v>
      </c>
      <c r="T317">
        <v>8</v>
      </c>
      <c r="U317">
        <v>7</v>
      </c>
    </row>
    <row r="318" spans="1:21" x14ac:dyDescent="0.35">
      <c r="A318">
        <v>49</v>
      </c>
      <c r="B318" t="str" cm="1">
        <f t="array" ref="B318">_xlfn.IFS(A318&gt;40,"Senior",A318&gt;30,"Adult",A318&gt;=18,"Teenager")</f>
        <v>Senior</v>
      </c>
      <c r="C318" t="s">
        <v>22</v>
      </c>
      <c r="D318">
        <f t="shared" si="4"/>
        <v>0</v>
      </c>
      <c r="E318" t="s">
        <v>23</v>
      </c>
      <c r="F318">
        <v>3</v>
      </c>
      <c r="G318" t="s">
        <v>20</v>
      </c>
      <c r="H318">
        <v>2</v>
      </c>
      <c r="I318">
        <v>4</v>
      </c>
      <c r="J318" t="s">
        <v>28</v>
      </c>
      <c r="K318">
        <v>3</v>
      </c>
      <c r="L318">
        <v>13964</v>
      </c>
      <c r="M318" t="str" cm="1">
        <f t="array" ref="M318">_xlfn.IFS(L318&lt;= 7000,"Low",L318&lt;=15000,"Medium",L318&lt;=20000,"High")</f>
        <v>Medium</v>
      </c>
      <c r="N318" t="s">
        <v>18</v>
      </c>
      <c r="O318">
        <v>12</v>
      </c>
      <c r="P318">
        <v>3</v>
      </c>
      <c r="Q318">
        <v>4</v>
      </c>
      <c r="R318">
        <v>25</v>
      </c>
      <c r="S318">
        <v>3</v>
      </c>
      <c r="T318">
        <v>7</v>
      </c>
      <c r="U318">
        <v>1</v>
      </c>
    </row>
    <row r="319" spans="1:21" x14ac:dyDescent="0.35">
      <c r="A319">
        <v>52</v>
      </c>
      <c r="B319" t="str" cm="1">
        <f t="array" ref="B319">_xlfn.IFS(A319&gt;40,"Senior",A319&gt;30,"Adult",A319&gt;=18,"Teenager")</f>
        <v>Senior</v>
      </c>
      <c r="C319" t="s">
        <v>18</v>
      </c>
      <c r="D319">
        <f t="shared" si="4"/>
        <v>1</v>
      </c>
      <c r="E319" t="s">
        <v>23</v>
      </c>
      <c r="F319">
        <v>3</v>
      </c>
      <c r="G319" t="s">
        <v>24</v>
      </c>
      <c r="H319">
        <v>2</v>
      </c>
      <c r="I319">
        <v>2</v>
      </c>
      <c r="J319" t="s">
        <v>25</v>
      </c>
      <c r="K319">
        <v>2</v>
      </c>
      <c r="L319">
        <v>4941</v>
      </c>
      <c r="M319" t="str" cm="1">
        <f t="array" ref="M319">_xlfn.IFS(L319&lt;= 7000,"Low",L319&lt;=15000,"Medium",L319&lt;=20000,"High")</f>
        <v>Low</v>
      </c>
      <c r="N319" t="s">
        <v>22</v>
      </c>
      <c r="O319">
        <v>15</v>
      </c>
      <c r="P319">
        <v>3</v>
      </c>
      <c r="Q319">
        <v>1</v>
      </c>
      <c r="R319">
        <v>11</v>
      </c>
      <c r="S319">
        <v>2</v>
      </c>
      <c r="T319">
        <v>8</v>
      </c>
      <c r="U319">
        <v>2</v>
      </c>
    </row>
    <row r="320" spans="1:21" x14ac:dyDescent="0.35">
      <c r="A320">
        <v>27</v>
      </c>
      <c r="B320" t="str" cm="1">
        <f t="array" ref="B320">_xlfn.IFS(A320&gt;40,"Senior",A320&gt;30,"Adult",A320&gt;=18,"Teenager")</f>
        <v>Teenager</v>
      </c>
      <c r="C320" t="s">
        <v>22</v>
      </c>
      <c r="D320">
        <f t="shared" si="4"/>
        <v>0</v>
      </c>
      <c r="E320" t="s">
        <v>23</v>
      </c>
      <c r="F320">
        <v>3</v>
      </c>
      <c r="G320" t="s">
        <v>20</v>
      </c>
      <c r="H320">
        <v>3</v>
      </c>
      <c r="I320">
        <v>1</v>
      </c>
      <c r="J320" t="s">
        <v>25</v>
      </c>
      <c r="K320">
        <v>2</v>
      </c>
      <c r="L320">
        <v>2478</v>
      </c>
      <c r="M320" t="str" cm="1">
        <f t="array" ref="M320">_xlfn.IFS(L320&lt;= 7000,"Low",L320&lt;=15000,"Medium",L320&lt;=20000,"High")</f>
        <v>Low</v>
      </c>
      <c r="N320" t="s">
        <v>18</v>
      </c>
      <c r="O320">
        <v>12</v>
      </c>
      <c r="P320">
        <v>3</v>
      </c>
      <c r="Q320">
        <v>2</v>
      </c>
      <c r="R320">
        <v>4</v>
      </c>
      <c r="S320">
        <v>2</v>
      </c>
      <c r="T320">
        <v>4</v>
      </c>
      <c r="U320">
        <v>3</v>
      </c>
    </row>
    <row r="321" spans="1:21" x14ac:dyDescent="0.35">
      <c r="A321">
        <v>32</v>
      </c>
      <c r="B321" t="str" cm="1">
        <f t="array" ref="B321">_xlfn.IFS(A321&gt;40,"Senior",A321&gt;30,"Adult",A321&gt;=18,"Teenager")</f>
        <v>Adult</v>
      </c>
      <c r="C321" t="s">
        <v>22</v>
      </c>
      <c r="D321">
        <f t="shared" si="4"/>
        <v>0</v>
      </c>
      <c r="E321" t="s">
        <v>19</v>
      </c>
      <c r="F321">
        <v>3</v>
      </c>
      <c r="G321" t="s">
        <v>20</v>
      </c>
      <c r="H321">
        <v>2</v>
      </c>
      <c r="I321">
        <v>2</v>
      </c>
      <c r="J321" t="s">
        <v>21</v>
      </c>
      <c r="K321">
        <v>2</v>
      </c>
      <c r="L321">
        <v>5228</v>
      </c>
      <c r="M321" t="str" cm="1">
        <f t="array" ref="M321">_xlfn.IFS(L321&lt;= 7000,"Low",L321&lt;=15000,"Medium",L321&lt;=20000,"High")</f>
        <v>Low</v>
      </c>
      <c r="N321" t="s">
        <v>18</v>
      </c>
      <c r="O321">
        <v>11</v>
      </c>
      <c r="P321">
        <v>3</v>
      </c>
      <c r="Q321">
        <v>4</v>
      </c>
      <c r="R321">
        <v>13</v>
      </c>
      <c r="S321">
        <v>3</v>
      </c>
      <c r="T321">
        <v>13</v>
      </c>
      <c r="U321">
        <v>12</v>
      </c>
    </row>
    <row r="322" spans="1:21" x14ac:dyDescent="0.35">
      <c r="A322">
        <v>27</v>
      </c>
      <c r="B322" t="str" cm="1">
        <f t="array" ref="B322">_xlfn.IFS(A322&gt;40,"Senior",A322&gt;30,"Adult",A322&gt;=18,"Teenager")</f>
        <v>Teenager</v>
      </c>
      <c r="C322" t="s">
        <v>22</v>
      </c>
      <c r="D322">
        <f t="shared" si="4"/>
        <v>0</v>
      </c>
      <c r="E322" t="s">
        <v>19</v>
      </c>
      <c r="F322">
        <v>4</v>
      </c>
      <c r="G322" t="s">
        <v>24</v>
      </c>
      <c r="H322">
        <v>3</v>
      </c>
      <c r="I322">
        <v>2</v>
      </c>
      <c r="J322" t="s">
        <v>21</v>
      </c>
      <c r="K322">
        <v>3</v>
      </c>
      <c r="L322">
        <v>4478</v>
      </c>
      <c r="M322" t="str" cm="1">
        <f t="array" ref="M322">_xlfn.IFS(L322&lt;= 7000,"Low",L322&lt;=15000,"Medium",L322&lt;=20000,"High")</f>
        <v>Low</v>
      </c>
      <c r="N322" t="s">
        <v>18</v>
      </c>
      <c r="O322">
        <v>11</v>
      </c>
      <c r="P322">
        <v>3</v>
      </c>
      <c r="Q322">
        <v>1</v>
      </c>
      <c r="R322">
        <v>5</v>
      </c>
      <c r="S322">
        <v>3</v>
      </c>
      <c r="T322">
        <v>5</v>
      </c>
      <c r="U322">
        <v>4</v>
      </c>
    </row>
    <row r="323" spans="1:21" x14ac:dyDescent="0.35">
      <c r="A323">
        <v>31</v>
      </c>
      <c r="B323" t="str" cm="1">
        <f t="array" ref="B323">_xlfn.IFS(A323&gt;40,"Senior",A323&gt;30,"Adult",A323&gt;=18,"Teenager")</f>
        <v>Adult</v>
      </c>
      <c r="C323" t="s">
        <v>22</v>
      </c>
      <c r="D323">
        <f t="shared" ref="D323:D386" si="5">IF(C323="Yes",1,0)</f>
        <v>0</v>
      </c>
      <c r="E323" t="s">
        <v>19</v>
      </c>
      <c r="F323">
        <v>4</v>
      </c>
      <c r="G323" t="s">
        <v>24</v>
      </c>
      <c r="H323">
        <v>3</v>
      </c>
      <c r="I323">
        <v>2</v>
      </c>
      <c r="J323" t="s">
        <v>21</v>
      </c>
      <c r="K323">
        <v>4</v>
      </c>
      <c r="L323">
        <v>7547</v>
      </c>
      <c r="M323" t="str" cm="1">
        <f t="array" ref="M323">_xlfn.IFS(L323&lt;= 7000,"Low",L323&lt;=15000,"Medium",L323&lt;=20000,"High")</f>
        <v>Medium</v>
      </c>
      <c r="N323" t="s">
        <v>22</v>
      </c>
      <c r="O323">
        <v>12</v>
      </c>
      <c r="P323">
        <v>3</v>
      </c>
      <c r="Q323">
        <v>4</v>
      </c>
      <c r="R323">
        <v>13</v>
      </c>
      <c r="S323">
        <v>3</v>
      </c>
      <c r="T323">
        <v>7</v>
      </c>
      <c r="U323">
        <v>7</v>
      </c>
    </row>
    <row r="324" spans="1:21" x14ac:dyDescent="0.35">
      <c r="A324">
        <v>32</v>
      </c>
      <c r="B324" t="str" cm="1">
        <f t="array" ref="B324">_xlfn.IFS(A324&gt;40,"Senior",A324&gt;30,"Adult",A324&gt;=18,"Teenager")</f>
        <v>Adult</v>
      </c>
      <c r="C324" t="s">
        <v>22</v>
      </c>
      <c r="D324">
        <f t="shared" si="5"/>
        <v>0</v>
      </c>
      <c r="E324" t="s">
        <v>23</v>
      </c>
      <c r="F324">
        <v>1</v>
      </c>
      <c r="G324" t="s">
        <v>20</v>
      </c>
      <c r="H324">
        <v>4</v>
      </c>
      <c r="I324">
        <v>2</v>
      </c>
      <c r="J324" t="s">
        <v>25</v>
      </c>
      <c r="K324">
        <v>4</v>
      </c>
      <c r="L324">
        <v>5055</v>
      </c>
      <c r="M324" t="str" cm="1">
        <f t="array" ref="M324">_xlfn.IFS(L324&lt;= 7000,"Low",L324&lt;=15000,"Medium",L324&lt;=20000,"High")</f>
        <v>Low</v>
      </c>
      <c r="N324" t="s">
        <v>22</v>
      </c>
      <c r="O324">
        <v>16</v>
      </c>
      <c r="P324">
        <v>3</v>
      </c>
      <c r="Q324">
        <v>3</v>
      </c>
      <c r="R324">
        <v>10</v>
      </c>
      <c r="S324">
        <v>2</v>
      </c>
      <c r="T324">
        <v>7</v>
      </c>
      <c r="U324">
        <v>7</v>
      </c>
    </row>
    <row r="325" spans="1:21" x14ac:dyDescent="0.35">
      <c r="A325">
        <v>28</v>
      </c>
      <c r="B325" t="str" cm="1">
        <f t="array" ref="B325">_xlfn.IFS(A325&gt;40,"Senior",A325&gt;30,"Adult",A325&gt;=18,"Teenager")</f>
        <v>Teenager</v>
      </c>
      <c r="C325" t="s">
        <v>18</v>
      </c>
      <c r="D325">
        <f t="shared" si="5"/>
        <v>1</v>
      </c>
      <c r="E325" t="s">
        <v>23</v>
      </c>
      <c r="F325">
        <v>1</v>
      </c>
      <c r="G325" t="s">
        <v>24</v>
      </c>
      <c r="H325">
        <v>1</v>
      </c>
      <c r="I325">
        <v>1</v>
      </c>
      <c r="J325" t="s">
        <v>25</v>
      </c>
      <c r="K325">
        <v>4</v>
      </c>
      <c r="L325">
        <v>3464</v>
      </c>
      <c r="M325" t="str" cm="1">
        <f t="array" ref="M325">_xlfn.IFS(L325&lt;= 7000,"Low",L325&lt;=15000,"Medium",L325&lt;=20000,"High")</f>
        <v>Low</v>
      </c>
      <c r="N325" t="s">
        <v>18</v>
      </c>
      <c r="O325">
        <v>13</v>
      </c>
      <c r="P325">
        <v>3</v>
      </c>
      <c r="Q325">
        <v>4</v>
      </c>
      <c r="R325">
        <v>5</v>
      </c>
      <c r="S325">
        <v>2</v>
      </c>
      <c r="T325">
        <v>3</v>
      </c>
      <c r="U325">
        <v>2</v>
      </c>
    </row>
    <row r="326" spans="1:21" x14ac:dyDescent="0.35">
      <c r="A326">
        <v>30</v>
      </c>
      <c r="B326" t="str" cm="1">
        <f t="array" ref="B326">_xlfn.IFS(A326&gt;40,"Senior",A326&gt;30,"Adult",A326&gt;=18,"Teenager")</f>
        <v>Teenager</v>
      </c>
      <c r="C326" t="s">
        <v>22</v>
      </c>
      <c r="D326">
        <f t="shared" si="5"/>
        <v>0</v>
      </c>
      <c r="E326" t="s">
        <v>23</v>
      </c>
      <c r="F326">
        <v>4</v>
      </c>
      <c r="G326" t="s">
        <v>20</v>
      </c>
      <c r="H326">
        <v>3</v>
      </c>
      <c r="I326">
        <v>2</v>
      </c>
      <c r="J326" t="s">
        <v>25</v>
      </c>
      <c r="K326">
        <v>4</v>
      </c>
      <c r="L326">
        <v>5775</v>
      </c>
      <c r="M326" t="str" cm="1">
        <f t="array" ref="M326">_xlfn.IFS(L326&lt;= 7000,"Low",L326&lt;=15000,"Medium",L326&lt;=20000,"High")</f>
        <v>Low</v>
      </c>
      <c r="N326" t="s">
        <v>22</v>
      </c>
      <c r="O326">
        <v>13</v>
      </c>
      <c r="P326">
        <v>3</v>
      </c>
      <c r="Q326">
        <v>4</v>
      </c>
      <c r="R326">
        <v>11</v>
      </c>
      <c r="S326">
        <v>3</v>
      </c>
      <c r="T326">
        <v>10</v>
      </c>
      <c r="U326">
        <v>8</v>
      </c>
    </row>
    <row r="327" spans="1:21" x14ac:dyDescent="0.35">
      <c r="A327">
        <v>31</v>
      </c>
      <c r="B327" t="str" cm="1">
        <f t="array" ref="B327">_xlfn.IFS(A327&gt;40,"Senior",A327&gt;30,"Adult",A327&gt;=18,"Teenager")</f>
        <v>Adult</v>
      </c>
      <c r="C327" t="s">
        <v>22</v>
      </c>
      <c r="D327">
        <f t="shared" si="5"/>
        <v>0</v>
      </c>
      <c r="E327" t="s">
        <v>23</v>
      </c>
      <c r="F327">
        <v>3</v>
      </c>
      <c r="G327" t="s">
        <v>20</v>
      </c>
      <c r="H327">
        <v>2</v>
      </c>
      <c r="I327">
        <v>3</v>
      </c>
      <c r="J327" t="s">
        <v>27</v>
      </c>
      <c r="K327">
        <v>3</v>
      </c>
      <c r="L327">
        <v>8943</v>
      </c>
      <c r="M327" t="str" cm="1">
        <f t="array" ref="M327">_xlfn.IFS(L327&lt;= 7000,"Low",L327&lt;=15000,"Medium",L327&lt;=20000,"High")</f>
        <v>Medium</v>
      </c>
      <c r="N327" t="s">
        <v>22</v>
      </c>
      <c r="O327">
        <v>24</v>
      </c>
      <c r="P327">
        <v>4</v>
      </c>
      <c r="Q327">
        <v>1</v>
      </c>
      <c r="R327">
        <v>10</v>
      </c>
      <c r="S327">
        <v>3</v>
      </c>
      <c r="T327">
        <v>10</v>
      </c>
      <c r="U327">
        <v>9</v>
      </c>
    </row>
    <row r="328" spans="1:21" x14ac:dyDescent="0.35">
      <c r="A328">
        <v>39</v>
      </c>
      <c r="B328" t="str" cm="1">
        <f t="array" ref="B328">_xlfn.IFS(A328&gt;40,"Senior",A328&gt;30,"Adult",A328&gt;=18,"Teenager")</f>
        <v>Adult</v>
      </c>
      <c r="C328" t="s">
        <v>22</v>
      </c>
      <c r="D328">
        <f t="shared" si="5"/>
        <v>0</v>
      </c>
      <c r="E328" t="s">
        <v>23</v>
      </c>
      <c r="F328">
        <v>3</v>
      </c>
      <c r="G328" t="s">
        <v>24</v>
      </c>
      <c r="H328">
        <v>2</v>
      </c>
      <c r="I328">
        <v>5</v>
      </c>
      <c r="J328" t="s">
        <v>29</v>
      </c>
      <c r="K328">
        <v>4</v>
      </c>
      <c r="L328">
        <v>19272</v>
      </c>
      <c r="M328" t="str" cm="1">
        <f t="array" ref="M328">_xlfn.IFS(L328&lt;= 7000,"Low",L328&lt;=15000,"Medium",L328&lt;=20000,"High")</f>
        <v>High</v>
      </c>
      <c r="N328" t="s">
        <v>22</v>
      </c>
      <c r="O328">
        <v>15</v>
      </c>
      <c r="P328">
        <v>3</v>
      </c>
      <c r="Q328">
        <v>1</v>
      </c>
      <c r="R328">
        <v>21</v>
      </c>
      <c r="S328">
        <v>3</v>
      </c>
      <c r="T328">
        <v>21</v>
      </c>
      <c r="U328">
        <v>9</v>
      </c>
    </row>
    <row r="329" spans="1:21" x14ac:dyDescent="0.35">
      <c r="A329">
        <v>39</v>
      </c>
      <c r="B329" t="str" cm="1">
        <f t="array" ref="B329">_xlfn.IFS(A329&gt;40,"Senior",A329&gt;30,"Adult",A329&gt;=18,"Teenager")</f>
        <v>Adult</v>
      </c>
      <c r="C329" t="s">
        <v>18</v>
      </c>
      <c r="D329">
        <f t="shared" si="5"/>
        <v>1</v>
      </c>
      <c r="E329" t="s">
        <v>19</v>
      </c>
      <c r="F329">
        <v>4</v>
      </c>
      <c r="G329" t="s">
        <v>20</v>
      </c>
      <c r="H329">
        <v>3</v>
      </c>
      <c r="I329">
        <v>2</v>
      </c>
      <c r="J329" t="s">
        <v>21</v>
      </c>
      <c r="K329">
        <v>3</v>
      </c>
      <c r="L329">
        <v>5238</v>
      </c>
      <c r="M329" t="str" cm="1">
        <f t="array" ref="M329">_xlfn.IFS(L329&lt;= 7000,"Low",L329&lt;=15000,"Medium",L329&lt;=20000,"High")</f>
        <v>Low</v>
      </c>
      <c r="N329" t="s">
        <v>18</v>
      </c>
      <c r="O329">
        <v>18</v>
      </c>
      <c r="P329">
        <v>3</v>
      </c>
      <c r="Q329">
        <v>1</v>
      </c>
      <c r="R329">
        <v>12</v>
      </c>
      <c r="S329">
        <v>2</v>
      </c>
      <c r="T329">
        <v>1</v>
      </c>
      <c r="U329">
        <v>0</v>
      </c>
    </row>
    <row r="330" spans="1:21" x14ac:dyDescent="0.35">
      <c r="A330">
        <v>33</v>
      </c>
      <c r="B330" t="str" cm="1">
        <f t="array" ref="B330">_xlfn.IFS(A330&gt;40,"Senior",A330&gt;30,"Adult",A330&gt;=18,"Teenager")</f>
        <v>Adult</v>
      </c>
      <c r="C330" t="s">
        <v>22</v>
      </c>
      <c r="D330">
        <f t="shared" si="5"/>
        <v>0</v>
      </c>
      <c r="E330" t="s">
        <v>19</v>
      </c>
      <c r="F330">
        <v>2</v>
      </c>
      <c r="G330" t="s">
        <v>24</v>
      </c>
      <c r="H330">
        <v>2</v>
      </c>
      <c r="I330">
        <v>2</v>
      </c>
      <c r="J330" t="s">
        <v>21</v>
      </c>
      <c r="K330">
        <v>4</v>
      </c>
      <c r="L330">
        <v>4682</v>
      </c>
      <c r="M330" t="str" cm="1">
        <f t="array" ref="M330">_xlfn.IFS(L330&lt;= 7000,"Low",L330&lt;=15000,"Medium",L330&lt;=20000,"High")</f>
        <v>Low</v>
      </c>
      <c r="N330" t="s">
        <v>22</v>
      </c>
      <c r="O330">
        <v>14</v>
      </c>
      <c r="P330">
        <v>3</v>
      </c>
      <c r="Q330">
        <v>3</v>
      </c>
      <c r="R330">
        <v>9</v>
      </c>
      <c r="S330">
        <v>2</v>
      </c>
      <c r="T330">
        <v>7</v>
      </c>
      <c r="U330">
        <v>7</v>
      </c>
    </row>
    <row r="331" spans="1:21" x14ac:dyDescent="0.35">
      <c r="A331">
        <v>47</v>
      </c>
      <c r="B331" t="str" cm="1">
        <f t="array" ref="B331">_xlfn.IFS(A331&gt;40,"Senior",A331&gt;30,"Adult",A331&gt;=18,"Teenager")</f>
        <v>Senior</v>
      </c>
      <c r="C331" t="s">
        <v>22</v>
      </c>
      <c r="D331">
        <f t="shared" si="5"/>
        <v>0</v>
      </c>
      <c r="E331" t="s">
        <v>23</v>
      </c>
      <c r="F331">
        <v>4</v>
      </c>
      <c r="G331" t="s">
        <v>24</v>
      </c>
      <c r="H331">
        <v>3</v>
      </c>
      <c r="I331">
        <v>5</v>
      </c>
      <c r="J331" t="s">
        <v>31</v>
      </c>
      <c r="K331">
        <v>3</v>
      </c>
      <c r="L331">
        <v>18300</v>
      </c>
      <c r="M331" t="str" cm="1">
        <f t="array" ref="M331">_xlfn.IFS(L331&lt;= 7000,"Low",L331&lt;=15000,"Medium",L331&lt;=20000,"High")</f>
        <v>High</v>
      </c>
      <c r="N331" t="s">
        <v>22</v>
      </c>
      <c r="O331">
        <v>11</v>
      </c>
      <c r="P331">
        <v>3</v>
      </c>
      <c r="Q331">
        <v>2</v>
      </c>
      <c r="R331">
        <v>21</v>
      </c>
      <c r="S331">
        <v>3</v>
      </c>
      <c r="T331">
        <v>3</v>
      </c>
      <c r="U331">
        <v>2</v>
      </c>
    </row>
    <row r="332" spans="1:21" x14ac:dyDescent="0.35">
      <c r="A332">
        <v>43</v>
      </c>
      <c r="B332" t="str" cm="1">
        <f t="array" ref="B332">_xlfn.IFS(A332&gt;40,"Senior",A332&gt;30,"Adult",A332&gt;=18,"Teenager")</f>
        <v>Senior</v>
      </c>
      <c r="C332" t="s">
        <v>22</v>
      </c>
      <c r="D332">
        <f t="shared" si="5"/>
        <v>0</v>
      </c>
      <c r="E332" t="s">
        <v>23</v>
      </c>
      <c r="F332">
        <v>3</v>
      </c>
      <c r="G332" t="s">
        <v>20</v>
      </c>
      <c r="H332">
        <v>2</v>
      </c>
      <c r="I332">
        <v>2</v>
      </c>
      <c r="J332" t="s">
        <v>26</v>
      </c>
      <c r="K332">
        <v>3</v>
      </c>
      <c r="L332">
        <v>5257</v>
      </c>
      <c r="M332" t="str" cm="1">
        <f t="array" ref="M332">_xlfn.IFS(L332&lt;= 7000,"Low",L332&lt;=15000,"Medium",L332&lt;=20000,"High")</f>
        <v>Low</v>
      </c>
      <c r="N332" t="s">
        <v>22</v>
      </c>
      <c r="O332">
        <v>11</v>
      </c>
      <c r="P332">
        <v>3</v>
      </c>
      <c r="Q332">
        <v>2</v>
      </c>
      <c r="R332">
        <v>9</v>
      </c>
      <c r="S332">
        <v>4</v>
      </c>
      <c r="T332">
        <v>9</v>
      </c>
      <c r="U332">
        <v>7</v>
      </c>
    </row>
    <row r="333" spans="1:21" x14ac:dyDescent="0.35">
      <c r="A333">
        <v>27</v>
      </c>
      <c r="B333" t="str" cm="1">
        <f t="array" ref="B333">_xlfn.IFS(A333&gt;40,"Senior",A333&gt;30,"Adult",A333&gt;=18,"Teenager")</f>
        <v>Teenager</v>
      </c>
      <c r="C333" t="s">
        <v>22</v>
      </c>
      <c r="D333">
        <f t="shared" si="5"/>
        <v>0</v>
      </c>
      <c r="E333" t="s">
        <v>19</v>
      </c>
      <c r="F333">
        <v>3</v>
      </c>
      <c r="G333" t="s">
        <v>24</v>
      </c>
      <c r="H333">
        <v>3</v>
      </c>
      <c r="I333">
        <v>2</v>
      </c>
      <c r="J333" t="s">
        <v>21</v>
      </c>
      <c r="K333">
        <v>2</v>
      </c>
      <c r="L333">
        <v>6349</v>
      </c>
      <c r="M333" t="str" cm="1">
        <f t="array" ref="M333">_xlfn.IFS(L333&lt;= 7000,"Low",L333&lt;=15000,"Medium",L333&lt;=20000,"High")</f>
        <v>Low</v>
      </c>
      <c r="N333" t="s">
        <v>18</v>
      </c>
      <c r="O333">
        <v>13</v>
      </c>
      <c r="P333">
        <v>3</v>
      </c>
      <c r="Q333">
        <v>4</v>
      </c>
      <c r="R333">
        <v>6</v>
      </c>
      <c r="S333">
        <v>3</v>
      </c>
      <c r="T333">
        <v>5</v>
      </c>
      <c r="U333">
        <v>4</v>
      </c>
    </row>
    <row r="334" spans="1:21" x14ac:dyDescent="0.35">
      <c r="A334">
        <v>54</v>
      </c>
      <c r="B334" t="str" cm="1">
        <f t="array" ref="B334">_xlfn.IFS(A334&gt;40,"Senior",A334&gt;30,"Adult",A334&gt;=18,"Teenager")</f>
        <v>Senior</v>
      </c>
      <c r="C334" t="s">
        <v>22</v>
      </c>
      <c r="D334">
        <f t="shared" si="5"/>
        <v>0</v>
      </c>
      <c r="E334" t="s">
        <v>23</v>
      </c>
      <c r="F334">
        <v>4</v>
      </c>
      <c r="G334" t="s">
        <v>20</v>
      </c>
      <c r="H334">
        <v>3</v>
      </c>
      <c r="I334">
        <v>2</v>
      </c>
      <c r="J334" t="s">
        <v>25</v>
      </c>
      <c r="K334">
        <v>3</v>
      </c>
      <c r="L334">
        <v>4869</v>
      </c>
      <c r="M334" t="str" cm="1">
        <f t="array" ref="M334">_xlfn.IFS(L334&lt;= 7000,"Low",L334&lt;=15000,"Medium",L334&lt;=20000,"High")</f>
        <v>Low</v>
      </c>
      <c r="N334" t="s">
        <v>22</v>
      </c>
      <c r="O334">
        <v>12</v>
      </c>
      <c r="P334">
        <v>3</v>
      </c>
      <c r="Q334">
        <v>4</v>
      </c>
      <c r="R334">
        <v>20</v>
      </c>
      <c r="S334">
        <v>2</v>
      </c>
      <c r="T334">
        <v>4</v>
      </c>
      <c r="U334">
        <v>3</v>
      </c>
    </row>
    <row r="335" spans="1:21" x14ac:dyDescent="0.35">
      <c r="A335">
        <v>43</v>
      </c>
      <c r="B335" t="str" cm="1">
        <f t="array" ref="B335">_xlfn.IFS(A335&gt;40,"Senior",A335&gt;30,"Adult",A335&gt;=18,"Teenager")</f>
        <v>Senior</v>
      </c>
      <c r="C335" t="s">
        <v>22</v>
      </c>
      <c r="D335">
        <f t="shared" si="5"/>
        <v>0</v>
      </c>
      <c r="E335" t="s">
        <v>23</v>
      </c>
      <c r="F335">
        <v>3</v>
      </c>
      <c r="G335" t="s">
        <v>20</v>
      </c>
      <c r="H335">
        <v>3</v>
      </c>
      <c r="I335">
        <v>3</v>
      </c>
      <c r="J335" t="s">
        <v>28</v>
      </c>
      <c r="K335">
        <v>1</v>
      </c>
      <c r="L335">
        <v>9985</v>
      </c>
      <c r="M335" t="str" cm="1">
        <f t="array" ref="M335">_xlfn.IFS(L335&lt;= 7000,"Low",L335&lt;=15000,"Medium",L335&lt;=20000,"High")</f>
        <v>Medium</v>
      </c>
      <c r="N335" t="s">
        <v>22</v>
      </c>
      <c r="O335">
        <v>16</v>
      </c>
      <c r="P335">
        <v>3</v>
      </c>
      <c r="Q335">
        <v>1</v>
      </c>
      <c r="R335">
        <v>10</v>
      </c>
      <c r="S335">
        <v>2</v>
      </c>
      <c r="T335">
        <v>1</v>
      </c>
      <c r="U335">
        <v>0</v>
      </c>
    </row>
    <row r="336" spans="1:21" x14ac:dyDescent="0.35">
      <c r="A336">
        <v>45</v>
      </c>
      <c r="B336" t="str" cm="1">
        <f t="array" ref="B336">_xlfn.IFS(A336&gt;40,"Senior",A336&gt;30,"Adult",A336&gt;=18,"Teenager")</f>
        <v>Senior</v>
      </c>
      <c r="C336" t="s">
        <v>22</v>
      </c>
      <c r="D336">
        <f t="shared" si="5"/>
        <v>0</v>
      </c>
      <c r="E336" t="s">
        <v>23</v>
      </c>
      <c r="F336">
        <v>4</v>
      </c>
      <c r="G336" t="s">
        <v>24</v>
      </c>
      <c r="H336">
        <v>3</v>
      </c>
      <c r="I336">
        <v>2</v>
      </c>
      <c r="J336" t="s">
        <v>25</v>
      </c>
      <c r="K336">
        <v>4</v>
      </c>
      <c r="L336">
        <v>3697</v>
      </c>
      <c r="M336" t="str" cm="1">
        <f t="array" ref="M336">_xlfn.IFS(L336&lt;= 7000,"Low",L336&lt;=15000,"Medium",L336&lt;=20000,"High")</f>
        <v>Low</v>
      </c>
      <c r="N336" t="s">
        <v>22</v>
      </c>
      <c r="O336">
        <v>14</v>
      </c>
      <c r="P336">
        <v>3</v>
      </c>
      <c r="Q336">
        <v>1</v>
      </c>
      <c r="R336">
        <v>12</v>
      </c>
      <c r="S336">
        <v>3</v>
      </c>
      <c r="T336">
        <v>10</v>
      </c>
      <c r="U336">
        <v>9</v>
      </c>
    </row>
    <row r="337" spans="1:21" x14ac:dyDescent="0.35">
      <c r="A337">
        <v>40</v>
      </c>
      <c r="B337" t="str" cm="1">
        <f t="array" ref="B337">_xlfn.IFS(A337&gt;40,"Senior",A337&gt;30,"Adult",A337&gt;=18,"Teenager")</f>
        <v>Adult</v>
      </c>
      <c r="C337" t="s">
        <v>22</v>
      </c>
      <c r="D337">
        <f t="shared" si="5"/>
        <v>0</v>
      </c>
      <c r="E337" t="s">
        <v>19</v>
      </c>
      <c r="F337">
        <v>2</v>
      </c>
      <c r="G337" t="s">
        <v>24</v>
      </c>
      <c r="H337">
        <v>1</v>
      </c>
      <c r="I337">
        <v>2</v>
      </c>
      <c r="J337" t="s">
        <v>21</v>
      </c>
      <c r="K337">
        <v>4</v>
      </c>
      <c r="L337">
        <v>7457</v>
      </c>
      <c r="M337" t="str" cm="1">
        <f t="array" ref="M337">_xlfn.IFS(L337&lt;= 7000,"Low",L337&lt;=15000,"Medium",L337&lt;=20000,"High")</f>
        <v>Medium</v>
      </c>
      <c r="N337" t="s">
        <v>18</v>
      </c>
      <c r="O337">
        <v>22</v>
      </c>
      <c r="P337">
        <v>4</v>
      </c>
      <c r="Q337">
        <v>3</v>
      </c>
      <c r="R337">
        <v>6</v>
      </c>
      <c r="S337">
        <v>2</v>
      </c>
      <c r="T337">
        <v>4</v>
      </c>
      <c r="U337">
        <v>3</v>
      </c>
    </row>
    <row r="338" spans="1:21" x14ac:dyDescent="0.35">
      <c r="A338">
        <v>29</v>
      </c>
      <c r="B338" t="str" cm="1">
        <f t="array" ref="B338">_xlfn.IFS(A338&gt;40,"Senior",A338&gt;30,"Adult",A338&gt;=18,"Teenager")</f>
        <v>Teenager</v>
      </c>
      <c r="C338" t="s">
        <v>18</v>
      </c>
      <c r="D338">
        <f t="shared" si="5"/>
        <v>1</v>
      </c>
      <c r="E338" t="s">
        <v>23</v>
      </c>
      <c r="F338">
        <v>2</v>
      </c>
      <c r="G338" t="s">
        <v>24</v>
      </c>
      <c r="H338">
        <v>1</v>
      </c>
      <c r="I338">
        <v>1</v>
      </c>
      <c r="J338" t="s">
        <v>26</v>
      </c>
      <c r="K338">
        <v>1</v>
      </c>
      <c r="L338">
        <v>2119</v>
      </c>
      <c r="M338" t="str" cm="1">
        <f t="array" ref="M338">_xlfn.IFS(L338&lt;= 7000,"Low",L338&lt;=15000,"Medium",L338&lt;=20000,"High")</f>
        <v>Low</v>
      </c>
      <c r="N338" t="s">
        <v>18</v>
      </c>
      <c r="O338">
        <v>11</v>
      </c>
      <c r="P338">
        <v>3</v>
      </c>
      <c r="Q338">
        <v>4</v>
      </c>
      <c r="R338">
        <v>7</v>
      </c>
      <c r="S338">
        <v>2</v>
      </c>
      <c r="T338">
        <v>7</v>
      </c>
      <c r="U338">
        <v>7</v>
      </c>
    </row>
    <row r="339" spans="1:21" x14ac:dyDescent="0.35">
      <c r="A339">
        <v>29</v>
      </c>
      <c r="B339" t="str" cm="1">
        <f t="array" ref="B339">_xlfn.IFS(A339&gt;40,"Senior",A339&gt;30,"Adult",A339&gt;=18,"Teenager")</f>
        <v>Teenager</v>
      </c>
      <c r="C339" t="s">
        <v>22</v>
      </c>
      <c r="D339">
        <f t="shared" si="5"/>
        <v>0</v>
      </c>
      <c r="E339" t="s">
        <v>23</v>
      </c>
      <c r="F339">
        <v>2</v>
      </c>
      <c r="G339" t="s">
        <v>24</v>
      </c>
      <c r="H339">
        <v>2</v>
      </c>
      <c r="I339">
        <v>1</v>
      </c>
      <c r="J339" t="s">
        <v>26</v>
      </c>
      <c r="K339">
        <v>4</v>
      </c>
      <c r="L339">
        <v>3983</v>
      </c>
      <c r="M339" t="str" cm="1">
        <f t="array" ref="M339">_xlfn.IFS(L339&lt;= 7000,"Low",L339&lt;=15000,"Medium",L339&lt;=20000,"High")</f>
        <v>Low</v>
      </c>
      <c r="N339" t="s">
        <v>22</v>
      </c>
      <c r="O339">
        <v>17</v>
      </c>
      <c r="P339">
        <v>3</v>
      </c>
      <c r="Q339">
        <v>3</v>
      </c>
      <c r="R339">
        <v>4</v>
      </c>
      <c r="S339">
        <v>3</v>
      </c>
      <c r="T339">
        <v>3</v>
      </c>
      <c r="U339">
        <v>2</v>
      </c>
    </row>
    <row r="340" spans="1:21" x14ac:dyDescent="0.35">
      <c r="A340">
        <v>30</v>
      </c>
      <c r="B340" t="str" cm="1">
        <f t="array" ref="B340">_xlfn.IFS(A340&gt;40,"Senior",A340&gt;30,"Adult",A340&gt;=18,"Teenager")</f>
        <v>Teenager</v>
      </c>
      <c r="C340" t="s">
        <v>22</v>
      </c>
      <c r="D340">
        <f t="shared" si="5"/>
        <v>0</v>
      </c>
      <c r="E340" t="s">
        <v>19</v>
      </c>
      <c r="F340">
        <v>4</v>
      </c>
      <c r="G340" t="s">
        <v>20</v>
      </c>
      <c r="H340">
        <v>2</v>
      </c>
      <c r="I340">
        <v>2</v>
      </c>
      <c r="J340" t="s">
        <v>21</v>
      </c>
      <c r="K340">
        <v>3</v>
      </c>
      <c r="L340">
        <v>6118</v>
      </c>
      <c r="M340" t="str" cm="1">
        <f t="array" ref="M340">_xlfn.IFS(L340&lt;= 7000,"Low",L340&lt;=15000,"Medium",L340&lt;=20000,"High")</f>
        <v>Low</v>
      </c>
      <c r="N340" t="s">
        <v>22</v>
      </c>
      <c r="O340">
        <v>13</v>
      </c>
      <c r="P340">
        <v>3</v>
      </c>
      <c r="Q340">
        <v>3</v>
      </c>
      <c r="R340">
        <v>10</v>
      </c>
      <c r="S340">
        <v>3</v>
      </c>
      <c r="T340">
        <v>10</v>
      </c>
      <c r="U340">
        <v>9</v>
      </c>
    </row>
    <row r="341" spans="1:21" x14ac:dyDescent="0.35">
      <c r="A341">
        <v>27</v>
      </c>
      <c r="B341" t="str" cm="1">
        <f t="array" ref="B341">_xlfn.IFS(A341&gt;40,"Senior",A341&gt;30,"Adult",A341&gt;=18,"Teenager")</f>
        <v>Teenager</v>
      </c>
      <c r="C341" t="s">
        <v>22</v>
      </c>
      <c r="D341">
        <f t="shared" si="5"/>
        <v>0</v>
      </c>
      <c r="E341" t="s">
        <v>19</v>
      </c>
      <c r="F341">
        <v>2</v>
      </c>
      <c r="G341" t="s">
        <v>20</v>
      </c>
      <c r="H341">
        <v>3</v>
      </c>
      <c r="I341">
        <v>2</v>
      </c>
      <c r="J341" t="s">
        <v>21</v>
      </c>
      <c r="K341">
        <v>2</v>
      </c>
      <c r="L341">
        <v>6214</v>
      </c>
      <c r="M341" t="str" cm="1">
        <f t="array" ref="M341">_xlfn.IFS(L341&lt;= 7000,"Low",L341&lt;=15000,"Medium",L341&lt;=20000,"High")</f>
        <v>Low</v>
      </c>
      <c r="N341" t="s">
        <v>22</v>
      </c>
      <c r="O341">
        <v>18</v>
      </c>
      <c r="P341">
        <v>3</v>
      </c>
      <c r="Q341">
        <v>1</v>
      </c>
      <c r="R341">
        <v>8</v>
      </c>
      <c r="S341">
        <v>3</v>
      </c>
      <c r="T341">
        <v>8</v>
      </c>
      <c r="U341">
        <v>7</v>
      </c>
    </row>
    <row r="342" spans="1:21" x14ac:dyDescent="0.35">
      <c r="A342">
        <v>37</v>
      </c>
      <c r="B342" t="str" cm="1">
        <f t="array" ref="B342">_xlfn.IFS(A342&gt;40,"Senior",A342&gt;30,"Adult",A342&gt;=18,"Teenager")</f>
        <v>Adult</v>
      </c>
      <c r="C342" t="s">
        <v>22</v>
      </c>
      <c r="D342">
        <f t="shared" si="5"/>
        <v>0</v>
      </c>
      <c r="E342" t="s">
        <v>23</v>
      </c>
      <c r="F342">
        <v>4</v>
      </c>
      <c r="G342" t="s">
        <v>24</v>
      </c>
      <c r="H342">
        <v>3</v>
      </c>
      <c r="I342">
        <v>2</v>
      </c>
      <c r="J342" t="s">
        <v>27</v>
      </c>
      <c r="K342">
        <v>4</v>
      </c>
      <c r="L342">
        <v>6347</v>
      </c>
      <c r="M342" t="str" cm="1">
        <f t="array" ref="M342">_xlfn.IFS(L342&lt;= 7000,"Low",L342&lt;=15000,"Medium",L342&lt;=20000,"High")</f>
        <v>Low</v>
      </c>
      <c r="N342" t="s">
        <v>22</v>
      </c>
      <c r="O342">
        <v>16</v>
      </c>
      <c r="P342">
        <v>3</v>
      </c>
      <c r="Q342">
        <v>3</v>
      </c>
      <c r="R342">
        <v>8</v>
      </c>
      <c r="S342">
        <v>2</v>
      </c>
      <c r="T342">
        <v>6</v>
      </c>
      <c r="U342">
        <v>2</v>
      </c>
    </row>
    <row r="343" spans="1:21" x14ac:dyDescent="0.35">
      <c r="A343">
        <v>38</v>
      </c>
      <c r="B343" t="str" cm="1">
        <f t="array" ref="B343">_xlfn.IFS(A343&gt;40,"Senior",A343&gt;30,"Adult",A343&gt;=18,"Teenager")</f>
        <v>Adult</v>
      </c>
      <c r="C343" t="s">
        <v>22</v>
      </c>
      <c r="D343">
        <f t="shared" si="5"/>
        <v>0</v>
      </c>
      <c r="E343" t="s">
        <v>23</v>
      </c>
      <c r="F343">
        <v>3</v>
      </c>
      <c r="G343" t="s">
        <v>24</v>
      </c>
      <c r="H343">
        <v>2</v>
      </c>
      <c r="I343">
        <v>3</v>
      </c>
      <c r="J343" t="s">
        <v>31</v>
      </c>
      <c r="K343">
        <v>4</v>
      </c>
      <c r="L343">
        <v>11510</v>
      </c>
      <c r="M343" t="str" cm="1">
        <f t="array" ref="M343">_xlfn.IFS(L343&lt;= 7000,"Low",L343&lt;=15000,"Medium",L343&lt;=20000,"High")</f>
        <v>Medium</v>
      </c>
      <c r="N343" t="s">
        <v>18</v>
      </c>
      <c r="O343">
        <v>14</v>
      </c>
      <c r="P343">
        <v>3</v>
      </c>
      <c r="Q343">
        <v>2</v>
      </c>
      <c r="R343">
        <v>12</v>
      </c>
      <c r="S343">
        <v>3</v>
      </c>
      <c r="T343">
        <v>11</v>
      </c>
      <c r="U343">
        <v>10</v>
      </c>
    </row>
    <row r="344" spans="1:21" x14ac:dyDescent="0.35">
      <c r="A344">
        <v>31</v>
      </c>
      <c r="B344" t="str" cm="1">
        <f t="array" ref="B344">_xlfn.IFS(A344&gt;40,"Senior",A344&gt;30,"Adult",A344&gt;=18,"Teenager")</f>
        <v>Adult</v>
      </c>
      <c r="C344" t="s">
        <v>22</v>
      </c>
      <c r="D344">
        <f t="shared" si="5"/>
        <v>0</v>
      </c>
      <c r="E344" t="s">
        <v>23</v>
      </c>
      <c r="F344">
        <v>3</v>
      </c>
      <c r="G344" t="s">
        <v>20</v>
      </c>
      <c r="H344">
        <v>3</v>
      </c>
      <c r="I344">
        <v>3</v>
      </c>
      <c r="J344" t="s">
        <v>27</v>
      </c>
      <c r="K344">
        <v>4</v>
      </c>
      <c r="L344">
        <v>7143</v>
      </c>
      <c r="M344" t="str" cm="1">
        <f t="array" ref="M344">_xlfn.IFS(L344&lt;= 7000,"Low",L344&lt;=15000,"Medium",L344&lt;=20000,"High")</f>
        <v>Medium</v>
      </c>
      <c r="N344" t="s">
        <v>18</v>
      </c>
      <c r="O344">
        <v>14</v>
      </c>
      <c r="P344">
        <v>3</v>
      </c>
      <c r="Q344">
        <v>3</v>
      </c>
      <c r="R344">
        <v>11</v>
      </c>
      <c r="S344">
        <v>2</v>
      </c>
      <c r="T344">
        <v>11</v>
      </c>
      <c r="U344">
        <v>9</v>
      </c>
    </row>
    <row r="345" spans="1:21" x14ac:dyDescent="0.35">
      <c r="A345">
        <v>29</v>
      </c>
      <c r="B345" t="str" cm="1">
        <f t="array" ref="B345">_xlfn.IFS(A345&gt;40,"Senior",A345&gt;30,"Adult",A345&gt;=18,"Teenager")</f>
        <v>Teenager</v>
      </c>
      <c r="C345" t="s">
        <v>22</v>
      </c>
      <c r="D345">
        <f t="shared" si="5"/>
        <v>0</v>
      </c>
      <c r="E345" t="s">
        <v>19</v>
      </c>
      <c r="F345">
        <v>4</v>
      </c>
      <c r="G345" t="s">
        <v>20</v>
      </c>
      <c r="H345">
        <v>2</v>
      </c>
      <c r="I345">
        <v>2</v>
      </c>
      <c r="J345" t="s">
        <v>21</v>
      </c>
      <c r="K345">
        <v>2</v>
      </c>
      <c r="L345">
        <v>8268</v>
      </c>
      <c r="M345" t="str" cm="1">
        <f t="array" ref="M345">_xlfn.IFS(L345&lt;= 7000,"Low",L345&lt;=15000,"Medium",L345&lt;=20000,"High")</f>
        <v>Medium</v>
      </c>
      <c r="N345" t="s">
        <v>18</v>
      </c>
      <c r="O345">
        <v>14</v>
      </c>
      <c r="P345">
        <v>3</v>
      </c>
      <c r="Q345">
        <v>1</v>
      </c>
      <c r="R345">
        <v>7</v>
      </c>
      <c r="S345">
        <v>3</v>
      </c>
      <c r="T345">
        <v>7</v>
      </c>
      <c r="U345">
        <v>7</v>
      </c>
    </row>
    <row r="346" spans="1:21" x14ac:dyDescent="0.35">
      <c r="A346">
        <v>35</v>
      </c>
      <c r="B346" t="str" cm="1">
        <f t="array" ref="B346">_xlfn.IFS(A346&gt;40,"Senior",A346&gt;30,"Adult",A346&gt;=18,"Teenager")</f>
        <v>Adult</v>
      </c>
      <c r="C346" t="s">
        <v>22</v>
      </c>
      <c r="D346">
        <f t="shared" si="5"/>
        <v>0</v>
      </c>
      <c r="E346" t="s">
        <v>23</v>
      </c>
      <c r="F346">
        <v>3</v>
      </c>
      <c r="G346" t="s">
        <v>24</v>
      </c>
      <c r="H346">
        <v>3</v>
      </c>
      <c r="I346">
        <v>3</v>
      </c>
      <c r="J346" t="s">
        <v>27</v>
      </c>
      <c r="K346">
        <v>2</v>
      </c>
      <c r="L346">
        <v>8095</v>
      </c>
      <c r="M346" t="str" cm="1">
        <f t="array" ref="M346">_xlfn.IFS(L346&lt;= 7000,"Low",L346&lt;=15000,"Medium",L346&lt;=20000,"High")</f>
        <v>Medium</v>
      </c>
      <c r="N346" t="s">
        <v>22</v>
      </c>
      <c r="O346">
        <v>13</v>
      </c>
      <c r="P346">
        <v>3</v>
      </c>
      <c r="Q346">
        <v>4</v>
      </c>
      <c r="R346">
        <v>17</v>
      </c>
      <c r="S346">
        <v>3</v>
      </c>
      <c r="T346">
        <v>16</v>
      </c>
      <c r="U346">
        <v>6</v>
      </c>
    </row>
    <row r="347" spans="1:21" x14ac:dyDescent="0.35">
      <c r="A347">
        <v>23</v>
      </c>
      <c r="B347" t="str" cm="1">
        <f t="array" ref="B347">_xlfn.IFS(A347&gt;40,"Senior",A347&gt;30,"Adult",A347&gt;=18,"Teenager")</f>
        <v>Teenager</v>
      </c>
      <c r="C347" t="s">
        <v>22</v>
      </c>
      <c r="D347">
        <f t="shared" si="5"/>
        <v>0</v>
      </c>
      <c r="E347" t="s">
        <v>23</v>
      </c>
      <c r="F347">
        <v>3</v>
      </c>
      <c r="G347" t="s">
        <v>24</v>
      </c>
      <c r="H347">
        <v>3</v>
      </c>
      <c r="I347">
        <v>1</v>
      </c>
      <c r="J347" t="s">
        <v>25</v>
      </c>
      <c r="K347">
        <v>4</v>
      </c>
      <c r="L347">
        <v>2904</v>
      </c>
      <c r="M347" t="str" cm="1">
        <f t="array" ref="M347">_xlfn.IFS(L347&lt;= 7000,"Low",L347&lt;=15000,"Medium",L347&lt;=20000,"High")</f>
        <v>Low</v>
      </c>
      <c r="N347" t="s">
        <v>22</v>
      </c>
      <c r="O347">
        <v>12</v>
      </c>
      <c r="P347">
        <v>3</v>
      </c>
      <c r="Q347">
        <v>3</v>
      </c>
      <c r="R347">
        <v>4</v>
      </c>
      <c r="S347">
        <v>2</v>
      </c>
      <c r="T347">
        <v>4</v>
      </c>
      <c r="U347">
        <v>2</v>
      </c>
    </row>
    <row r="348" spans="1:21" x14ac:dyDescent="0.35">
      <c r="A348">
        <v>41</v>
      </c>
      <c r="B348" t="str" cm="1">
        <f t="array" ref="B348">_xlfn.IFS(A348&gt;40,"Senior",A348&gt;30,"Adult",A348&gt;=18,"Teenager")</f>
        <v>Senior</v>
      </c>
      <c r="C348" t="s">
        <v>22</v>
      </c>
      <c r="D348">
        <f t="shared" si="5"/>
        <v>0</v>
      </c>
      <c r="E348" t="s">
        <v>23</v>
      </c>
      <c r="F348">
        <v>4</v>
      </c>
      <c r="G348" t="s">
        <v>24</v>
      </c>
      <c r="H348">
        <v>2</v>
      </c>
      <c r="I348">
        <v>2</v>
      </c>
      <c r="J348" t="s">
        <v>27</v>
      </c>
      <c r="K348">
        <v>2</v>
      </c>
      <c r="L348">
        <v>6032</v>
      </c>
      <c r="M348" t="str" cm="1">
        <f t="array" ref="M348">_xlfn.IFS(L348&lt;= 7000,"Low",L348&lt;=15000,"Medium",L348&lt;=20000,"High")</f>
        <v>Low</v>
      </c>
      <c r="N348" t="s">
        <v>18</v>
      </c>
      <c r="O348">
        <v>15</v>
      </c>
      <c r="P348">
        <v>3</v>
      </c>
      <c r="Q348">
        <v>4</v>
      </c>
      <c r="R348">
        <v>8</v>
      </c>
      <c r="S348">
        <v>3</v>
      </c>
      <c r="T348">
        <v>5</v>
      </c>
      <c r="U348">
        <v>4</v>
      </c>
    </row>
    <row r="349" spans="1:21" x14ac:dyDescent="0.35">
      <c r="A349">
        <v>47</v>
      </c>
      <c r="B349" t="str" cm="1">
        <f t="array" ref="B349">_xlfn.IFS(A349&gt;40,"Senior",A349&gt;30,"Adult",A349&gt;=18,"Teenager")</f>
        <v>Senior</v>
      </c>
      <c r="C349" t="s">
        <v>22</v>
      </c>
      <c r="D349">
        <f t="shared" si="5"/>
        <v>0</v>
      </c>
      <c r="E349" t="s">
        <v>19</v>
      </c>
      <c r="F349">
        <v>2</v>
      </c>
      <c r="G349" t="s">
        <v>24</v>
      </c>
      <c r="H349">
        <v>3</v>
      </c>
      <c r="I349">
        <v>2</v>
      </c>
      <c r="J349" t="s">
        <v>30</v>
      </c>
      <c r="K349">
        <v>3</v>
      </c>
      <c r="L349">
        <v>2976</v>
      </c>
      <c r="M349" t="str" cm="1">
        <f t="array" ref="M349">_xlfn.IFS(L349&lt;= 7000,"Low",L349&lt;=15000,"Medium",L349&lt;=20000,"High")</f>
        <v>Low</v>
      </c>
      <c r="N349" t="s">
        <v>22</v>
      </c>
      <c r="O349">
        <v>19</v>
      </c>
      <c r="P349">
        <v>3</v>
      </c>
      <c r="Q349">
        <v>1</v>
      </c>
      <c r="R349">
        <v>5</v>
      </c>
      <c r="S349">
        <v>3</v>
      </c>
      <c r="T349">
        <v>0</v>
      </c>
      <c r="U349">
        <v>0</v>
      </c>
    </row>
    <row r="350" spans="1:21" x14ac:dyDescent="0.35">
      <c r="A350">
        <v>42</v>
      </c>
      <c r="B350" t="str" cm="1">
        <f t="array" ref="B350">_xlfn.IFS(A350&gt;40,"Senior",A350&gt;30,"Adult",A350&gt;=18,"Teenager")</f>
        <v>Senior</v>
      </c>
      <c r="C350" t="s">
        <v>22</v>
      </c>
      <c r="D350">
        <f t="shared" si="5"/>
        <v>0</v>
      </c>
      <c r="E350" t="s">
        <v>23</v>
      </c>
      <c r="F350">
        <v>1</v>
      </c>
      <c r="G350" t="s">
        <v>20</v>
      </c>
      <c r="H350">
        <v>3</v>
      </c>
      <c r="I350">
        <v>4</v>
      </c>
      <c r="J350" t="s">
        <v>31</v>
      </c>
      <c r="K350">
        <v>4</v>
      </c>
      <c r="L350">
        <v>15992</v>
      </c>
      <c r="M350" t="str" cm="1">
        <f t="array" ref="M350">_xlfn.IFS(L350&lt;= 7000,"Low",L350&lt;=15000,"Medium",L350&lt;=20000,"High")</f>
        <v>High</v>
      </c>
      <c r="N350" t="s">
        <v>22</v>
      </c>
      <c r="O350">
        <v>14</v>
      </c>
      <c r="P350">
        <v>3</v>
      </c>
      <c r="Q350">
        <v>2</v>
      </c>
      <c r="R350">
        <v>16</v>
      </c>
      <c r="S350">
        <v>3</v>
      </c>
      <c r="T350">
        <v>1</v>
      </c>
      <c r="U350">
        <v>0</v>
      </c>
    </row>
    <row r="351" spans="1:21" x14ac:dyDescent="0.35">
      <c r="A351">
        <v>29</v>
      </c>
      <c r="B351" t="str" cm="1">
        <f t="array" ref="B351">_xlfn.IFS(A351&gt;40,"Senior",A351&gt;30,"Adult",A351&gt;=18,"Teenager")</f>
        <v>Teenager</v>
      </c>
      <c r="C351" t="s">
        <v>22</v>
      </c>
      <c r="D351">
        <f t="shared" si="5"/>
        <v>0</v>
      </c>
      <c r="E351" t="s">
        <v>19</v>
      </c>
      <c r="F351">
        <v>4</v>
      </c>
      <c r="G351" t="s">
        <v>24</v>
      </c>
      <c r="H351">
        <v>3</v>
      </c>
      <c r="I351">
        <v>2</v>
      </c>
      <c r="J351" t="s">
        <v>21</v>
      </c>
      <c r="K351">
        <v>3</v>
      </c>
      <c r="L351">
        <v>4649</v>
      </c>
      <c r="M351" t="str" cm="1">
        <f t="array" ref="M351">_xlfn.IFS(L351&lt;= 7000,"Low",L351&lt;=15000,"Medium",L351&lt;=20000,"High")</f>
        <v>Low</v>
      </c>
      <c r="N351" t="s">
        <v>22</v>
      </c>
      <c r="O351">
        <v>14</v>
      </c>
      <c r="P351">
        <v>3</v>
      </c>
      <c r="Q351">
        <v>1</v>
      </c>
      <c r="R351">
        <v>4</v>
      </c>
      <c r="S351">
        <v>2</v>
      </c>
      <c r="T351">
        <v>4</v>
      </c>
      <c r="U351">
        <v>3</v>
      </c>
    </row>
    <row r="352" spans="1:21" x14ac:dyDescent="0.35">
      <c r="A352">
        <v>42</v>
      </c>
      <c r="B352" t="str" cm="1">
        <f t="array" ref="B352">_xlfn.IFS(A352&gt;40,"Senior",A352&gt;30,"Adult",A352&gt;=18,"Teenager")</f>
        <v>Senior</v>
      </c>
      <c r="C352" t="s">
        <v>22</v>
      </c>
      <c r="D352">
        <f t="shared" si="5"/>
        <v>0</v>
      </c>
      <c r="E352" t="s">
        <v>32</v>
      </c>
      <c r="F352">
        <v>3</v>
      </c>
      <c r="G352" t="s">
        <v>24</v>
      </c>
      <c r="H352">
        <v>3</v>
      </c>
      <c r="I352">
        <v>1</v>
      </c>
      <c r="J352" t="s">
        <v>32</v>
      </c>
      <c r="K352">
        <v>3</v>
      </c>
      <c r="L352">
        <v>2696</v>
      </c>
      <c r="M352" t="str" cm="1">
        <f t="array" ref="M352">_xlfn.IFS(L352&lt;= 7000,"Low",L352&lt;=15000,"Medium",L352&lt;=20000,"High")</f>
        <v>Low</v>
      </c>
      <c r="N352" t="s">
        <v>18</v>
      </c>
      <c r="O352">
        <v>11</v>
      </c>
      <c r="P352">
        <v>3</v>
      </c>
      <c r="Q352">
        <v>3</v>
      </c>
      <c r="R352">
        <v>4</v>
      </c>
      <c r="S352">
        <v>3</v>
      </c>
      <c r="T352">
        <v>3</v>
      </c>
      <c r="U352">
        <v>2</v>
      </c>
    </row>
    <row r="353" spans="1:21" x14ac:dyDescent="0.35">
      <c r="A353">
        <v>32</v>
      </c>
      <c r="B353" t="str" cm="1">
        <f t="array" ref="B353">_xlfn.IFS(A353&gt;40,"Senior",A353&gt;30,"Adult",A353&gt;=18,"Teenager")</f>
        <v>Adult</v>
      </c>
      <c r="C353" t="s">
        <v>22</v>
      </c>
      <c r="D353">
        <f t="shared" si="5"/>
        <v>0</v>
      </c>
      <c r="E353" t="s">
        <v>23</v>
      </c>
      <c r="F353">
        <v>3</v>
      </c>
      <c r="G353" t="s">
        <v>20</v>
      </c>
      <c r="H353">
        <v>3</v>
      </c>
      <c r="I353">
        <v>1</v>
      </c>
      <c r="J353" t="s">
        <v>26</v>
      </c>
      <c r="K353">
        <v>2</v>
      </c>
      <c r="L353">
        <v>2370</v>
      </c>
      <c r="M353" t="str" cm="1">
        <f t="array" ref="M353">_xlfn.IFS(L353&lt;= 7000,"Low",L353&lt;=15000,"Medium",L353&lt;=20000,"High")</f>
        <v>Low</v>
      </c>
      <c r="N353" t="s">
        <v>22</v>
      </c>
      <c r="O353">
        <v>13</v>
      </c>
      <c r="P353">
        <v>3</v>
      </c>
      <c r="Q353">
        <v>3</v>
      </c>
      <c r="R353">
        <v>8</v>
      </c>
      <c r="S353">
        <v>3</v>
      </c>
      <c r="T353">
        <v>8</v>
      </c>
      <c r="U353">
        <v>0</v>
      </c>
    </row>
    <row r="354" spans="1:21" x14ac:dyDescent="0.35">
      <c r="A354">
        <v>48</v>
      </c>
      <c r="B354" t="str" cm="1">
        <f t="array" ref="B354">_xlfn.IFS(A354&gt;40,"Senior",A354&gt;30,"Adult",A354&gt;=18,"Teenager")</f>
        <v>Senior</v>
      </c>
      <c r="C354" t="s">
        <v>22</v>
      </c>
      <c r="D354">
        <f t="shared" si="5"/>
        <v>0</v>
      </c>
      <c r="E354" t="s">
        <v>19</v>
      </c>
      <c r="F354">
        <v>1</v>
      </c>
      <c r="G354" t="s">
        <v>20</v>
      </c>
      <c r="H354">
        <v>3</v>
      </c>
      <c r="I354">
        <v>3</v>
      </c>
      <c r="J354" t="s">
        <v>29</v>
      </c>
      <c r="K354">
        <v>3</v>
      </c>
      <c r="L354">
        <v>12504</v>
      </c>
      <c r="M354" t="str" cm="1">
        <f t="array" ref="M354">_xlfn.IFS(L354&lt;= 7000,"Low",L354&lt;=15000,"Medium",L354&lt;=20000,"High")</f>
        <v>Medium</v>
      </c>
      <c r="N354" t="s">
        <v>22</v>
      </c>
      <c r="O354">
        <v>21</v>
      </c>
      <c r="P354">
        <v>4</v>
      </c>
      <c r="Q354">
        <v>2</v>
      </c>
      <c r="R354">
        <v>15</v>
      </c>
      <c r="S354">
        <v>1</v>
      </c>
      <c r="T354">
        <v>0</v>
      </c>
      <c r="U354">
        <v>0</v>
      </c>
    </row>
    <row r="355" spans="1:21" x14ac:dyDescent="0.35">
      <c r="A355">
        <v>37</v>
      </c>
      <c r="B355" t="str" cm="1">
        <f t="array" ref="B355">_xlfn.IFS(A355&gt;40,"Senior",A355&gt;30,"Adult",A355&gt;=18,"Teenager")</f>
        <v>Adult</v>
      </c>
      <c r="C355" t="s">
        <v>22</v>
      </c>
      <c r="D355">
        <f t="shared" si="5"/>
        <v>0</v>
      </c>
      <c r="E355" t="s">
        <v>23</v>
      </c>
      <c r="F355">
        <v>3</v>
      </c>
      <c r="G355" t="s">
        <v>24</v>
      </c>
      <c r="H355">
        <v>4</v>
      </c>
      <c r="I355">
        <v>2</v>
      </c>
      <c r="J355" t="s">
        <v>25</v>
      </c>
      <c r="K355">
        <v>1</v>
      </c>
      <c r="L355">
        <v>5974</v>
      </c>
      <c r="M355" t="str" cm="1">
        <f t="array" ref="M355">_xlfn.IFS(L355&lt;= 7000,"Low",L355&lt;=15000,"Medium",L355&lt;=20000,"High")</f>
        <v>Low</v>
      </c>
      <c r="N355" t="s">
        <v>18</v>
      </c>
      <c r="O355">
        <v>13</v>
      </c>
      <c r="P355">
        <v>3</v>
      </c>
      <c r="Q355">
        <v>1</v>
      </c>
      <c r="R355">
        <v>13</v>
      </c>
      <c r="S355">
        <v>3</v>
      </c>
      <c r="T355">
        <v>7</v>
      </c>
      <c r="U355">
        <v>7</v>
      </c>
    </row>
    <row r="356" spans="1:21" x14ac:dyDescent="0.35">
      <c r="A356">
        <v>30</v>
      </c>
      <c r="B356" t="str" cm="1">
        <f t="array" ref="B356">_xlfn.IFS(A356&gt;40,"Senior",A356&gt;30,"Adult",A356&gt;=18,"Teenager")</f>
        <v>Teenager</v>
      </c>
      <c r="C356" t="s">
        <v>22</v>
      </c>
      <c r="D356">
        <f t="shared" si="5"/>
        <v>0</v>
      </c>
      <c r="E356" t="s">
        <v>19</v>
      </c>
      <c r="F356">
        <v>4</v>
      </c>
      <c r="G356" t="s">
        <v>20</v>
      </c>
      <c r="H356">
        <v>3</v>
      </c>
      <c r="I356">
        <v>2</v>
      </c>
      <c r="J356" t="s">
        <v>21</v>
      </c>
      <c r="K356">
        <v>3</v>
      </c>
      <c r="L356">
        <v>4736</v>
      </c>
      <c r="M356" t="str" cm="1">
        <f t="array" ref="M356">_xlfn.IFS(L356&lt;= 7000,"Low",L356&lt;=15000,"Medium",L356&lt;=20000,"High")</f>
        <v>Low</v>
      </c>
      <c r="N356" t="s">
        <v>18</v>
      </c>
      <c r="O356">
        <v>12</v>
      </c>
      <c r="P356">
        <v>3</v>
      </c>
      <c r="Q356">
        <v>2</v>
      </c>
      <c r="R356">
        <v>4</v>
      </c>
      <c r="S356">
        <v>4</v>
      </c>
      <c r="T356">
        <v>2</v>
      </c>
      <c r="U356">
        <v>2</v>
      </c>
    </row>
    <row r="357" spans="1:21" x14ac:dyDescent="0.35">
      <c r="A357">
        <v>26</v>
      </c>
      <c r="B357" t="str" cm="1">
        <f t="array" ref="B357">_xlfn.IFS(A357&gt;40,"Senior",A357&gt;30,"Adult",A357&gt;=18,"Teenager")</f>
        <v>Teenager</v>
      </c>
      <c r="C357" t="s">
        <v>22</v>
      </c>
      <c r="D357">
        <f t="shared" si="5"/>
        <v>0</v>
      </c>
      <c r="E357" t="s">
        <v>19</v>
      </c>
      <c r="F357">
        <v>3</v>
      </c>
      <c r="G357" t="s">
        <v>24</v>
      </c>
      <c r="H357">
        <v>3</v>
      </c>
      <c r="I357">
        <v>2</v>
      </c>
      <c r="J357" t="s">
        <v>21</v>
      </c>
      <c r="K357">
        <v>3</v>
      </c>
      <c r="L357">
        <v>5296</v>
      </c>
      <c r="M357" t="str" cm="1">
        <f t="array" ref="M357">_xlfn.IFS(L357&lt;= 7000,"Low",L357&lt;=15000,"Medium",L357&lt;=20000,"High")</f>
        <v>Low</v>
      </c>
      <c r="N357" t="s">
        <v>22</v>
      </c>
      <c r="O357">
        <v>17</v>
      </c>
      <c r="P357">
        <v>3</v>
      </c>
      <c r="Q357">
        <v>2</v>
      </c>
      <c r="R357">
        <v>8</v>
      </c>
      <c r="S357">
        <v>3</v>
      </c>
      <c r="T357">
        <v>8</v>
      </c>
      <c r="U357">
        <v>7</v>
      </c>
    </row>
    <row r="358" spans="1:21" x14ac:dyDescent="0.35">
      <c r="A358">
        <v>42</v>
      </c>
      <c r="B358" t="str" cm="1">
        <f t="array" ref="B358">_xlfn.IFS(A358&gt;40,"Senior",A358&gt;30,"Adult",A358&gt;=18,"Teenager")</f>
        <v>Senior</v>
      </c>
      <c r="C358" t="s">
        <v>22</v>
      </c>
      <c r="D358">
        <f t="shared" si="5"/>
        <v>0</v>
      </c>
      <c r="E358" t="s">
        <v>23</v>
      </c>
      <c r="F358">
        <v>1</v>
      </c>
      <c r="G358" t="s">
        <v>24</v>
      </c>
      <c r="H358">
        <v>2</v>
      </c>
      <c r="I358">
        <v>2</v>
      </c>
      <c r="J358" t="s">
        <v>28</v>
      </c>
      <c r="K358">
        <v>4</v>
      </c>
      <c r="L358">
        <v>6781</v>
      </c>
      <c r="M358" t="str" cm="1">
        <f t="array" ref="M358">_xlfn.IFS(L358&lt;= 7000,"Low",L358&lt;=15000,"Medium",L358&lt;=20000,"High")</f>
        <v>Low</v>
      </c>
      <c r="N358" t="s">
        <v>22</v>
      </c>
      <c r="O358">
        <v>23</v>
      </c>
      <c r="P358">
        <v>4</v>
      </c>
      <c r="Q358">
        <v>2</v>
      </c>
      <c r="R358">
        <v>14</v>
      </c>
      <c r="S358">
        <v>3</v>
      </c>
      <c r="T358">
        <v>1</v>
      </c>
      <c r="U358">
        <v>0</v>
      </c>
    </row>
    <row r="359" spans="1:21" x14ac:dyDescent="0.35">
      <c r="A359">
        <v>21</v>
      </c>
      <c r="B359" t="str" cm="1">
        <f t="array" ref="B359">_xlfn.IFS(A359&gt;40,"Senior",A359&gt;30,"Adult",A359&gt;=18,"Teenager")</f>
        <v>Teenager</v>
      </c>
      <c r="C359" t="s">
        <v>18</v>
      </c>
      <c r="D359">
        <f t="shared" si="5"/>
        <v>1</v>
      </c>
      <c r="E359" t="s">
        <v>19</v>
      </c>
      <c r="F359">
        <v>1</v>
      </c>
      <c r="G359" t="s">
        <v>20</v>
      </c>
      <c r="H359">
        <v>2</v>
      </c>
      <c r="I359">
        <v>1</v>
      </c>
      <c r="J359" t="s">
        <v>30</v>
      </c>
      <c r="K359">
        <v>2</v>
      </c>
      <c r="L359">
        <v>2174</v>
      </c>
      <c r="M359" t="str" cm="1">
        <f t="array" ref="M359">_xlfn.IFS(L359&lt;= 7000,"Low",L359&lt;=15000,"Medium",L359&lt;=20000,"High")</f>
        <v>Low</v>
      </c>
      <c r="N359" t="s">
        <v>18</v>
      </c>
      <c r="O359">
        <v>11</v>
      </c>
      <c r="P359">
        <v>3</v>
      </c>
      <c r="Q359">
        <v>3</v>
      </c>
      <c r="R359">
        <v>3</v>
      </c>
      <c r="S359">
        <v>3</v>
      </c>
      <c r="T359">
        <v>3</v>
      </c>
      <c r="U359">
        <v>2</v>
      </c>
    </row>
    <row r="360" spans="1:21" x14ac:dyDescent="0.35">
      <c r="A360">
        <v>36</v>
      </c>
      <c r="B360" t="str" cm="1">
        <f t="array" ref="B360">_xlfn.IFS(A360&gt;40,"Senior",A360&gt;30,"Adult",A360&gt;=18,"Teenager")</f>
        <v>Adult</v>
      </c>
      <c r="C360" t="s">
        <v>22</v>
      </c>
      <c r="D360">
        <f t="shared" si="5"/>
        <v>0</v>
      </c>
      <c r="E360" t="s">
        <v>19</v>
      </c>
      <c r="F360">
        <v>4</v>
      </c>
      <c r="G360" t="s">
        <v>20</v>
      </c>
      <c r="H360">
        <v>3</v>
      </c>
      <c r="I360">
        <v>2</v>
      </c>
      <c r="J360" t="s">
        <v>21</v>
      </c>
      <c r="K360">
        <v>4</v>
      </c>
      <c r="L360">
        <v>6653</v>
      </c>
      <c r="M360" t="str" cm="1">
        <f t="array" ref="M360">_xlfn.IFS(L360&lt;= 7000,"Low",L360&lt;=15000,"Medium",L360&lt;=20000,"High")</f>
        <v>Low</v>
      </c>
      <c r="N360" t="s">
        <v>22</v>
      </c>
      <c r="O360">
        <v>15</v>
      </c>
      <c r="P360">
        <v>3</v>
      </c>
      <c r="Q360">
        <v>2</v>
      </c>
      <c r="R360">
        <v>7</v>
      </c>
      <c r="S360">
        <v>3</v>
      </c>
      <c r="T360">
        <v>1</v>
      </c>
      <c r="U360">
        <v>0</v>
      </c>
    </row>
    <row r="361" spans="1:21" x14ac:dyDescent="0.35">
      <c r="A361">
        <v>36</v>
      </c>
      <c r="B361" t="str" cm="1">
        <f t="array" ref="B361">_xlfn.IFS(A361&gt;40,"Senior",A361&gt;30,"Adult",A361&gt;=18,"Teenager")</f>
        <v>Adult</v>
      </c>
      <c r="C361" t="s">
        <v>22</v>
      </c>
      <c r="D361">
        <f t="shared" si="5"/>
        <v>0</v>
      </c>
      <c r="E361" t="s">
        <v>19</v>
      </c>
      <c r="F361">
        <v>1</v>
      </c>
      <c r="G361" t="s">
        <v>24</v>
      </c>
      <c r="H361">
        <v>2</v>
      </c>
      <c r="I361">
        <v>3</v>
      </c>
      <c r="J361" t="s">
        <v>21</v>
      </c>
      <c r="K361">
        <v>4</v>
      </c>
      <c r="L361">
        <v>9699</v>
      </c>
      <c r="M361" t="str" cm="1">
        <f t="array" ref="M361">_xlfn.IFS(L361&lt;= 7000,"Low",L361&lt;=15000,"Medium",L361&lt;=20000,"High")</f>
        <v>Medium</v>
      </c>
      <c r="N361" t="s">
        <v>22</v>
      </c>
      <c r="O361">
        <v>11</v>
      </c>
      <c r="P361">
        <v>3</v>
      </c>
      <c r="Q361">
        <v>1</v>
      </c>
      <c r="R361">
        <v>16</v>
      </c>
      <c r="S361">
        <v>3</v>
      </c>
      <c r="T361">
        <v>13</v>
      </c>
      <c r="U361">
        <v>9</v>
      </c>
    </row>
    <row r="362" spans="1:21" x14ac:dyDescent="0.35">
      <c r="A362">
        <v>57</v>
      </c>
      <c r="B362" t="str" cm="1">
        <f t="array" ref="B362">_xlfn.IFS(A362&gt;40,"Senior",A362&gt;30,"Adult",A362&gt;=18,"Teenager")</f>
        <v>Senior</v>
      </c>
      <c r="C362" t="s">
        <v>22</v>
      </c>
      <c r="D362">
        <f t="shared" si="5"/>
        <v>0</v>
      </c>
      <c r="E362" t="s">
        <v>23</v>
      </c>
      <c r="F362">
        <v>4</v>
      </c>
      <c r="G362" t="s">
        <v>24</v>
      </c>
      <c r="H362">
        <v>3</v>
      </c>
      <c r="I362">
        <v>2</v>
      </c>
      <c r="J362" t="s">
        <v>28</v>
      </c>
      <c r="K362">
        <v>3</v>
      </c>
      <c r="L362">
        <v>6755</v>
      </c>
      <c r="M362" t="str" cm="1">
        <f t="array" ref="M362">_xlfn.IFS(L362&lt;= 7000,"Low",L362&lt;=15000,"Medium",L362&lt;=20000,"High")</f>
        <v>Low</v>
      </c>
      <c r="N362" t="s">
        <v>22</v>
      </c>
      <c r="O362">
        <v>11</v>
      </c>
      <c r="P362">
        <v>3</v>
      </c>
      <c r="Q362">
        <v>3</v>
      </c>
      <c r="R362">
        <v>15</v>
      </c>
      <c r="S362">
        <v>3</v>
      </c>
      <c r="T362">
        <v>3</v>
      </c>
      <c r="U362">
        <v>2</v>
      </c>
    </row>
    <row r="363" spans="1:21" x14ac:dyDescent="0.35">
      <c r="A363">
        <v>40</v>
      </c>
      <c r="B363" t="str" cm="1">
        <f t="array" ref="B363">_xlfn.IFS(A363&gt;40,"Senior",A363&gt;30,"Adult",A363&gt;=18,"Teenager")</f>
        <v>Adult</v>
      </c>
      <c r="C363" t="s">
        <v>22</v>
      </c>
      <c r="D363">
        <f t="shared" si="5"/>
        <v>0</v>
      </c>
      <c r="E363" t="s">
        <v>23</v>
      </c>
      <c r="F363">
        <v>4</v>
      </c>
      <c r="G363" t="s">
        <v>20</v>
      </c>
      <c r="H363">
        <v>4</v>
      </c>
      <c r="I363">
        <v>1</v>
      </c>
      <c r="J363" t="s">
        <v>26</v>
      </c>
      <c r="K363">
        <v>3</v>
      </c>
      <c r="L363">
        <v>2213</v>
      </c>
      <c r="M363" t="str" cm="1">
        <f t="array" ref="M363">_xlfn.IFS(L363&lt;= 7000,"Low",L363&lt;=15000,"Medium",L363&lt;=20000,"High")</f>
        <v>Low</v>
      </c>
      <c r="N363" t="s">
        <v>18</v>
      </c>
      <c r="O363">
        <v>13</v>
      </c>
      <c r="P363">
        <v>3</v>
      </c>
      <c r="Q363">
        <v>3</v>
      </c>
      <c r="R363">
        <v>10</v>
      </c>
      <c r="S363">
        <v>3</v>
      </c>
      <c r="T363">
        <v>7</v>
      </c>
      <c r="U363">
        <v>7</v>
      </c>
    </row>
    <row r="364" spans="1:21" x14ac:dyDescent="0.35">
      <c r="A364">
        <v>21</v>
      </c>
      <c r="B364" t="str" cm="1">
        <f t="array" ref="B364">_xlfn.IFS(A364&gt;40,"Senior",A364&gt;30,"Adult",A364&gt;=18,"Teenager")</f>
        <v>Teenager</v>
      </c>
      <c r="C364" t="s">
        <v>22</v>
      </c>
      <c r="D364">
        <f t="shared" si="5"/>
        <v>0</v>
      </c>
      <c r="E364" t="s">
        <v>19</v>
      </c>
      <c r="F364">
        <v>1</v>
      </c>
      <c r="G364" t="s">
        <v>24</v>
      </c>
      <c r="H364">
        <v>3</v>
      </c>
      <c r="I364">
        <v>1</v>
      </c>
      <c r="J364" t="s">
        <v>30</v>
      </c>
      <c r="K364">
        <v>4</v>
      </c>
      <c r="L364">
        <v>2610</v>
      </c>
      <c r="M364" t="str" cm="1">
        <f t="array" ref="M364">_xlfn.IFS(L364&lt;= 7000,"Low",L364&lt;=15000,"Medium",L364&lt;=20000,"High")</f>
        <v>Low</v>
      </c>
      <c r="N364" t="s">
        <v>22</v>
      </c>
      <c r="O364">
        <v>24</v>
      </c>
      <c r="P364">
        <v>4</v>
      </c>
      <c r="Q364">
        <v>3</v>
      </c>
      <c r="R364">
        <v>3</v>
      </c>
      <c r="S364">
        <v>2</v>
      </c>
      <c r="T364">
        <v>3</v>
      </c>
      <c r="U364">
        <v>2</v>
      </c>
    </row>
    <row r="365" spans="1:21" x14ac:dyDescent="0.35">
      <c r="A365">
        <v>33</v>
      </c>
      <c r="B365" t="str" cm="1">
        <f t="array" ref="B365">_xlfn.IFS(A365&gt;40,"Senior",A365&gt;30,"Adult",A365&gt;=18,"Teenager")</f>
        <v>Adult</v>
      </c>
      <c r="C365" t="s">
        <v>18</v>
      </c>
      <c r="D365">
        <f t="shared" si="5"/>
        <v>1</v>
      </c>
      <c r="E365" t="s">
        <v>19</v>
      </c>
      <c r="F365">
        <v>4</v>
      </c>
      <c r="G365" t="s">
        <v>20</v>
      </c>
      <c r="H365">
        <v>3</v>
      </c>
      <c r="I365">
        <v>1</v>
      </c>
      <c r="J365" t="s">
        <v>30</v>
      </c>
      <c r="K365">
        <v>3</v>
      </c>
      <c r="L365">
        <v>2851</v>
      </c>
      <c r="M365" t="str" cm="1">
        <f t="array" ref="M365">_xlfn.IFS(L365&lt;= 7000,"Low",L365&lt;=15000,"Medium",L365&lt;=20000,"High")</f>
        <v>Low</v>
      </c>
      <c r="N365" t="s">
        <v>18</v>
      </c>
      <c r="O365">
        <v>13</v>
      </c>
      <c r="P365">
        <v>3</v>
      </c>
      <c r="Q365">
        <v>2</v>
      </c>
      <c r="R365">
        <v>1</v>
      </c>
      <c r="S365">
        <v>3</v>
      </c>
      <c r="T365">
        <v>1</v>
      </c>
      <c r="U365">
        <v>0</v>
      </c>
    </row>
    <row r="366" spans="1:21" x14ac:dyDescent="0.35">
      <c r="A366">
        <v>37</v>
      </c>
      <c r="B366" t="str" cm="1">
        <f t="array" ref="B366">_xlfn.IFS(A366&gt;40,"Senior",A366&gt;30,"Adult",A366&gt;=18,"Teenager")</f>
        <v>Adult</v>
      </c>
      <c r="C366" t="s">
        <v>22</v>
      </c>
      <c r="D366">
        <f t="shared" si="5"/>
        <v>0</v>
      </c>
      <c r="E366" t="s">
        <v>23</v>
      </c>
      <c r="F366">
        <v>3</v>
      </c>
      <c r="G366" t="s">
        <v>20</v>
      </c>
      <c r="H366">
        <v>3</v>
      </c>
      <c r="I366">
        <v>1</v>
      </c>
      <c r="J366" t="s">
        <v>26</v>
      </c>
      <c r="K366">
        <v>1</v>
      </c>
      <c r="L366">
        <v>3452</v>
      </c>
      <c r="M366" t="str" cm="1">
        <f t="array" ref="M366">_xlfn.IFS(L366&lt;= 7000,"Low",L366&lt;=15000,"Medium",L366&lt;=20000,"High")</f>
        <v>Low</v>
      </c>
      <c r="N366" t="s">
        <v>22</v>
      </c>
      <c r="O366">
        <v>20</v>
      </c>
      <c r="P366">
        <v>4</v>
      </c>
      <c r="Q366">
        <v>2</v>
      </c>
      <c r="R366">
        <v>17</v>
      </c>
      <c r="S366">
        <v>3</v>
      </c>
      <c r="T366">
        <v>5</v>
      </c>
      <c r="U366">
        <v>4</v>
      </c>
    </row>
    <row r="367" spans="1:21" x14ac:dyDescent="0.35">
      <c r="A367">
        <v>46</v>
      </c>
      <c r="B367" t="str" cm="1">
        <f t="array" ref="B367">_xlfn.IFS(A367&gt;40,"Senior",A367&gt;30,"Adult",A367&gt;=18,"Teenager")</f>
        <v>Senior</v>
      </c>
      <c r="C367" t="s">
        <v>22</v>
      </c>
      <c r="D367">
        <f t="shared" si="5"/>
        <v>0</v>
      </c>
      <c r="E367" t="s">
        <v>23</v>
      </c>
      <c r="F367">
        <v>3</v>
      </c>
      <c r="G367" t="s">
        <v>20</v>
      </c>
      <c r="H367">
        <v>3</v>
      </c>
      <c r="I367">
        <v>2</v>
      </c>
      <c r="J367" t="s">
        <v>27</v>
      </c>
      <c r="K367">
        <v>3</v>
      </c>
      <c r="L367">
        <v>5258</v>
      </c>
      <c r="M367" t="str" cm="1">
        <f t="array" ref="M367">_xlfn.IFS(L367&lt;= 7000,"Low",L367&lt;=15000,"Medium",L367&lt;=20000,"High")</f>
        <v>Low</v>
      </c>
      <c r="N367" t="s">
        <v>22</v>
      </c>
      <c r="O367">
        <v>14</v>
      </c>
      <c r="P367">
        <v>3</v>
      </c>
      <c r="Q367">
        <v>3</v>
      </c>
      <c r="R367">
        <v>7</v>
      </c>
      <c r="S367">
        <v>4</v>
      </c>
      <c r="T367">
        <v>1</v>
      </c>
      <c r="U367">
        <v>0</v>
      </c>
    </row>
    <row r="368" spans="1:21" x14ac:dyDescent="0.35">
      <c r="A368">
        <v>41</v>
      </c>
      <c r="B368" t="str" cm="1">
        <f t="array" ref="B368">_xlfn.IFS(A368&gt;40,"Senior",A368&gt;30,"Adult",A368&gt;=18,"Teenager")</f>
        <v>Senior</v>
      </c>
      <c r="C368" t="s">
        <v>18</v>
      </c>
      <c r="D368">
        <f t="shared" si="5"/>
        <v>1</v>
      </c>
      <c r="E368" t="s">
        <v>19</v>
      </c>
      <c r="F368">
        <v>1</v>
      </c>
      <c r="G368" t="s">
        <v>24</v>
      </c>
      <c r="H368">
        <v>3</v>
      </c>
      <c r="I368">
        <v>2</v>
      </c>
      <c r="J368" t="s">
        <v>21</v>
      </c>
      <c r="K368">
        <v>2</v>
      </c>
      <c r="L368">
        <v>9355</v>
      </c>
      <c r="M368" t="str" cm="1">
        <f t="array" ref="M368">_xlfn.IFS(L368&lt;= 7000,"Low",L368&lt;=15000,"Medium",L368&lt;=20000,"High")</f>
        <v>Medium</v>
      </c>
      <c r="N368" t="s">
        <v>22</v>
      </c>
      <c r="O368">
        <v>18</v>
      </c>
      <c r="P368">
        <v>3</v>
      </c>
      <c r="Q368">
        <v>3</v>
      </c>
      <c r="R368">
        <v>8</v>
      </c>
      <c r="S368">
        <v>3</v>
      </c>
      <c r="T368">
        <v>8</v>
      </c>
      <c r="U368">
        <v>7</v>
      </c>
    </row>
    <row r="369" spans="1:21" x14ac:dyDescent="0.35">
      <c r="A369">
        <v>50</v>
      </c>
      <c r="B369" t="str" cm="1">
        <f t="array" ref="B369">_xlfn.IFS(A369&gt;40,"Senior",A369&gt;30,"Adult",A369&gt;=18,"Teenager")</f>
        <v>Senior</v>
      </c>
      <c r="C369" t="s">
        <v>22</v>
      </c>
      <c r="D369">
        <f t="shared" si="5"/>
        <v>0</v>
      </c>
      <c r="E369" t="s">
        <v>23</v>
      </c>
      <c r="F369">
        <v>4</v>
      </c>
      <c r="G369" t="s">
        <v>24</v>
      </c>
      <c r="H369">
        <v>2</v>
      </c>
      <c r="I369">
        <v>3</v>
      </c>
      <c r="J369" t="s">
        <v>28</v>
      </c>
      <c r="K369">
        <v>4</v>
      </c>
      <c r="L369">
        <v>10496</v>
      </c>
      <c r="M369" t="str" cm="1">
        <f t="array" ref="M369">_xlfn.IFS(L369&lt;= 7000,"Low",L369&lt;=15000,"Medium",L369&lt;=20000,"High")</f>
        <v>Medium</v>
      </c>
      <c r="N369" t="s">
        <v>22</v>
      </c>
      <c r="O369">
        <v>15</v>
      </c>
      <c r="P369">
        <v>3</v>
      </c>
      <c r="Q369">
        <v>4</v>
      </c>
      <c r="R369">
        <v>20</v>
      </c>
      <c r="S369">
        <v>3</v>
      </c>
      <c r="T369">
        <v>4</v>
      </c>
      <c r="U369">
        <v>3</v>
      </c>
    </row>
    <row r="370" spans="1:21" x14ac:dyDescent="0.35">
      <c r="A370">
        <v>40</v>
      </c>
      <c r="B370" t="str" cm="1">
        <f t="array" ref="B370">_xlfn.IFS(A370&gt;40,"Senior",A370&gt;30,"Adult",A370&gt;=18,"Teenager")</f>
        <v>Adult</v>
      </c>
      <c r="C370" t="s">
        <v>18</v>
      </c>
      <c r="D370">
        <f t="shared" si="5"/>
        <v>1</v>
      </c>
      <c r="E370" t="s">
        <v>19</v>
      </c>
      <c r="F370">
        <v>3</v>
      </c>
      <c r="G370" t="s">
        <v>24</v>
      </c>
      <c r="H370">
        <v>2</v>
      </c>
      <c r="I370">
        <v>2</v>
      </c>
      <c r="J370" t="s">
        <v>21</v>
      </c>
      <c r="K370">
        <v>3</v>
      </c>
      <c r="L370">
        <v>6380</v>
      </c>
      <c r="M370" t="str" cm="1">
        <f t="array" ref="M370">_xlfn.IFS(L370&lt;= 7000,"Low",L370&lt;=15000,"Medium",L370&lt;=20000,"High")</f>
        <v>Low</v>
      </c>
      <c r="N370" t="s">
        <v>18</v>
      </c>
      <c r="O370">
        <v>12</v>
      </c>
      <c r="P370">
        <v>3</v>
      </c>
      <c r="Q370">
        <v>1</v>
      </c>
      <c r="R370">
        <v>8</v>
      </c>
      <c r="S370">
        <v>3</v>
      </c>
      <c r="T370">
        <v>6</v>
      </c>
      <c r="U370">
        <v>4</v>
      </c>
    </row>
    <row r="371" spans="1:21" x14ac:dyDescent="0.35">
      <c r="A371">
        <v>31</v>
      </c>
      <c r="B371" t="str" cm="1">
        <f t="array" ref="B371">_xlfn.IFS(A371&gt;40,"Senior",A371&gt;30,"Adult",A371&gt;=18,"Teenager")</f>
        <v>Adult</v>
      </c>
      <c r="C371" t="s">
        <v>22</v>
      </c>
      <c r="D371">
        <f t="shared" si="5"/>
        <v>0</v>
      </c>
      <c r="E371" t="s">
        <v>23</v>
      </c>
      <c r="F371">
        <v>3</v>
      </c>
      <c r="G371" t="s">
        <v>24</v>
      </c>
      <c r="H371">
        <v>2</v>
      </c>
      <c r="I371">
        <v>1</v>
      </c>
      <c r="J371" t="s">
        <v>25</v>
      </c>
      <c r="K371">
        <v>2</v>
      </c>
      <c r="L371">
        <v>2657</v>
      </c>
      <c r="M371" t="str" cm="1">
        <f t="array" ref="M371">_xlfn.IFS(L371&lt;= 7000,"Low",L371&lt;=15000,"Medium",L371&lt;=20000,"High")</f>
        <v>Low</v>
      </c>
      <c r="N371" t="s">
        <v>18</v>
      </c>
      <c r="O371">
        <v>16</v>
      </c>
      <c r="P371">
        <v>3</v>
      </c>
      <c r="Q371">
        <v>4</v>
      </c>
      <c r="R371">
        <v>3</v>
      </c>
      <c r="S371">
        <v>3</v>
      </c>
      <c r="T371">
        <v>2</v>
      </c>
      <c r="U371">
        <v>2</v>
      </c>
    </row>
    <row r="372" spans="1:21" x14ac:dyDescent="0.35">
      <c r="A372">
        <v>21</v>
      </c>
      <c r="B372" t="str" cm="1">
        <f t="array" ref="B372">_xlfn.IFS(A372&gt;40,"Senior",A372&gt;30,"Adult",A372&gt;=18,"Teenager")</f>
        <v>Teenager</v>
      </c>
      <c r="C372" t="s">
        <v>18</v>
      </c>
      <c r="D372">
        <f t="shared" si="5"/>
        <v>1</v>
      </c>
      <c r="E372" t="s">
        <v>19</v>
      </c>
      <c r="F372">
        <v>3</v>
      </c>
      <c r="G372" t="s">
        <v>20</v>
      </c>
      <c r="H372">
        <v>4</v>
      </c>
      <c r="I372">
        <v>1</v>
      </c>
      <c r="J372" t="s">
        <v>30</v>
      </c>
      <c r="K372">
        <v>2</v>
      </c>
      <c r="L372">
        <v>2716</v>
      </c>
      <c r="M372" t="str" cm="1">
        <f t="array" ref="M372">_xlfn.IFS(L372&lt;= 7000,"Low",L372&lt;=15000,"Medium",L372&lt;=20000,"High")</f>
        <v>Low</v>
      </c>
      <c r="N372" t="s">
        <v>22</v>
      </c>
      <c r="O372">
        <v>15</v>
      </c>
      <c r="P372">
        <v>3</v>
      </c>
      <c r="Q372">
        <v>4</v>
      </c>
      <c r="R372">
        <v>1</v>
      </c>
      <c r="S372">
        <v>3</v>
      </c>
      <c r="T372">
        <v>1</v>
      </c>
      <c r="U372">
        <v>0</v>
      </c>
    </row>
    <row r="373" spans="1:21" x14ac:dyDescent="0.35">
      <c r="A373">
        <v>29</v>
      </c>
      <c r="B373" t="str" cm="1">
        <f t="array" ref="B373">_xlfn.IFS(A373&gt;40,"Senior",A373&gt;30,"Adult",A373&gt;=18,"Teenager")</f>
        <v>Teenager</v>
      </c>
      <c r="C373" t="s">
        <v>22</v>
      </c>
      <c r="D373">
        <f t="shared" si="5"/>
        <v>0</v>
      </c>
      <c r="E373" t="s">
        <v>23</v>
      </c>
      <c r="F373">
        <v>4</v>
      </c>
      <c r="G373" t="s">
        <v>24</v>
      </c>
      <c r="H373">
        <v>3</v>
      </c>
      <c r="I373">
        <v>1</v>
      </c>
      <c r="J373" t="s">
        <v>25</v>
      </c>
      <c r="K373">
        <v>4</v>
      </c>
      <c r="L373">
        <v>2201</v>
      </c>
      <c r="M373" t="str" cm="1">
        <f t="array" ref="M373">_xlfn.IFS(L373&lt;= 7000,"Low",L373&lt;=15000,"Medium",L373&lt;=20000,"High")</f>
        <v>Low</v>
      </c>
      <c r="N373" t="s">
        <v>22</v>
      </c>
      <c r="O373">
        <v>16</v>
      </c>
      <c r="P373">
        <v>3</v>
      </c>
      <c r="Q373">
        <v>4</v>
      </c>
      <c r="R373">
        <v>6</v>
      </c>
      <c r="S373">
        <v>3</v>
      </c>
      <c r="T373">
        <v>3</v>
      </c>
      <c r="U373">
        <v>2</v>
      </c>
    </row>
    <row r="374" spans="1:21" x14ac:dyDescent="0.35">
      <c r="A374">
        <v>35</v>
      </c>
      <c r="B374" t="str" cm="1">
        <f t="array" ref="B374">_xlfn.IFS(A374&gt;40,"Senior",A374&gt;30,"Adult",A374&gt;=18,"Teenager")</f>
        <v>Adult</v>
      </c>
      <c r="C374" t="s">
        <v>22</v>
      </c>
      <c r="D374">
        <f t="shared" si="5"/>
        <v>0</v>
      </c>
      <c r="E374" t="s">
        <v>23</v>
      </c>
      <c r="F374">
        <v>3</v>
      </c>
      <c r="G374" t="s">
        <v>24</v>
      </c>
      <c r="H374">
        <v>2</v>
      </c>
      <c r="I374">
        <v>2</v>
      </c>
      <c r="J374" t="s">
        <v>28</v>
      </c>
      <c r="K374">
        <v>2</v>
      </c>
      <c r="L374">
        <v>6540</v>
      </c>
      <c r="M374" t="str" cm="1">
        <f t="array" ref="M374">_xlfn.IFS(L374&lt;= 7000,"Low",L374&lt;=15000,"Medium",L374&lt;=20000,"High")</f>
        <v>Low</v>
      </c>
      <c r="N374" t="s">
        <v>22</v>
      </c>
      <c r="O374">
        <v>19</v>
      </c>
      <c r="P374">
        <v>3</v>
      </c>
      <c r="Q374">
        <v>3</v>
      </c>
      <c r="R374">
        <v>10</v>
      </c>
      <c r="S374">
        <v>3</v>
      </c>
      <c r="T374">
        <v>1</v>
      </c>
      <c r="U374">
        <v>1</v>
      </c>
    </row>
    <row r="375" spans="1:21" x14ac:dyDescent="0.35">
      <c r="A375">
        <v>27</v>
      </c>
      <c r="B375" t="str" cm="1">
        <f t="array" ref="B375">_xlfn.IFS(A375&gt;40,"Senior",A375&gt;30,"Adult",A375&gt;=18,"Teenager")</f>
        <v>Teenager</v>
      </c>
      <c r="C375" t="s">
        <v>22</v>
      </c>
      <c r="D375">
        <f t="shared" si="5"/>
        <v>0</v>
      </c>
      <c r="E375" t="s">
        <v>23</v>
      </c>
      <c r="F375">
        <v>4</v>
      </c>
      <c r="G375" t="s">
        <v>24</v>
      </c>
      <c r="H375">
        <v>3</v>
      </c>
      <c r="I375">
        <v>1</v>
      </c>
      <c r="J375" t="s">
        <v>26</v>
      </c>
      <c r="K375">
        <v>2</v>
      </c>
      <c r="L375">
        <v>3816</v>
      </c>
      <c r="M375" t="str" cm="1">
        <f t="array" ref="M375">_xlfn.IFS(L375&lt;= 7000,"Low",L375&lt;=15000,"Medium",L375&lt;=20000,"High")</f>
        <v>Low</v>
      </c>
      <c r="N375" t="s">
        <v>22</v>
      </c>
      <c r="O375">
        <v>11</v>
      </c>
      <c r="P375">
        <v>3</v>
      </c>
      <c r="Q375">
        <v>2</v>
      </c>
      <c r="R375">
        <v>5</v>
      </c>
      <c r="S375">
        <v>3</v>
      </c>
      <c r="T375">
        <v>5</v>
      </c>
      <c r="U375">
        <v>2</v>
      </c>
    </row>
    <row r="376" spans="1:21" x14ac:dyDescent="0.35">
      <c r="A376">
        <v>28</v>
      </c>
      <c r="B376" t="str" cm="1">
        <f t="array" ref="B376">_xlfn.IFS(A376&gt;40,"Senior",A376&gt;30,"Adult",A376&gt;=18,"Teenager")</f>
        <v>Teenager</v>
      </c>
      <c r="C376" t="s">
        <v>22</v>
      </c>
      <c r="D376">
        <f t="shared" si="5"/>
        <v>0</v>
      </c>
      <c r="E376" t="s">
        <v>19</v>
      </c>
      <c r="F376">
        <v>2</v>
      </c>
      <c r="G376" t="s">
        <v>24</v>
      </c>
      <c r="H376">
        <v>3</v>
      </c>
      <c r="I376">
        <v>2</v>
      </c>
      <c r="J376" t="s">
        <v>21</v>
      </c>
      <c r="K376">
        <v>4</v>
      </c>
      <c r="L376">
        <v>5253</v>
      </c>
      <c r="M376" t="str" cm="1">
        <f t="array" ref="M376">_xlfn.IFS(L376&lt;= 7000,"Low",L376&lt;=15000,"Medium",L376&lt;=20000,"High")</f>
        <v>Low</v>
      </c>
      <c r="N376" t="s">
        <v>22</v>
      </c>
      <c r="O376">
        <v>16</v>
      </c>
      <c r="P376">
        <v>3</v>
      </c>
      <c r="Q376">
        <v>4</v>
      </c>
      <c r="R376">
        <v>7</v>
      </c>
      <c r="S376">
        <v>3</v>
      </c>
      <c r="T376">
        <v>7</v>
      </c>
      <c r="U376">
        <v>5</v>
      </c>
    </row>
    <row r="377" spans="1:21" x14ac:dyDescent="0.35">
      <c r="A377">
        <v>49</v>
      </c>
      <c r="B377" t="str" cm="1">
        <f t="array" ref="B377">_xlfn.IFS(A377&gt;40,"Senior",A377&gt;30,"Adult",A377&gt;=18,"Teenager")</f>
        <v>Senior</v>
      </c>
      <c r="C377" t="s">
        <v>22</v>
      </c>
      <c r="D377">
        <f t="shared" si="5"/>
        <v>0</v>
      </c>
      <c r="E377" t="s">
        <v>23</v>
      </c>
      <c r="F377">
        <v>2</v>
      </c>
      <c r="G377" t="s">
        <v>24</v>
      </c>
      <c r="H377">
        <v>2</v>
      </c>
      <c r="I377">
        <v>3</v>
      </c>
      <c r="J377" t="s">
        <v>28</v>
      </c>
      <c r="K377">
        <v>3</v>
      </c>
      <c r="L377">
        <v>10965</v>
      </c>
      <c r="M377" t="str" cm="1">
        <f t="array" ref="M377">_xlfn.IFS(L377&lt;= 7000,"Low",L377&lt;=15000,"Medium",L377&lt;=20000,"High")</f>
        <v>Medium</v>
      </c>
      <c r="N377" t="s">
        <v>22</v>
      </c>
      <c r="O377">
        <v>24</v>
      </c>
      <c r="P377">
        <v>4</v>
      </c>
      <c r="Q377">
        <v>3</v>
      </c>
      <c r="R377">
        <v>26</v>
      </c>
      <c r="S377">
        <v>3</v>
      </c>
      <c r="T377">
        <v>5</v>
      </c>
      <c r="U377">
        <v>2</v>
      </c>
    </row>
    <row r="378" spans="1:21" x14ac:dyDescent="0.35">
      <c r="A378">
        <v>51</v>
      </c>
      <c r="B378" t="str" cm="1">
        <f t="array" ref="B378">_xlfn.IFS(A378&gt;40,"Senior",A378&gt;30,"Adult",A378&gt;=18,"Teenager")</f>
        <v>Senior</v>
      </c>
      <c r="C378" t="s">
        <v>22</v>
      </c>
      <c r="D378">
        <f t="shared" si="5"/>
        <v>0</v>
      </c>
      <c r="E378" t="s">
        <v>19</v>
      </c>
      <c r="F378">
        <v>3</v>
      </c>
      <c r="G378" t="s">
        <v>20</v>
      </c>
      <c r="H378">
        <v>3</v>
      </c>
      <c r="I378">
        <v>2</v>
      </c>
      <c r="J378" t="s">
        <v>21</v>
      </c>
      <c r="K378">
        <v>4</v>
      </c>
      <c r="L378">
        <v>4936</v>
      </c>
      <c r="M378" t="str" cm="1">
        <f t="array" ref="M378">_xlfn.IFS(L378&lt;= 7000,"Low",L378&lt;=15000,"Medium",L378&lt;=20000,"High")</f>
        <v>Low</v>
      </c>
      <c r="N378" t="s">
        <v>22</v>
      </c>
      <c r="O378">
        <v>11</v>
      </c>
      <c r="P378">
        <v>3</v>
      </c>
      <c r="Q378">
        <v>3</v>
      </c>
      <c r="R378">
        <v>18</v>
      </c>
      <c r="S378">
        <v>2</v>
      </c>
      <c r="T378">
        <v>7</v>
      </c>
      <c r="U378">
        <v>7</v>
      </c>
    </row>
    <row r="379" spans="1:21" x14ac:dyDescent="0.35">
      <c r="A379">
        <v>36</v>
      </c>
      <c r="B379" t="str" cm="1">
        <f t="array" ref="B379">_xlfn.IFS(A379&gt;40,"Senior",A379&gt;30,"Adult",A379&gt;=18,"Teenager")</f>
        <v>Adult</v>
      </c>
      <c r="C379" t="s">
        <v>22</v>
      </c>
      <c r="D379">
        <f t="shared" si="5"/>
        <v>0</v>
      </c>
      <c r="E379" t="s">
        <v>23</v>
      </c>
      <c r="F379">
        <v>4</v>
      </c>
      <c r="G379" t="s">
        <v>20</v>
      </c>
      <c r="H379">
        <v>3</v>
      </c>
      <c r="I379">
        <v>1</v>
      </c>
      <c r="J379" t="s">
        <v>25</v>
      </c>
      <c r="K379">
        <v>3</v>
      </c>
      <c r="L379">
        <v>2543</v>
      </c>
      <c r="M379" t="str" cm="1">
        <f t="array" ref="M379">_xlfn.IFS(L379&lt;= 7000,"Low",L379&lt;=15000,"Medium",L379&lt;=20000,"High")</f>
        <v>Low</v>
      </c>
      <c r="N379" t="s">
        <v>22</v>
      </c>
      <c r="O379">
        <v>13</v>
      </c>
      <c r="P379">
        <v>3</v>
      </c>
      <c r="Q379">
        <v>2</v>
      </c>
      <c r="R379">
        <v>6</v>
      </c>
      <c r="S379">
        <v>3</v>
      </c>
      <c r="T379">
        <v>2</v>
      </c>
      <c r="U379">
        <v>2</v>
      </c>
    </row>
    <row r="380" spans="1:21" x14ac:dyDescent="0.35">
      <c r="A380">
        <v>34</v>
      </c>
      <c r="B380" t="str" cm="1">
        <f t="array" ref="B380">_xlfn.IFS(A380&gt;40,"Senior",A380&gt;30,"Adult",A380&gt;=18,"Teenager")</f>
        <v>Adult</v>
      </c>
      <c r="C380" t="s">
        <v>18</v>
      </c>
      <c r="D380">
        <f t="shared" si="5"/>
        <v>1</v>
      </c>
      <c r="E380" t="s">
        <v>19</v>
      </c>
      <c r="F380">
        <v>1</v>
      </c>
      <c r="G380" t="s">
        <v>24</v>
      </c>
      <c r="H380">
        <v>4</v>
      </c>
      <c r="I380">
        <v>2</v>
      </c>
      <c r="J380" t="s">
        <v>21</v>
      </c>
      <c r="K380">
        <v>4</v>
      </c>
      <c r="L380">
        <v>5304</v>
      </c>
      <c r="M380" t="str" cm="1">
        <f t="array" ref="M380">_xlfn.IFS(L380&lt;= 7000,"Low",L380&lt;=15000,"Medium",L380&lt;=20000,"High")</f>
        <v>Low</v>
      </c>
      <c r="N380" t="s">
        <v>18</v>
      </c>
      <c r="O380">
        <v>13</v>
      </c>
      <c r="P380">
        <v>3</v>
      </c>
      <c r="Q380">
        <v>2</v>
      </c>
      <c r="R380">
        <v>9</v>
      </c>
      <c r="S380">
        <v>2</v>
      </c>
      <c r="T380">
        <v>5</v>
      </c>
      <c r="U380">
        <v>2</v>
      </c>
    </row>
    <row r="381" spans="1:21" x14ac:dyDescent="0.35">
      <c r="A381">
        <v>55</v>
      </c>
      <c r="B381" t="str" cm="1">
        <f t="array" ref="B381">_xlfn.IFS(A381&gt;40,"Senior",A381&gt;30,"Adult",A381&gt;=18,"Teenager")</f>
        <v>Senior</v>
      </c>
      <c r="C381" t="s">
        <v>22</v>
      </c>
      <c r="D381">
        <f t="shared" si="5"/>
        <v>0</v>
      </c>
      <c r="E381" t="s">
        <v>23</v>
      </c>
      <c r="F381">
        <v>3</v>
      </c>
      <c r="G381" t="s">
        <v>20</v>
      </c>
      <c r="H381">
        <v>3</v>
      </c>
      <c r="I381">
        <v>4</v>
      </c>
      <c r="J381" t="s">
        <v>29</v>
      </c>
      <c r="K381">
        <v>4</v>
      </c>
      <c r="L381">
        <v>16659</v>
      </c>
      <c r="M381" t="str" cm="1">
        <f t="array" ref="M381">_xlfn.IFS(L381&lt;= 7000,"Low",L381&lt;=15000,"Medium",L381&lt;=20000,"High")</f>
        <v>High</v>
      </c>
      <c r="N381" t="s">
        <v>18</v>
      </c>
      <c r="O381">
        <v>13</v>
      </c>
      <c r="P381">
        <v>3</v>
      </c>
      <c r="Q381">
        <v>3</v>
      </c>
      <c r="R381">
        <v>30</v>
      </c>
      <c r="S381">
        <v>3</v>
      </c>
      <c r="T381">
        <v>5</v>
      </c>
      <c r="U381">
        <v>4</v>
      </c>
    </row>
    <row r="382" spans="1:21" x14ac:dyDescent="0.35">
      <c r="A382">
        <v>24</v>
      </c>
      <c r="B382" t="str" cm="1">
        <f t="array" ref="B382">_xlfn.IFS(A382&gt;40,"Senior",A382&gt;30,"Adult",A382&gt;=18,"Teenager")</f>
        <v>Teenager</v>
      </c>
      <c r="C382" t="s">
        <v>22</v>
      </c>
      <c r="D382">
        <f t="shared" si="5"/>
        <v>0</v>
      </c>
      <c r="E382" t="s">
        <v>19</v>
      </c>
      <c r="F382">
        <v>4</v>
      </c>
      <c r="G382" t="s">
        <v>20</v>
      </c>
      <c r="H382">
        <v>3</v>
      </c>
      <c r="I382">
        <v>2</v>
      </c>
      <c r="J382" t="s">
        <v>21</v>
      </c>
      <c r="K382">
        <v>3</v>
      </c>
      <c r="L382">
        <v>4260</v>
      </c>
      <c r="M382" t="str" cm="1">
        <f t="array" ref="M382">_xlfn.IFS(L382&lt;= 7000,"Low",L382&lt;=15000,"Medium",L382&lt;=20000,"High")</f>
        <v>Low</v>
      </c>
      <c r="N382" t="s">
        <v>18</v>
      </c>
      <c r="O382">
        <v>12</v>
      </c>
      <c r="P382">
        <v>3</v>
      </c>
      <c r="Q382">
        <v>4</v>
      </c>
      <c r="R382">
        <v>5</v>
      </c>
      <c r="S382">
        <v>4</v>
      </c>
      <c r="T382">
        <v>5</v>
      </c>
      <c r="U382">
        <v>2</v>
      </c>
    </row>
    <row r="383" spans="1:21" x14ac:dyDescent="0.35">
      <c r="A383">
        <v>30</v>
      </c>
      <c r="B383" t="str" cm="1">
        <f t="array" ref="B383">_xlfn.IFS(A383&gt;40,"Senior",A383&gt;30,"Adult",A383&gt;=18,"Teenager")</f>
        <v>Teenager</v>
      </c>
      <c r="C383" t="s">
        <v>22</v>
      </c>
      <c r="D383">
        <f t="shared" si="5"/>
        <v>0</v>
      </c>
      <c r="E383" t="s">
        <v>19</v>
      </c>
      <c r="F383">
        <v>3</v>
      </c>
      <c r="G383" t="s">
        <v>24</v>
      </c>
      <c r="H383">
        <v>3</v>
      </c>
      <c r="I383">
        <v>1</v>
      </c>
      <c r="J383" t="s">
        <v>30</v>
      </c>
      <c r="K383">
        <v>2</v>
      </c>
      <c r="L383">
        <v>2476</v>
      </c>
      <c r="M383" t="str" cm="1">
        <f t="array" ref="M383">_xlfn.IFS(L383&lt;= 7000,"Low",L383&lt;=15000,"Medium",L383&lt;=20000,"High")</f>
        <v>Low</v>
      </c>
      <c r="N383" t="s">
        <v>22</v>
      </c>
      <c r="O383">
        <v>18</v>
      </c>
      <c r="P383">
        <v>3</v>
      </c>
      <c r="Q383">
        <v>1</v>
      </c>
      <c r="R383">
        <v>1</v>
      </c>
      <c r="S383">
        <v>3</v>
      </c>
      <c r="T383">
        <v>1</v>
      </c>
      <c r="U383">
        <v>0</v>
      </c>
    </row>
    <row r="384" spans="1:21" x14ac:dyDescent="0.35">
      <c r="A384">
        <v>26</v>
      </c>
      <c r="B384" t="str" cm="1">
        <f t="array" ref="B384">_xlfn.IFS(A384&gt;40,"Senior",A384&gt;30,"Adult",A384&gt;=18,"Teenager")</f>
        <v>Teenager</v>
      </c>
      <c r="C384" t="s">
        <v>18</v>
      </c>
      <c r="D384">
        <f t="shared" si="5"/>
        <v>1</v>
      </c>
      <c r="E384" t="s">
        <v>23</v>
      </c>
      <c r="F384">
        <v>3</v>
      </c>
      <c r="G384" t="s">
        <v>24</v>
      </c>
      <c r="H384">
        <v>3</v>
      </c>
      <c r="I384">
        <v>1</v>
      </c>
      <c r="J384" t="s">
        <v>25</v>
      </c>
      <c r="K384">
        <v>1</v>
      </c>
      <c r="L384">
        <v>3102</v>
      </c>
      <c r="M384" t="str" cm="1">
        <f t="array" ref="M384">_xlfn.IFS(L384&lt;= 7000,"Low",L384&lt;=15000,"Medium",L384&lt;=20000,"High")</f>
        <v>Low</v>
      </c>
      <c r="N384" t="s">
        <v>22</v>
      </c>
      <c r="O384">
        <v>22</v>
      </c>
      <c r="P384">
        <v>4</v>
      </c>
      <c r="Q384">
        <v>3</v>
      </c>
      <c r="R384">
        <v>7</v>
      </c>
      <c r="S384">
        <v>3</v>
      </c>
      <c r="T384">
        <v>6</v>
      </c>
      <c r="U384">
        <v>4</v>
      </c>
    </row>
    <row r="385" spans="1:21" x14ac:dyDescent="0.35">
      <c r="A385">
        <v>22</v>
      </c>
      <c r="B385" t="str" cm="1">
        <f t="array" ref="B385">_xlfn.IFS(A385&gt;40,"Senior",A385&gt;30,"Adult",A385&gt;=18,"Teenager")</f>
        <v>Teenager</v>
      </c>
      <c r="C385" t="s">
        <v>22</v>
      </c>
      <c r="D385">
        <f t="shared" si="5"/>
        <v>0</v>
      </c>
      <c r="E385" t="s">
        <v>23</v>
      </c>
      <c r="F385">
        <v>1</v>
      </c>
      <c r="G385" t="s">
        <v>20</v>
      </c>
      <c r="H385">
        <v>3</v>
      </c>
      <c r="I385">
        <v>1</v>
      </c>
      <c r="J385" t="s">
        <v>25</v>
      </c>
      <c r="K385">
        <v>2</v>
      </c>
      <c r="L385">
        <v>2244</v>
      </c>
      <c r="M385" t="str" cm="1">
        <f t="array" ref="M385">_xlfn.IFS(L385&lt;= 7000,"Low",L385&lt;=15000,"Medium",L385&lt;=20000,"High")</f>
        <v>Low</v>
      </c>
      <c r="N385" t="s">
        <v>22</v>
      </c>
      <c r="O385">
        <v>13</v>
      </c>
      <c r="P385">
        <v>3</v>
      </c>
      <c r="Q385">
        <v>4</v>
      </c>
      <c r="R385">
        <v>2</v>
      </c>
      <c r="S385">
        <v>3</v>
      </c>
      <c r="T385">
        <v>2</v>
      </c>
      <c r="U385">
        <v>1</v>
      </c>
    </row>
    <row r="386" spans="1:21" x14ac:dyDescent="0.35">
      <c r="A386">
        <v>36</v>
      </c>
      <c r="B386" t="str" cm="1">
        <f t="array" ref="B386">_xlfn.IFS(A386&gt;40,"Senior",A386&gt;30,"Adult",A386&gt;=18,"Teenager")</f>
        <v>Adult</v>
      </c>
      <c r="C386" t="s">
        <v>22</v>
      </c>
      <c r="D386">
        <f t="shared" si="5"/>
        <v>0</v>
      </c>
      <c r="E386" t="s">
        <v>19</v>
      </c>
      <c r="F386">
        <v>2</v>
      </c>
      <c r="G386" t="s">
        <v>24</v>
      </c>
      <c r="H386">
        <v>2</v>
      </c>
      <c r="I386">
        <v>3</v>
      </c>
      <c r="J386" t="s">
        <v>21</v>
      </c>
      <c r="K386">
        <v>3</v>
      </c>
      <c r="L386">
        <v>7596</v>
      </c>
      <c r="M386" t="str" cm="1">
        <f t="array" ref="M386">_xlfn.IFS(L386&lt;= 7000,"Low",L386&lt;=15000,"Medium",L386&lt;=20000,"High")</f>
        <v>Medium</v>
      </c>
      <c r="N386" t="s">
        <v>22</v>
      </c>
      <c r="O386">
        <v>13</v>
      </c>
      <c r="P386">
        <v>3</v>
      </c>
      <c r="Q386">
        <v>2</v>
      </c>
      <c r="R386">
        <v>10</v>
      </c>
      <c r="S386">
        <v>3</v>
      </c>
      <c r="T386">
        <v>10</v>
      </c>
      <c r="U386">
        <v>9</v>
      </c>
    </row>
    <row r="387" spans="1:21" x14ac:dyDescent="0.35">
      <c r="A387">
        <v>30</v>
      </c>
      <c r="B387" t="str" cm="1">
        <f t="array" ref="B387">_xlfn.IFS(A387&gt;40,"Senior",A387&gt;30,"Adult",A387&gt;=18,"Teenager")</f>
        <v>Teenager</v>
      </c>
      <c r="C387" t="s">
        <v>18</v>
      </c>
      <c r="D387">
        <f t="shared" ref="D387:D450" si="6">IF(C387="Yes",1,0)</f>
        <v>1</v>
      </c>
      <c r="E387" t="s">
        <v>23</v>
      </c>
      <c r="F387">
        <v>3</v>
      </c>
      <c r="G387" t="s">
        <v>24</v>
      </c>
      <c r="H387">
        <v>3</v>
      </c>
      <c r="I387">
        <v>1</v>
      </c>
      <c r="J387" t="s">
        <v>25</v>
      </c>
      <c r="K387">
        <v>4</v>
      </c>
      <c r="L387">
        <v>2285</v>
      </c>
      <c r="M387" t="str" cm="1">
        <f t="array" ref="M387">_xlfn.IFS(L387&lt;= 7000,"Low",L387&lt;=15000,"Medium",L387&lt;=20000,"High")</f>
        <v>Low</v>
      </c>
      <c r="N387" t="s">
        <v>18</v>
      </c>
      <c r="O387">
        <v>23</v>
      </c>
      <c r="P387">
        <v>4</v>
      </c>
      <c r="Q387">
        <v>3</v>
      </c>
      <c r="R387">
        <v>3</v>
      </c>
      <c r="S387">
        <v>3</v>
      </c>
      <c r="T387">
        <v>1</v>
      </c>
      <c r="U387">
        <v>0</v>
      </c>
    </row>
    <row r="388" spans="1:21" x14ac:dyDescent="0.35">
      <c r="A388">
        <v>37</v>
      </c>
      <c r="B388" t="str" cm="1">
        <f t="array" ref="B388">_xlfn.IFS(A388&gt;40,"Senior",A388&gt;30,"Adult",A388&gt;=18,"Teenager")</f>
        <v>Adult</v>
      </c>
      <c r="C388" t="s">
        <v>22</v>
      </c>
      <c r="D388">
        <f t="shared" si="6"/>
        <v>0</v>
      </c>
      <c r="E388" t="s">
        <v>23</v>
      </c>
      <c r="F388">
        <v>4</v>
      </c>
      <c r="G388" t="s">
        <v>20</v>
      </c>
      <c r="H388">
        <v>3</v>
      </c>
      <c r="I388">
        <v>1</v>
      </c>
      <c r="J388" t="s">
        <v>26</v>
      </c>
      <c r="K388">
        <v>1</v>
      </c>
      <c r="L388">
        <v>3034</v>
      </c>
      <c r="M388" t="str" cm="1">
        <f t="array" ref="M388">_xlfn.IFS(L388&lt;= 7000,"Low",L388&lt;=15000,"Medium",L388&lt;=20000,"High")</f>
        <v>Low</v>
      </c>
      <c r="N388" t="s">
        <v>22</v>
      </c>
      <c r="O388">
        <v>12</v>
      </c>
      <c r="P388">
        <v>3</v>
      </c>
      <c r="Q388">
        <v>3</v>
      </c>
      <c r="R388">
        <v>18</v>
      </c>
      <c r="S388">
        <v>2</v>
      </c>
      <c r="T388">
        <v>18</v>
      </c>
      <c r="U388">
        <v>7</v>
      </c>
    </row>
    <row r="389" spans="1:21" x14ac:dyDescent="0.35">
      <c r="A389">
        <v>40</v>
      </c>
      <c r="B389" t="str" cm="1">
        <f t="array" ref="B389">_xlfn.IFS(A389&gt;40,"Senior",A389&gt;30,"Adult",A389&gt;=18,"Teenager")</f>
        <v>Adult</v>
      </c>
      <c r="C389" t="s">
        <v>22</v>
      </c>
      <c r="D389">
        <f t="shared" si="6"/>
        <v>0</v>
      </c>
      <c r="E389" t="s">
        <v>19</v>
      </c>
      <c r="F389">
        <v>4</v>
      </c>
      <c r="G389" t="s">
        <v>20</v>
      </c>
      <c r="H389">
        <v>3</v>
      </c>
      <c r="I389">
        <v>2</v>
      </c>
      <c r="J389" t="s">
        <v>21</v>
      </c>
      <c r="K389">
        <v>2</v>
      </c>
      <c r="L389">
        <v>5715</v>
      </c>
      <c r="M389" t="str" cm="1">
        <f t="array" ref="M389">_xlfn.IFS(L389&lt;= 7000,"Low",L389&lt;=15000,"Medium",L389&lt;=20000,"High")</f>
        <v>Low</v>
      </c>
      <c r="N389" t="s">
        <v>22</v>
      </c>
      <c r="O389">
        <v>12</v>
      </c>
      <c r="P389">
        <v>3</v>
      </c>
      <c r="Q389">
        <v>3</v>
      </c>
      <c r="R389">
        <v>8</v>
      </c>
      <c r="S389">
        <v>3</v>
      </c>
      <c r="T389">
        <v>5</v>
      </c>
      <c r="U389">
        <v>4</v>
      </c>
    </row>
    <row r="390" spans="1:21" x14ac:dyDescent="0.35">
      <c r="A390">
        <v>42</v>
      </c>
      <c r="B390" t="str" cm="1">
        <f t="array" ref="B390">_xlfn.IFS(A390&gt;40,"Senior",A390&gt;30,"Adult",A390&gt;=18,"Teenager")</f>
        <v>Senior</v>
      </c>
      <c r="C390" t="s">
        <v>22</v>
      </c>
      <c r="D390">
        <f t="shared" si="6"/>
        <v>0</v>
      </c>
      <c r="E390" t="s">
        <v>23</v>
      </c>
      <c r="F390">
        <v>2</v>
      </c>
      <c r="G390" t="s">
        <v>20</v>
      </c>
      <c r="H390">
        <v>3</v>
      </c>
      <c r="I390">
        <v>1</v>
      </c>
      <c r="J390" t="s">
        <v>26</v>
      </c>
      <c r="K390">
        <v>1</v>
      </c>
      <c r="L390">
        <v>2576</v>
      </c>
      <c r="M390" t="str" cm="1">
        <f t="array" ref="M390">_xlfn.IFS(L390&lt;= 7000,"Low",L390&lt;=15000,"Medium",L390&lt;=20000,"High")</f>
        <v>Low</v>
      </c>
      <c r="N390" t="s">
        <v>22</v>
      </c>
      <c r="O390">
        <v>16</v>
      </c>
      <c r="P390">
        <v>3</v>
      </c>
      <c r="Q390">
        <v>2</v>
      </c>
      <c r="R390">
        <v>8</v>
      </c>
      <c r="S390">
        <v>3</v>
      </c>
      <c r="T390">
        <v>5</v>
      </c>
      <c r="U390">
        <v>2</v>
      </c>
    </row>
    <row r="391" spans="1:21" x14ac:dyDescent="0.35">
      <c r="A391">
        <v>37</v>
      </c>
      <c r="B391" t="str" cm="1">
        <f t="array" ref="B391">_xlfn.IFS(A391&gt;40,"Senior",A391&gt;30,"Adult",A391&gt;=18,"Teenager")</f>
        <v>Adult</v>
      </c>
      <c r="C391" t="s">
        <v>22</v>
      </c>
      <c r="D391">
        <f t="shared" si="6"/>
        <v>0</v>
      </c>
      <c r="E391" t="s">
        <v>23</v>
      </c>
      <c r="F391">
        <v>3</v>
      </c>
      <c r="G391" t="s">
        <v>24</v>
      </c>
      <c r="H391">
        <v>3</v>
      </c>
      <c r="I391">
        <v>2</v>
      </c>
      <c r="J391" t="s">
        <v>27</v>
      </c>
      <c r="K391">
        <v>2</v>
      </c>
      <c r="L391">
        <v>4197</v>
      </c>
      <c r="M391" t="str" cm="1">
        <f t="array" ref="M391">_xlfn.IFS(L391&lt;= 7000,"Low",L391&lt;=15000,"Medium",L391&lt;=20000,"High")</f>
        <v>Low</v>
      </c>
      <c r="N391" t="s">
        <v>18</v>
      </c>
      <c r="O391">
        <v>12</v>
      </c>
      <c r="P391">
        <v>3</v>
      </c>
      <c r="Q391">
        <v>4</v>
      </c>
      <c r="R391">
        <v>18</v>
      </c>
      <c r="S391">
        <v>2</v>
      </c>
      <c r="T391">
        <v>1</v>
      </c>
      <c r="U391">
        <v>0</v>
      </c>
    </row>
    <row r="392" spans="1:21" x14ac:dyDescent="0.35">
      <c r="A392">
        <v>43</v>
      </c>
      <c r="B392" t="str" cm="1">
        <f t="array" ref="B392">_xlfn.IFS(A392&gt;40,"Senior",A392&gt;30,"Adult",A392&gt;=18,"Teenager")</f>
        <v>Senior</v>
      </c>
      <c r="C392" t="s">
        <v>22</v>
      </c>
      <c r="D392">
        <f t="shared" si="6"/>
        <v>0</v>
      </c>
      <c r="E392" t="s">
        <v>23</v>
      </c>
      <c r="F392">
        <v>1</v>
      </c>
      <c r="G392" t="s">
        <v>24</v>
      </c>
      <c r="H392">
        <v>2</v>
      </c>
      <c r="I392">
        <v>4</v>
      </c>
      <c r="J392" t="s">
        <v>31</v>
      </c>
      <c r="K392">
        <v>2</v>
      </c>
      <c r="L392">
        <v>14336</v>
      </c>
      <c r="M392" t="str" cm="1">
        <f t="array" ref="M392">_xlfn.IFS(L392&lt;= 7000,"Low",L392&lt;=15000,"Medium",L392&lt;=20000,"High")</f>
        <v>Medium</v>
      </c>
      <c r="N392" t="s">
        <v>22</v>
      </c>
      <c r="O392">
        <v>11</v>
      </c>
      <c r="P392">
        <v>3</v>
      </c>
      <c r="Q392">
        <v>3</v>
      </c>
      <c r="R392">
        <v>25</v>
      </c>
      <c r="S392">
        <v>3</v>
      </c>
      <c r="T392">
        <v>25</v>
      </c>
      <c r="U392">
        <v>10</v>
      </c>
    </row>
    <row r="393" spans="1:21" x14ac:dyDescent="0.35">
      <c r="A393">
        <v>40</v>
      </c>
      <c r="B393" t="str" cm="1">
        <f t="array" ref="B393">_xlfn.IFS(A393&gt;40,"Senior",A393&gt;30,"Adult",A393&gt;=18,"Teenager")</f>
        <v>Adult</v>
      </c>
      <c r="C393" t="s">
        <v>22</v>
      </c>
      <c r="D393">
        <f t="shared" si="6"/>
        <v>0</v>
      </c>
      <c r="E393" t="s">
        <v>23</v>
      </c>
      <c r="F393">
        <v>2</v>
      </c>
      <c r="G393" t="s">
        <v>20</v>
      </c>
      <c r="H393">
        <v>2</v>
      </c>
      <c r="I393">
        <v>2</v>
      </c>
      <c r="J393" t="s">
        <v>26</v>
      </c>
      <c r="K393">
        <v>3</v>
      </c>
      <c r="L393">
        <v>3448</v>
      </c>
      <c r="M393" t="str" cm="1">
        <f t="array" ref="M393">_xlfn.IFS(L393&lt;= 7000,"Low",L393&lt;=15000,"Medium",L393&lt;=20000,"High")</f>
        <v>Low</v>
      </c>
      <c r="N393" t="s">
        <v>22</v>
      </c>
      <c r="O393">
        <v>22</v>
      </c>
      <c r="P393">
        <v>4</v>
      </c>
      <c r="Q393">
        <v>2</v>
      </c>
      <c r="R393">
        <v>20</v>
      </c>
      <c r="S393">
        <v>3</v>
      </c>
      <c r="T393">
        <v>1</v>
      </c>
      <c r="U393">
        <v>0</v>
      </c>
    </row>
    <row r="394" spans="1:21" x14ac:dyDescent="0.35">
      <c r="A394">
        <v>54</v>
      </c>
      <c r="B394" t="str" cm="1">
        <f t="array" ref="B394">_xlfn.IFS(A394&gt;40,"Senior",A394&gt;30,"Adult",A394&gt;=18,"Teenager")</f>
        <v>Senior</v>
      </c>
      <c r="C394" t="s">
        <v>22</v>
      </c>
      <c r="D394">
        <f t="shared" si="6"/>
        <v>0</v>
      </c>
      <c r="E394" t="s">
        <v>23</v>
      </c>
      <c r="F394">
        <v>1</v>
      </c>
      <c r="G394" t="s">
        <v>24</v>
      </c>
      <c r="H394">
        <v>3</v>
      </c>
      <c r="I394">
        <v>5</v>
      </c>
      <c r="J394" t="s">
        <v>31</v>
      </c>
      <c r="K394">
        <v>1</v>
      </c>
      <c r="L394">
        <v>19406</v>
      </c>
      <c r="M394" t="str" cm="1">
        <f t="array" ref="M394">_xlfn.IFS(L394&lt;= 7000,"Low",L394&lt;=15000,"Medium",L394&lt;=20000,"High")</f>
        <v>High</v>
      </c>
      <c r="N394" t="s">
        <v>22</v>
      </c>
      <c r="O394">
        <v>11</v>
      </c>
      <c r="P394">
        <v>3</v>
      </c>
      <c r="Q394">
        <v>3</v>
      </c>
      <c r="R394">
        <v>24</v>
      </c>
      <c r="S394">
        <v>2</v>
      </c>
      <c r="T394">
        <v>4</v>
      </c>
      <c r="U394">
        <v>2</v>
      </c>
    </row>
    <row r="395" spans="1:21" x14ac:dyDescent="0.35">
      <c r="A395">
        <v>34</v>
      </c>
      <c r="B395" t="str" cm="1">
        <f t="array" ref="B395">_xlfn.IFS(A395&gt;40,"Senior",A395&gt;30,"Adult",A395&gt;=18,"Teenager")</f>
        <v>Adult</v>
      </c>
      <c r="C395" t="s">
        <v>22</v>
      </c>
      <c r="D395">
        <f t="shared" si="6"/>
        <v>0</v>
      </c>
      <c r="E395" t="s">
        <v>19</v>
      </c>
      <c r="F395">
        <v>3</v>
      </c>
      <c r="G395" t="s">
        <v>20</v>
      </c>
      <c r="H395">
        <v>3</v>
      </c>
      <c r="I395">
        <v>2</v>
      </c>
      <c r="J395" t="s">
        <v>21</v>
      </c>
      <c r="K395">
        <v>3</v>
      </c>
      <c r="L395">
        <v>6538</v>
      </c>
      <c r="M395" t="str" cm="1">
        <f t="array" ref="M395">_xlfn.IFS(L395&lt;= 7000,"Low",L395&lt;=15000,"Medium",L395&lt;=20000,"High")</f>
        <v>Low</v>
      </c>
      <c r="N395" t="s">
        <v>22</v>
      </c>
      <c r="O395">
        <v>15</v>
      </c>
      <c r="P395">
        <v>3</v>
      </c>
      <c r="Q395">
        <v>1</v>
      </c>
      <c r="R395">
        <v>6</v>
      </c>
      <c r="S395">
        <v>3</v>
      </c>
      <c r="T395">
        <v>3</v>
      </c>
      <c r="U395">
        <v>2</v>
      </c>
    </row>
    <row r="396" spans="1:21" x14ac:dyDescent="0.35">
      <c r="A396">
        <v>31</v>
      </c>
      <c r="B396" t="str" cm="1">
        <f t="array" ref="B396">_xlfn.IFS(A396&gt;40,"Senior",A396&gt;30,"Adult",A396&gt;=18,"Teenager")</f>
        <v>Adult</v>
      </c>
      <c r="C396" t="s">
        <v>22</v>
      </c>
      <c r="D396">
        <f t="shared" si="6"/>
        <v>0</v>
      </c>
      <c r="E396" t="s">
        <v>23</v>
      </c>
      <c r="F396">
        <v>2</v>
      </c>
      <c r="G396" t="s">
        <v>20</v>
      </c>
      <c r="H396">
        <v>3</v>
      </c>
      <c r="I396">
        <v>2</v>
      </c>
      <c r="J396" t="s">
        <v>27</v>
      </c>
      <c r="K396">
        <v>1</v>
      </c>
      <c r="L396">
        <v>4306</v>
      </c>
      <c r="M396" t="str" cm="1">
        <f t="array" ref="M396">_xlfn.IFS(L396&lt;= 7000,"Low",L396&lt;=15000,"Medium",L396&lt;=20000,"High")</f>
        <v>Low</v>
      </c>
      <c r="N396" t="s">
        <v>22</v>
      </c>
      <c r="O396">
        <v>12</v>
      </c>
      <c r="P396">
        <v>3</v>
      </c>
      <c r="Q396">
        <v>2</v>
      </c>
      <c r="R396">
        <v>13</v>
      </c>
      <c r="S396">
        <v>1</v>
      </c>
      <c r="T396">
        <v>13</v>
      </c>
      <c r="U396">
        <v>10</v>
      </c>
    </row>
    <row r="397" spans="1:21" x14ac:dyDescent="0.35">
      <c r="A397">
        <v>43</v>
      </c>
      <c r="B397" t="str" cm="1">
        <f t="array" ref="B397">_xlfn.IFS(A397&gt;40,"Senior",A397&gt;30,"Adult",A397&gt;=18,"Teenager")</f>
        <v>Senior</v>
      </c>
      <c r="C397" t="s">
        <v>22</v>
      </c>
      <c r="D397">
        <f t="shared" si="6"/>
        <v>0</v>
      </c>
      <c r="E397" t="s">
        <v>23</v>
      </c>
      <c r="F397">
        <v>4</v>
      </c>
      <c r="G397" t="s">
        <v>24</v>
      </c>
      <c r="H397">
        <v>3</v>
      </c>
      <c r="I397">
        <v>1</v>
      </c>
      <c r="J397" t="s">
        <v>26</v>
      </c>
      <c r="K397">
        <v>4</v>
      </c>
      <c r="L397">
        <v>2258</v>
      </c>
      <c r="M397" t="str" cm="1">
        <f t="array" ref="M397">_xlfn.IFS(L397&lt;= 7000,"Low",L397&lt;=15000,"Medium",L397&lt;=20000,"High")</f>
        <v>Low</v>
      </c>
      <c r="N397" t="s">
        <v>22</v>
      </c>
      <c r="O397">
        <v>20</v>
      </c>
      <c r="P397">
        <v>4</v>
      </c>
      <c r="Q397">
        <v>1</v>
      </c>
      <c r="R397">
        <v>8</v>
      </c>
      <c r="S397">
        <v>3</v>
      </c>
      <c r="T397">
        <v>3</v>
      </c>
      <c r="U397">
        <v>2</v>
      </c>
    </row>
    <row r="398" spans="1:21" x14ac:dyDescent="0.35">
      <c r="A398">
        <v>43</v>
      </c>
      <c r="B398" t="str" cm="1">
        <f t="array" ref="B398">_xlfn.IFS(A398&gt;40,"Senior",A398&gt;30,"Adult",A398&gt;=18,"Teenager")</f>
        <v>Senior</v>
      </c>
      <c r="C398" t="s">
        <v>22</v>
      </c>
      <c r="D398">
        <f t="shared" si="6"/>
        <v>0</v>
      </c>
      <c r="E398" t="s">
        <v>23</v>
      </c>
      <c r="F398">
        <v>3</v>
      </c>
      <c r="G398" t="s">
        <v>20</v>
      </c>
      <c r="H398">
        <v>3</v>
      </c>
      <c r="I398">
        <v>2</v>
      </c>
      <c r="J398" t="s">
        <v>28</v>
      </c>
      <c r="K398">
        <v>3</v>
      </c>
      <c r="L398">
        <v>4522</v>
      </c>
      <c r="M398" t="str" cm="1">
        <f t="array" ref="M398">_xlfn.IFS(L398&lt;= 7000,"Low",L398&lt;=15000,"Medium",L398&lt;=20000,"High")</f>
        <v>Low</v>
      </c>
      <c r="N398" t="s">
        <v>18</v>
      </c>
      <c r="O398">
        <v>14</v>
      </c>
      <c r="P398">
        <v>3</v>
      </c>
      <c r="Q398">
        <v>4</v>
      </c>
      <c r="R398">
        <v>8</v>
      </c>
      <c r="S398">
        <v>3</v>
      </c>
      <c r="T398">
        <v>5</v>
      </c>
      <c r="U398">
        <v>2</v>
      </c>
    </row>
    <row r="399" spans="1:21" x14ac:dyDescent="0.35">
      <c r="A399">
        <v>25</v>
      </c>
      <c r="B399" t="str" cm="1">
        <f t="array" ref="B399">_xlfn.IFS(A399&gt;40,"Senior",A399&gt;30,"Adult",A399&gt;=18,"Teenager")</f>
        <v>Teenager</v>
      </c>
      <c r="C399" t="s">
        <v>22</v>
      </c>
      <c r="D399">
        <f t="shared" si="6"/>
        <v>0</v>
      </c>
      <c r="E399" t="s">
        <v>19</v>
      </c>
      <c r="F399">
        <v>2</v>
      </c>
      <c r="G399" t="s">
        <v>20</v>
      </c>
      <c r="H399">
        <v>2</v>
      </c>
      <c r="I399">
        <v>2</v>
      </c>
      <c r="J399" t="s">
        <v>21</v>
      </c>
      <c r="K399">
        <v>4</v>
      </c>
      <c r="L399">
        <v>4487</v>
      </c>
      <c r="M399" t="str" cm="1">
        <f t="array" ref="M399">_xlfn.IFS(L399&lt;= 7000,"Low",L399&lt;=15000,"Medium",L399&lt;=20000,"High")</f>
        <v>Low</v>
      </c>
      <c r="N399" t="s">
        <v>18</v>
      </c>
      <c r="O399">
        <v>11</v>
      </c>
      <c r="P399">
        <v>3</v>
      </c>
      <c r="Q399">
        <v>2</v>
      </c>
      <c r="R399">
        <v>5</v>
      </c>
      <c r="S399">
        <v>3</v>
      </c>
      <c r="T399">
        <v>5</v>
      </c>
      <c r="U399">
        <v>4</v>
      </c>
    </row>
    <row r="400" spans="1:21" x14ac:dyDescent="0.35">
      <c r="A400">
        <v>37</v>
      </c>
      <c r="B400" t="str" cm="1">
        <f t="array" ref="B400">_xlfn.IFS(A400&gt;40,"Senior",A400&gt;30,"Adult",A400&gt;=18,"Teenager")</f>
        <v>Adult</v>
      </c>
      <c r="C400" t="s">
        <v>22</v>
      </c>
      <c r="D400">
        <f t="shared" si="6"/>
        <v>0</v>
      </c>
      <c r="E400" t="s">
        <v>23</v>
      </c>
      <c r="F400">
        <v>2</v>
      </c>
      <c r="G400" t="s">
        <v>20</v>
      </c>
      <c r="H400">
        <v>3</v>
      </c>
      <c r="I400">
        <v>2</v>
      </c>
      <c r="J400" t="s">
        <v>25</v>
      </c>
      <c r="K400">
        <v>3</v>
      </c>
      <c r="L400">
        <v>4449</v>
      </c>
      <c r="M400" t="str" cm="1">
        <f t="array" ref="M400">_xlfn.IFS(L400&lt;= 7000,"Low",L400&lt;=15000,"Medium",L400&lt;=20000,"High")</f>
        <v>Low</v>
      </c>
      <c r="N400" t="s">
        <v>18</v>
      </c>
      <c r="O400">
        <v>15</v>
      </c>
      <c r="P400">
        <v>3</v>
      </c>
      <c r="Q400">
        <v>1</v>
      </c>
      <c r="R400">
        <v>15</v>
      </c>
      <c r="S400">
        <v>3</v>
      </c>
      <c r="T400">
        <v>13</v>
      </c>
      <c r="U400">
        <v>11</v>
      </c>
    </row>
    <row r="401" spans="1:21" x14ac:dyDescent="0.35">
      <c r="A401">
        <v>31</v>
      </c>
      <c r="B401" t="str" cm="1">
        <f t="array" ref="B401">_xlfn.IFS(A401&gt;40,"Senior",A401&gt;30,"Adult",A401&gt;=18,"Teenager")</f>
        <v>Adult</v>
      </c>
      <c r="C401" t="s">
        <v>22</v>
      </c>
      <c r="D401">
        <f t="shared" si="6"/>
        <v>0</v>
      </c>
      <c r="E401" t="s">
        <v>23</v>
      </c>
      <c r="F401">
        <v>4</v>
      </c>
      <c r="G401" t="s">
        <v>24</v>
      </c>
      <c r="H401">
        <v>2</v>
      </c>
      <c r="I401">
        <v>1</v>
      </c>
      <c r="J401" t="s">
        <v>26</v>
      </c>
      <c r="K401">
        <v>1</v>
      </c>
      <c r="L401">
        <v>2218</v>
      </c>
      <c r="M401" t="str" cm="1">
        <f t="array" ref="M401">_xlfn.IFS(L401&lt;= 7000,"Low",L401&lt;=15000,"Medium",L401&lt;=20000,"High")</f>
        <v>Low</v>
      </c>
      <c r="N401" t="s">
        <v>22</v>
      </c>
      <c r="O401">
        <v>12</v>
      </c>
      <c r="P401">
        <v>3</v>
      </c>
      <c r="Q401">
        <v>3</v>
      </c>
      <c r="R401">
        <v>4</v>
      </c>
      <c r="S401">
        <v>3</v>
      </c>
      <c r="T401">
        <v>4</v>
      </c>
      <c r="U401">
        <v>2</v>
      </c>
    </row>
    <row r="402" spans="1:21" x14ac:dyDescent="0.35">
      <c r="A402">
        <v>39</v>
      </c>
      <c r="B402" t="str" cm="1">
        <f t="array" ref="B402">_xlfn.IFS(A402&gt;40,"Senior",A402&gt;30,"Adult",A402&gt;=18,"Teenager")</f>
        <v>Adult</v>
      </c>
      <c r="C402" t="s">
        <v>22</v>
      </c>
      <c r="D402">
        <f t="shared" si="6"/>
        <v>0</v>
      </c>
      <c r="E402" t="s">
        <v>23</v>
      </c>
      <c r="F402">
        <v>2</v>
      </c>
      <c r="G402" t="s">
        <v>24</v>
      </c>
      <c r="H402">
        <v>3</v>
      </c>
      <c r="I402">
        <v>5</v>
      </c>
      <c r="J402" t="s">
        <v>29</v>
      </c>
      <c r="K402">
        <v>3</v>
      </c>
      <c r="L402">
        <v>19197</v>
      </c>
      <c r="M402" t="str" cm="1">
        <f t="array" ref="M402">_xlfn.IFS(L402&lt;= 7000,"Low",L402&lt;=15000,"Medium",L402&lt;=20000,"High")</f>
        <v>High</v>
      </c>
      <c r="N402" t="s">
        <v>18</v>
      </c>
      <c r="O402">
        <v>14</v>
      </c>
      <c r="P402">
        <v>3</v>
      </c>
      <c r="Q402">
        <v>3</v>
      </c>
      <c r="R402">
        <v>21</v>
      </c>
      <c r="S402">
        <v>3</v>
      </c>
      <c r="T402">
        <v>21</v>
      </c>
      <c r="U402">
        <v>8</v>
      </c>
    </row>
    <row r="403" spans="1:21" x14ac:dyDescent="0.35">
      <c r="A403">
        <v>56</v>
      </c>
      <c r="B403" t="str" cm="1">
        <f t="array" ref="B403">_xlfn.IFS(A403&gt;40,"Senior",A403&gt;30,"Adult",A403&gt;=18,"Teenager")</f>
        <v>Senior</v>
      </c>
      <c r="C403" t="s">
        <v>22</v>
      </c>
      <c r="D403">
        <f t="shared" si="6"/>
        <v>0</v>
      </c>
      <c r="E403" t="s">
        <v>19</v>
      </c>
      <c r="F403">
        <v>3</v>
      </c>
      <c r="G403" t="s">
        <v>20</v>
      </c>
      <c r="H403">
        <v>4</v>
      </c>
      <c r="I403">
        <v>4</v>
      </c>
      <c r="J403" t="s">
        <v>21</v>
      </c>
      <c r="K403">
        <v>1</v>
      </c>
      <c r="L403">
        <v>13212</v>
      </c>
      <c r="M403" t="str" cm="1">
        <f t="array" ref="M403">_xlfn.IFS(L403&lt;= 7000,"Low",L403&lt;=15000,"Medium",L403&lt;=20000,"High")</f>
        <v>Medium</v>
      </c>
      <c r="N403" t="s">
        <v>22</v>
      </c>
      <c r="O403">
        <v>11</v>
      </c>
      <c r="P403">
        <v>3</v>
      </c>
      <c r="Q403">
        <v>4</v>
      </c>
      <c r="R403">
        <v>36</v>
      </c>
      <c r="S403">
        <v>2</v>
      </c>
      <c r="T403">
        <v>7</v>
      </c>
      <c r="U403">
        <v>7</v>
      </c>
    </row>
    <row r="404" spans="1:21" x14ac:dyDescent="0.35">
      <c r="A404">
        <v>30</v>
      </c>
      <c r="B404" t="str" cm="1">
        <f t="array" ref="B404">_xlfn.IFS(A404&gt;40,"Senior",A404&gt;30,"Adult",A404&gt;=18,"Teenager")</f>
        <v>Teenager</v>
      </c>
      <c r="C404" t="s">
        <v>22</v>
      </c>
      <c r="D404">
        <f t="shared" si="6"/>
        <v>0</v>
      </c>
      <c r="E404" t="s">
        <v>19</v>
      </c>
      <c r="F404">
        <v>2</v>
      </c>
      <c r="G404" t="s">
        <v>20</v>
      </c>
      <c r="H404">
        <v>3</v>
      </c>
      <c r="I404">
        <v>2</v>
      </c>
      <c r="J404" t="s">
        <v>21</v>
      </c>
      <c r="K404">
        <v>3</v>
      </c>
      <c r="L404">
        <v>6577</v>
      </c>
      <c r="M404" t="str" cm="1">
        <f t="array" ref="M404">_xlfn.IFS(L404&lt;= 7000,"Low",L404&lt;=15000,"Medium",L404&lt;=20000,"High")</f>
        <v>Low</v>
      </c>
      <c r="N404" t="s">
        <v>22</v>
      </c>
      <c r="O404">
        <v>11</v>
      </c>
      <c r="P404">
        <v>3</v>
      </c>
      <c r="Q404">
        <v>2</v>
      </c>
      <c r="R404">
        <v>6</v>
      </c>
      <c r="S404">
        <v>3</v>
      </c>
      <c r="T404">
        <v>5</v>
      </c>
      <c r="U404">
        <v>4</v>
      </c>
    </row>
    <row r="405" spans="1:21" x14ac:dyDescent="0.35">
      <c r="A405">
        <v>41</v>
      </c>
      <c r="B405" t="str" cm="1">
        <f t="array" ref="B405">_xlfn.IFS(A405&gt;40,"Senior",A405&gt;30,"Adult",A405&gt;=18,"Teenager")</f>
        <v>Senior</v>
      </c>
      <c r="C405" t="s">
        <v>22</v>
      </c>
      <c r="D405">
        <f t="shared" si="6"/>
        <v>0</v>
      </c>
      <c r="E405" t="s">
        <v>19</v>
      </c>
      <c r="F405">
        <v>2</v>
      </c>
      <c r="G405" t="s">
        <v>24</v>
      </c>
      <c r="H405">
        <v>4</v>
      </c>
      <c r="I405">
        <v>3</v>
      </c>
      <c r="J405" t="s">
        <v>21</v>
      </c>
      <c r="K405">
        <v>1</v>
      </c>
      <c r="L405">
        <v>8392</v>
      </c>
      <c r="M405" t="str" cm="1">
        <f t="array" ref="M405">_xlfn.IFS(L405&lt;= 7000,"Low",L405&lt;=15000,"Medium",L405&lt;=20000,"High")</f>
        <v>Medium</v>
      </c>
      <c r="N405" t="s">
        <v>22</v>
      </c>
      <c r="O405">
        <v>16</v>
      </c>
      <c r="P405">
        <v>3</v>
      </c>
      <c r="Q405">
        <v>3</v>
      </c>
      <c r="R405">
        <v>10</v>
      </c>
      <c r="S405">
        <v>3</v>
      </c>
      <c r="T405">
        <v>10</v>
      </c>
      <c r="U405">
        <v>7</v>
      </c>
    </row>
    <row r="406" spans="1:21" x14ac:dyDescent="0.35">
      <c r="A406">
        <v>28</v>
      </c>
      <c r="B406" t="str" cm="1">
        <f t="array" ref="B406">_xlfn.IFS(A406&gt;40,"Senior",A406&gt;30,"Adult",A406&gt;=18,"Teenager")</f>
        <v>Teenager</v>
      </c>
      <c r="C406" t="s">
        <v>22</v>
      </c>
      <c r="D406">
        <f t="shared" si="6"/>
        <v>0</v>
      </c>
      <c r="E406" t="s">
        <v>23</v>
      </c>
      <c r="F406">
        <v>3</v>
      </c>
      <c r="G406" t="s">
        <v>24</v>
      </c>
      <c r="H406">
        <v>3</v>
      </c>
      <c r="I406">
        <v>2</v>
      </c>
      <c r="J406" t="s">
        <v>26</v>
      </c>
      <c r="K406">
        <v>1</v>
      </c>
      <c r="L406">
        <v>4558</v>
      </c>
      <c r="M406" t="str" cm="1">
        <f t="array" ref="M406">_xlfn.IFS(L406&lt;= 7000,"Low",L406&lt;=15000,"Medium",L406&lt;=20000,"High")</f>
        <v>Low</v>
      </c>
      <c r="N406" t="s">
        <v>22</v>
      </c>
      <c r="O406">
        <v>12</v>
      </c>
      <c r="P406">
        <v>3</v>
      </c>
      <c r="Q406">
        <v>4</v>
      </c>
      <c r="R406">
        <v>10</v>
      </c>
      <c r="S406">
        <v>3</v>
      </c>
      <c r="T406">
        <v>10</v>
      </c>
      <c r="U406">
        <v>0</v>
      </c>
    </row>
    <row r="407" spans="1:21" x14ac:dyDescent="0.35">
      <c r="A407">
        <v>25</v>
      </c>
      <c r="B407" t="str" cm="1">
        <f t="array" ref="B407">_xlfn.IFS(A407&gt;40,"Senior",A407&gt;30,"Adult",A407&gt;=18,"Teenager")</f>
        <v>Teenager</v>
      </c>
      <c r="C407" t="s">
        <v>18</v>
      </c>
      <c r="D407">
        <f t="shared" si="6"/>
        <v>1</v>
      </c>
      <c r="E407" t="s">
        <v>23</v>
      </c>
      <c r="F407">
        <v>1</v>
      </c>
      <c r="G407" t="s">
        <v>24</v>
      </c>
      <c r="H407">
        <v>3</v>
      </c>
      <c r="I407">
        <v>1</v>
      </c>
      <c r="J407" t="s">
        <v>26</v>
      </c>
      <c r="K407">
        <v>1</v>
      </c>
      <c r="L407">
        <v>4031</v>
      </c>
      <c r="M407" t="str" cm="1">
        <f t="array" ref="M407">_xlfn.IFS(L407&lt;= 7000,"Low",L407&lt;=15000,"Medium",L407&lt;=20000,"High")</f>
        <v>Low</v>
      </c>
      <c r="N407" t="s">
        <v>22</v>
      </c>
      <c r="O407">
        <v>13</v>
      </c>
      <c r="P407">
        <v>3</v>
      </c>
      <c r="Q407">
        <v>3</v>
      </c>
      <c r="R407">
        <v>6</v>
      </c>
      <c r="S407">
        <v>3</v>
      </c>
      <c r="T407">
        <v>2</v>
      </c>
      <c r="U407">
        <v>2</v>
      </c>
    </row>
    <row r="408" spans="1:21" x14ac:dyDescent="0.35">
      <c r="A408">
        <v>52</v>
      </c>
      <c r="B408" t="str" cm="1">
        <f t="array" ref="B408">_xlfn.IFS(A408&gt;40,"Senior",A408&gt;30,"Adult",A408&gt;=18,"Teenager")</f>
        <v>Senior</v>
      </c>
      <c r="C408" t="s">
        <v>22</v>
      </c>
      <c r="D408">
        <f t="shared" si="6"/>
        <v>0</v>
      </c>
      <c r="E408" t="s">
        <v>23</v>
      </c>
      <c r="F408">
        <v>4</v>
      </c>
      <c r="G408" t="s">
        <v>24</v>
      </c>
      <c r="H408">
        <v>2</v>
      </c>
      <c r="I408">
        <v>3</v>
      </c>
      <c r="J408" t="s">
        <v>27</v>
      </c>
      <c r="K408">
        <v>3</v>
      </c>
      <c r="L408">
        <v>7969</v>
      </c>
      <c r="M408" t="str" cm="1">
        <f t="array" ref="M408">_xlfn.IFS(L408&lt;= 7000,"Low",L408&lt;=15000,"Medium",L408&lt;=20000,"High")</f>
        <v>Medium</v>
      </c>
      <c r="N408" t="s">
        <v>18</v>
      </c>
      <c r="O408">
        <v>14</v>
      </c>
      <c r="P408">
        <v>3</v>
      </c>
      <c r="Q408">
        <v>3</v>
      </c>
      <c r="R408">
        <v>28</v>
      </c>
      <c r="S408">
        <v>3</v>
      </c>
      <c r="T408">
        <v>5</v>
      </c>
      <c r="U408">
        <v>4</v>
      </c>
    </row>
    <row r="409" spans="1:21" x14ac:dyDescent="0.35">
      <c r="A409">
        <v>45</v>
      </c>
      <c r="B409" t="str" cm="1">
        <f t="array" ref="B409">_xlfn.IFS(A409&gt;40,"Senior",A409&gt;30,"Adult",A409&gt;=18,"Teenager")</f>
        <v>Senior</v>
      </c>
      <c r="C409" t="s">
        <v>22</v>
      </c>
      <c r="D409">
        <f t="shared" si="6"/>
        <v>0</v>
      </c>
      <c r="E409" t="s">
        <v>23</v>
      </c>
      <c r="F409">
        <v>1</v>
      </c>
      <c r="G409" t="s">
        <v>24</v>
      </c>
      <c r="H409">
        <v>3</v>
      </c>
      <c r="I409">
        <v>1</v>
      </c>
      <c r="J409" t="s">
        <v>25</v>
      </c>
      <c r="K409">
        <v>4</v>
      </c>
      <c r="L409">
        <v>2654</v>
      </c>
      <c r="M409" t="str" cm="1">
        <f t="array" ref="M409">_xlfn.IFS(L409&lt;= 7000,"Low",L409&lt;=15000,"Medium",L409&lt;=20000,"High")</f>
        <v>Low</v>
      </c>
      <c r="N409" t="s">
        <v>22</v>
      </c>
      <c r="O409">
        <v>21</v>
      </c>
      <c r="P409">
        <v>4</v>
      </c>
      <c r="Q409">
        <v>4</v>
      </c>
      <c r="R409">
        <v>8</v>
      </c>
      <c r="S409">
        <v>2</v>
      </c>
      <c r="T409">
        <v>2</v>
      </c>
      <c r="U409">
        <v>2</v>
      </c>
    </row>
    <row r="410" spans="1:21" x14ac:dyDescent="0.35">
      <c r="A410">
        <v>52</v>
      </c>
      <c r="B410" t="str" cm="1">
        <f t="array" ref="B410">_xlfn.IFS(A410&gt;40,"Senior",A410&gt;30,"Adult",A410&gt;=18,"Teenager")</f>
        <v>Senior</v>
      </c>
      <c r="C410" t="s">
        <v>22</v>
      </c>
      <c r="D410">
        <f t="shared" si="6"/>
        <v>0</v>
      </c>
      <c r="E410" t="s">
        <v>23</v>
      </c>
      <c r="F410">
        <v>4</v>
      </c>
      <c r="G410" t="s">
        <v>20</v>
      </c>
      <c r="H410">
        <v>3</v>
      </c>
      <c r="I410">
        <v>4</v>
      </c>
      <c r="J410" t="s">
        <v>29</v>
      </c>
      <c r="K410">
        <v>4</v>
      </c>
      <c r="L410">
        <v>16555</v>
      </c>
      <c r="M410" t="str" cm="1">
        <f t="array" ref="M410">_xlfn.IFS(L410&lt;= 7000,"Low",L410&lt;=15000,"Medium",L410&lt;=20000,"High")</f>
        <v>High</v>
      </c>
      <c r="N410" t="s">
        <v>22</v>
      </c>
      <c r="O410">
        <v>13</v>
      </c>
      <c r="P410">
        <v>3</v>
      </c>
      <c r="Q410">
        <v>4</v>
      </c>
      <c r="R410">
        <v>31</v>
      </c>
      <c r="S410">
        <v>1</v>
      </c>
      <c r="T410">
        <v>5</v>
      </c>
      <c r="U410">
        <v>2</v>
      </c>
    </row>
    <row r="411" spans="1:21" x14ac:dyDescent="0.35">
      <c r="A411">
        <v>42</v>
      </c>
      <c r="B411" t="str" cm="1">
        <f t="array" ref="B411">_xlfn.IFS(A411&gt;40,"Senior",A411&gt;30,"Adult",A411&gt;=18,"Teenager")</f>
        <v>Senior</v>
      </c>
      <c r="C411" t="s">
        <v>22</v>
      </c>
      <c r="D411">
        <f t="shared" si="6"/>
        <v>0</v>
      </c>
      <c r="E411" t="s">
        <v>23</v>
      </c>
      <c r="F411">
        <v>1</v>
      </c>
      <c r="G411" t="s">
        <v>20</v>
      </c>
      <c r="H411">
        <v>3</v>
      </c>
      <c r="I411">
        <v>2</v>
      </c>
      <c r="J411" t="s">
        <v>25</v>
      </c>
      <c r="K411">
        <v>3</v>
      </c>
      <c r="L411">
        <v>4556</v>
      </c>
      <c r="M411" t="str" cm="1">
        <f t="array" ref="M411">_xlfn.IFS(L411&lt;= 7000,"Low",L411&lt;=15000,"Medium",L411&lt;=20000,"High")</f>
        <v>Low</v>
      </c>
      <c r="N411" t="s">
        <v>22</v>
      </c>
      <c r="O411">
        <v>11</v>
      </c>
      <c r="P411">
        <v>3</v>
      </c>
      <c r="Q411">
        <v>2</v>
      </c>
      <c r="R411">
        <v>19</v>
      </c>
      <c r="S411">
        <v>3</v>
      </c>
      <c r="T411">
        <v>5</v>
      </c>
      <c r="U411">
        <v>4</v>
      </c>
    </row>
    <row r="412" spans="1:21" x14ac:dyDescent="0.35">
      <c r="A412">
        <v>30</v>
      </c>
      <c r="B412" t="str" cm="1">
        <f t="array" ref="B412">_xlfn.IFS(A412&gt;40,"Senior",A412&gt;30,"Adult",A412&gt;=18,"Teenager")</f>
        <v>Teenager</v>
      </c>
      <c r="C412" t="s">
        <v>22</v>
      </c>
      <c r="D412">
        <f t="shared" si="6"/>
        <v>0</v>
      </c>
      <c r="E412" t="s">
        <v>23</v>
      </c>
      <c r="F412">
        <v>3</v>
      </c>
      <c r="G412" t="s">
        <v>20</v>
      </c>
      <c r="H412">
        <v>1</v>
      </c>
      <c r="I412">
        <v>2</v>
      </c>
      <c r="J412" t="s">
        <v>27</v>
      </c>
      <c r="K412">
        <v>4</v>
      </c>
      <c r="L412">
        <v>6091</v>
      </c>
      <c r="M412" t="str" cm="1">
        <f t="array" ref="M412">_xlfn.IFS(L412&lt;= 7000,"Low",L412&lt;=15000,"Medium",L412&lt;=20000,"High")</f>
        <v>Low</v>
      </c>
      <c r="N412" t="s">
        <v>22</v>
      </c>
      <c r="O412">
        <v>20</v>
      </c>
      <c r="P412">
        <v>4</v>
      </c>
      <c r="Q412">
        <v>3</v>
      </c>
      <c r="R412">
        <v>11</v>
      </c>
      <c r="S412">
        <v>3</v>
      </c>
      <c r="T412">
        <v>5</v>
      </c>
      <c r="U412">
        <v>4</v>
      </c>
    </row>
    <row r="413" spans="1:21" x14ac:dyDescent="0.35">
      <c r="A413">
        <v>60</v>
      </c>
      <c r="B413" t="str" cm="1">
        <f t="array" ref="B413">_xlfn.IFS(A413&gt;40,"Senior",A413&gt;30,"Adult",A413&gt;=18,"Teenager")</f>
        <v>Senior</v>
      </c>
      <c r="C413" t="s">
        <v>22</v>
      </c>
      <c r="D413">
        <f t="shared" si="6"/>
        <v>0</v>
      </c>
      <c r="E413" t="s">
        <v>23</v>
      </c>
      <c r="F413">
        <v>1</v>
      </c>
      <c r="G413" t="s">
        <v>20</v>
      </c>
      <c r="H413">
        <v>3</v>
      </c>
      <c r="I413">
        <v>5</v>
      </c>
      <c r="J413" t="s">
        <v>29</v>
      </c>
      <c r="K413">
        <v>1</v>
      </c>
      <c r="L413">
        <v>19566</v>
      </c>
      <c r="M413" t="str" cm="1">
        <f t="array" ref="M413">_xlfn.IFS(L413&lt;= 7000,"Low",L413&lt;=15000,"Medium",L413&lt;=20000,"High")</f>
        <v>High</v>
      </c>
      <c r="N413" t="s">
        <v>22</v>
      </c>
      <c r="O413">
        <v>11</v>
      </c>
      <c r="P413">
        <v>3</v>
      </c>
      <c r="Q413">
        <v>4</v>
      </c>
      <c r="R413">
        <v>33</v>
      </c>
      <c r="S413">
        <v>1</v>
      </c>
      <c r="T413">
        <v>29</v>
      </c>
      <c r="U413">
        <v>8</v>
      </c>
    </row>
    <row r="414" spans="1:21" x14ac:dyDescent="0.35">
      <c r="A414">
        <v>46</v>
      </c>
      <c r="B414" t="str" cm="1">
        <f t="array" ref="B414">_xlfn.IFS(A414&gt;40,"Senior",A414&gt;30,"Adult",A414&gt;=18,"Teenager")</f>
        <v>Senior</v>
      </c>
      <c r="C414" t="s">
        <v>22</v>
      </c>
      <c r="D414">
        <f t="shared" si="6"/>
        <v>0</v>
      </c>
      <c r="E414" t="s">
        <v>23</v>
      </c>
      <c r="F414">
        <v>3</v>
      </c>
      <c r="G414" t="s">
        <v>20</v>
      </c>
      <c r="H414">
        <v>3</v>
      </c>
      <c r="I414">
        <v>2</v>
      </c>
      <c r="J414" t="s">
        <v>27</v>
      </c>
      <c r="K414">
        <v>3</v>
      </c>
      <c r="L414">
        <v>4810</v>
      </c>
      <c r="M414" t="str" cm="1">
        <f t="array" ref="M414">_xlfn.IFS(L414&lt;= 7000,"Low",L414&lt;=15000,"Medium",L414&lt;=20000,"High")</f>
        <v>Low</v>
      </c>
      <c r="N414" t="s">
        <v>22</v>
      </c>
      <c r="O414">
        <v>14</v>
      </c>
      <c r="P414">
        <v>3</v>
      </c>
      <c r="Q414">
        <v>3</v>
      </c>
      <c r="R414">
        <v>19</v>
      </c>
      <c r="S414">
        <v>2</v>
      </c>
      <c r="T414">
        <v>10</v>
      </c>
      <c r="U414">
        <v>7</v>
      </c>
    </row>
    <row r="415" spans="1:21" x14ac:dyDescent="0.35">
      <c r="A415">
        <v>42</v>
      </c>
      <c r="B415" t="str" cm="1">
        <f t="array" ref="B415">_xlfn.IFS(A415&gt;40,"Senior",A415&gt;30,"Adult",A415&gt;=18,"Teenager")</f>
        <v>Senior</v>
      </c>
      <c r="C415" t="s">
        <v>22</v>
      </c>
      <c r="D415">
        <f t="shared" si="6"/>
        <v>0</v>
      </c>
      <c r="E415" t="s">
        <v>23</v>
      </c>
      <c r="F415">
        <v>4</v>
      </c>
      <c r="G415" t="s">
        <v>20</v>
      </c>
      <c r="H415">
        <v>2</v>
      </c>
      <c r="I415">
        <v>2</v>
      </c>
      <c r="J415" t="s">
        <v>28</v>
      </c>
      <c r="K415">
        <v>4</v>
      </c>
      <c r="L415">
        <v>4523</v>
      </c>
      <c r="M415" t="str" cm="1">
        <f t="array" ref="M415">_xlfn.IFS(L415&lt;= 7000,"Low",L415&lt;=15000,"Medium",L415&lt;=20000,"High")</f>
        <v>Low</v>
      </c>
      <c r="N415" t="s">
        <v>22</v>
      </c>
      <c r="O415">
        <v>11</v>
      </c>
      <c r="P415">
        <v>3</v>
      </c>
      <c r="Q415">
        <v>4</v>
      </c>
      <c r="R415">
        <v>7</v>
      </c>
      <c r="S415">
        <v>4</v>
      </c>
      <c r="T415">
        <v>6</v>
      </c>
      <c r="U415">
        <v>5</v>
      </c>
    </row>
    <row r="416" spans="1:21" x14ac:dyDescent="0.35">
      <c r="A416">
        <v>24</v>
      </c>
      <c r="B416" t="str" cm="1">
        <f t="array" ref="B416">_xlfn.IFS(A416&gt;40,"Senior",A416&gt;30,"Adult",A416&gt;=18,"Teenager")</f>
        <v>Teenager</v>
      </c>
      <c r="C416" t="s">
        <v>18</v>
      </c>
      <c r="D416">
        <f t="shared" si="6"/>
        <v>1</v>
      </c>
      <c r="E416" t="s">
        <v>19</v>
      </c>
      <c r="F416">
        <v>1</v>
      </c>
      <c r="G416" t="s">
        <v>20</v>
      </c>
      <c r="H416">
        <v>3</v>
      </c>
      <c r="I416">
        <v>1</v>
      </c>
      <c r="J416" t="s">
        <v>30</v>
      </c>
      <c r="K416">
        <v>2</v>
      </c>
      <c r="L416">
        <v>3202</v>
      </c>
      <c r="M416" t="str" cm="1">
        <f t="array" ref="M416">_xlfn.IFS(L416&lt;= 7000,"Low",L416&lt;=15000,"Medium",L416&lt;=20000,"High")</f>
        <v>Low</v>
      </c>
      <c r="N416" t="s">
        <v>18</v>
      </c>
      <c r="O416">
        <v>16</v>
      </c>
      <c r="P416">
        <v>3</v>
      </c>
      <c r="Q416">
        <v>2</v>
      </c>
      <c r="R416">
        <v>6</v>
      </c>
      <c r="S416">
        <v>3</v>
      </c>
      <c r="T416">
        <v>5</v>
      </c>
      <c r="U416">
        <v>3</v>
      </c>
    </row>
    <row r="417" spans="1:21" x14ac:dyDescent="0.35">
      <c r="A417">
        <v>34</v>
      </c>
      <c r="B417" t="str" cm="1">
        <f t="array" ref="B417">_xlfn.IFS(A417&gt;40,"Senior",A417&gt;30,"Adult",A417&gt;=18,"Teenager")</f>
        <v>Adult</v>
      </c>
      <c r="C417" t="s">
        <v>18</v>
      </c>
      <c r="D417">
        <f t="shared" si="6"/>
        <v>1</v>
      </c>
      <c r="E417" t="s">
        <v>19</v>
      </c>
      <c r="F417">
        <v>4</v>
      </c>
      <c r="G417" t="s">
        <v>20</v>
      </c>
      <c r="H417">
        <v>1</v>
      </c>
      <c r="I417">
        <v>1</v>
      </c>
      <c r="J417" t="s">
        <v>30</v>
      </c>
      <c r="K417">
        <v>3</v>
      </c>
      <c r="L417">
        <v>2351</v>
      </c>
      <c r="M417" t="str" cm="1">
        <f t="array" ref="M417">_xlfn.IFS(L417&lt;= 7000,"Low",L417&lt;=15000,"Medium",L417&lt;=20000,"High")</f>
        <v>Low</v>
      </c>
      <c r="N417" t="s">
        <v>22</v>
      </c>
      <c r="O417">
        <v>16</v>
      </c>
      <c r="P417">
        <v>3</v>
      </c>
      <c r="Q417">
        <v>4</v>
      </c>
      <c r="R417">
        <v>3</v>
      </c>
      <c r="S417">
        <v>2</v>
      </c>
      <c r="T417">
        <v>2</v>
      </c>
      <c r="U417">
        <v>2</v>
      </c>
    </row>
    <row r="418" spans="1:21" x14ac:dyDescent="0.35">
      <c r="A418">
        <v>38</v>
      </c>
      <c r="B418" t="str" cm="1">
        <f t="array" ref="B418">_xlfn.IFS(A418&gt;40,"Senior",A418&gt;30,"Adult",A418&gt;=18,"Teenager")</f>
        <v>Adult</v>
      </c>
      <c r="C418" t="s">
        <v>22</v>
      </c>
      <c r="D418">
        <f t="shared" si="6"/>
        <v>0</v>
      </c>
      <c r="E418" t="s">
        <v>23</v>
      </c>
      <c r="F418">
        <v>4</v>
      </c>
      <c r="G418" t="s">
        <v>24</v>
      </c>
      <c r="H418">
        <v>3</v>
      </c>
      <c r="I418">
        <v>1</v>
      </c>
      <c r="J418" t="s">
        <v>26</v>
      </c>
      <c r="K418">
        <v>4</v>
      </c>
      <c r="L418">
        <v>1702</v>
      </c>
      <c r="M418" t="str" cm="1">
        <f t="array" ref="M418">_xlfn.IFS(L418&lt;= 7000,"Low",L418&lt;=15000,"Medium",L418&lt;=20000,"High")</f>
        <v>Low</v>
      </c>
      <c r="N418" t="s">
        <v>18</v>
      </c>
      <c r="O418">
        <v>23</v>
      </c>
      <c r="P418">
        <v>4</v>
      </c>
      <c r="Q418">
        <v>3</v>
      </c>
      <c r="R418">
        <v>1</v>
      </c>
      <c r="S418">
        <v>3</v>
      </c>
      <c r="T418">
        <v>1</v>
      </c>
      <c r="U418">
        <v>0</v>
      </c>
    </row>
    <row r="419" spans="1:21" x14ac:dyDescent="0.35">
      <c r="A419">
        <v>40</v>
      </c>
      <c r="B419" t="str" cm="1">
        <f t="array" ref="B419">_xlfn.IFS(A419&gt;40,"Senior",A419&gt;30,"Adult",A419&gt;=18,"Teenager")</f>
        <v>Adult</v>
      </c>
      <c r="C419" t="s">
        <v>22</v>
      </c>
      <c r="D419">
        <f t="shared" si="6"/>
        <v>0</v>
      </c>
      <c r="E419" t="s">
        <v>19</v>
      </c>
      <c r="F419">
        <v>3</v>
      </c>
      <c r="G419" t="s">
        <v>20</v>
      </c>
      <c r="H419">
        <v>3</v>
      </c>
      <c r="I419">
        <v>5</v>
      </c>
      <c r="J419" t="s">
        <v>29</v>
      </c>
      <c r="K419">
        <v>3</v>
      </c>
      <c r="L419">
        <v>18041</v>
      </c>
      <c r="M419" t="str" cm="1">
        <f t="array" ref="M419">_xlfn.IFS(L419&lt;= 7000,"Low",L419&lt;=15000,"Medium",L419&lt;=20000,"High")</f>
        <v>High</v>
      </c>
      <c r="N419" t="s">
        <v>22</v>
      </c>
      <c r="O419">
        <v>14</v>
      </c>
      <c r="P419">
        <v>3</v>
      </c>
      <c r="Q419">
        <v>4</v>
      </c>
      <c r="R419">
        <v>21</v>
      </c>
      <c r="S419">
        <v>3</v>
      </c>
      <c r="T419">
        <v>20</v>
      </c>
      <c r="U419">
        <v>15</v>
      </c>
    </row>
    <row r="420" spans="1:21" x14ac:dyDescent="0.35">
      <c r="A420">
        <v>26</v>
      </c>
      <c r="B420" t="str" cm="1">
        <f t="array" ref="B420">_xlfn.IFS(A420&gt;40,"Senior",A420&gt;30,"Adult",A420&gt;=18,"Teenager")</f>
        <v>Teenager</v>
      </c>
      <c r="C420" t="s">
        <v>22</v>
      </c>
      <c r="D420">
        <f t="shared" si="6"/>
        <v>0</v>
      </c>
      <c r="E420" t="s">
        <v>23</v>
      </c>
      <c r="F420">
        <v>1</v>
      </c>
      <c r="G420" t="s">
        <v>20</v>
      </c>
      <c r="H420">
        <v>3</v>
      </c>
      <c r="I420">
        <v>1</v>
      </c>
      <c r="J420" t="s">
        <v>25</v>
      </c>
      <c r="K420">
        <v>4</v>
      </c>
      <c r="L420">
        <v>2886</v>
      </c>
      <c r="M420" t="str" cm="1">
        <f t="array" ref="M420">_xlfn.IFS(L420&lt;= 7000,"Low",L420&lt;=15000,"Medium",L420&lt;=20000,"High")</f>
        <v>Low</v>
      </c>
      <c r="N420" t="s">
        <v>22</v>
      </c>
      <c r="O420">
        <v>22</v>
      </c>
      <c r="P420">
        <v>4</v>
      </c>
      <c r="Q420">
        <v>2</v>
      </c>
      <c r="R420">
        <v>3</v>
      </c>
      <c r="S420">
        <v>1</v>
      </c>
      <c r="T420">
        <v>3</v>
      </c>
      <c r="U420">
        <v>2</v>
      </c>
    </row>
    <row r="421" spans="1:21" x14ac:dyDescent="0.35">
      <c r="A421">
        <v>30</v>
      </c>
      <c r="B421" t="str" cm="1">
        <f t="array" ref="B421">_xlfn.IFS(A421&gt;40,"Senior",A421&gt;30,"Adult",A421&gt;=18,"Teenager")</f>
        <v>Teenager</v>
      </c>
      <c r="C421" t="s">
        <v>22</v>
      </c>
      <c r="D421">
        <f t="shared" si="6"/>
        <v>0</v>
      </c>
      <c r="E421" t="s">
        <v>23</v>
      </c>
      <c r="F421">
        <v>3</v>
      </c>
      <c r="G421" t="s">
        <v>24</v>
      </c>
      <c r="H421">
        <v>3</v>
      </c>
      <c r="I421">
        <v>1</v>
      </c>
      <c r="J421" t="s">
        <v>26</v>
      </c>
      <c r="K421">
        <v>4</v>
      </c>
      <c r="L421">
        <v>2097</v>
      </c>
      <c r="M421" t="str" cm="1">
        <f t="array" ref="M421">_xlfn.IFS(L421&lt;= 7000,"Low",L421&lt;=15000,"Medium",L421&lt;=20000,"High")</f>
        <v>Low</v>
      </c>
      <c r="N421" t="s">
        <v>22</v>
      </c>
      <c r="O421">
        <v>15</v>
      </c>
      <c r="P421">
        <v>3</v>
      </c>
      <c r="Q421">
        <v>3</v>
      </c>
      <c r="R421">
        <v>9</v>
      </c>
      <c r="S421">
        <v>1</v>
      </c>
      <c r="T421">
        <v>5</v>
      </c>
      <c r="U421">
        <v>3</v>
      </c>
    </row>
    <row r="422" spans="1:21" x14ac:dyDescent="0.35">
      <c r="A422">
        <v>29</v>
      </c>
      <c r="B422" t="str" cm="1">
        <f t="array" ref="B422">_xlfn.IFS(A422&gt;40,"Senior",A422&gt;30,"Adult",A422&gt;=18,"Teenager")</f>
        <v>Teenager</v>
      </c>
      <c r="C422" t="s">
        <v>22</v>
      </c>
      <c r="D422">
        <f t="shared" si="6"/>
        <v>0</v>
      </c>
      <c r="E422" t="s">
        <v>23</v>
      </c>
      <c r="F422">
        <v>2</v>
      </c>
      <c r="G422" t="s">
        <v>24</v>
      </c>
      <c r="H422">
        <v>2</v>
      </c>
      <c r="I422">
        <v>3</v>
      </c>
      <c r="J422" t="s">
        <v>31</v>
      </c>
      <c r="K422">
        <v>3</v>
      </c>
      <c r="L422">
        <v>11935</v>
      </c>
      <c r="M422" t="str" cm="1">
        <f t="array" ref="M422">_xlfn.IFS(L422&lt;= 7000,"Low",L422&lt;=15000,"Medium",L422&lt;=20000,"High")</f>
        <v>Medium</v>
      </c>
      <c r="N422" t="s">
        <v>22</v>
      </c>
      <c r="O422">
        <v>18</v>
      </c>
      <c r="P422">
        <v>3</v>
      </c>
      <c r="Q422">
        <v>3</v>
      </c>
      <c r="R422">
        <v>10</v>
      </c>
      <c r="S422">
        <v>3</v>
      </c>
      <c r="T422">
        <v>10</v>
      </c>
      <c r="U422">
        <v>2</v>
      </c>
    </row>
    <row r="423" spans="1:21" x14ac:dyDescent="0.35">
      <c r="A423">
        <v>29</v>
      </c>
      <c r="B423" t="str" cm="1">
        <f t="array" ref="B423">_xlfn.IFS(A423&gt;40,"Senior",A423&gt;30,"Adult",A423&gt;=18,"Teenager")</f>
        <v>Teenager</v>
      </c>
      <c r="C423" t="s">
        <v>18</v>
      </c>
      <c r="D423">
        <f t="shared" si="6"/>
        <v>1</v>
      </c>
      <c r="E423" t="s">
        <v>23</v>
      </c>
      <c r="F423">
        <v>3</v>
      </c>
      <c r="G423" t="s">
        <v>20</v>
      </c>
      <c r="H423">
        <v>2</v>
      </c>
      <c r="I423">
        <v>1</v>
      </c>
      <c r="J423" t="s">
        <v>25</v>
      </c>
      <c r="K423">
        <v>2</v>
      </c>
      <c r="L423">
        <v>2546</v>
      </c>
      <c r="M423" t="str" cm="1">
        <f t="array" ref="M423">_xlfn.IFS(L423&lt;= 7000,"Low",L423&lt;=15000,"Medium",L423&lt;=20000,"High")</f>
        <v>Low</v>
      </c>
      <c r="N423" t="s">
        <v>22</v>
      </c>
      <c r="O423">
        <v>16</v>
      </c>
      <c r="P423">
        <v>3</v>
      </c>
      <c r="Q423">
        <v>2</v>
      </c>
      <c r="R423">
        <v>6</v>
      </c>
      <c r="S423">
        <v>4</v>
      </c>
      <c r="T423">
        <v>2</v>
      </c>
      <c r="U423">
        <v>2</v>
      </c>
    </row>
    <row r="424" spans="1:21" x14ac:dyDescent="0.35">
      <c r="A424">
        <v>19</v>
      </c>
      <c r="B424" t="str" cm="1">
        <f t="array" ref="B424">_xlfn.IFS(A424&gt;40,"Senior",A424&gt;30,"Adult",A424&gt;=18,"Teenager")</f>
        <v>Teenager</v>
      </c>
      <c r="C424" t="s">
        <v>18</v>
      </c>
      <c r="D424">
        <f t="shared" si="6"/>
        <v>1</v>
      </c>
      <c r="E424" t="s">
        <v>32</v>
      </c>
      <c r="F424">
        <v>1</v>
      </c>
      <c r="G424" t="s">
        <v>24</v>
      </c>
      <c r="H424">
        <v>2</v>
      </c>
      <c r="I424">
        <v>1</v>
      </c>
      <c r="J424" t="s">
        <v>32</v>
      </c>
      <c r="K424">
        <v>4</v>
      </c>
      <c r="L424">
        <v>2564</v>
      </c>
      <c r="M424" t="str" cm="1">
        <f t="array" ref="M424">_xlfn.IFS(L424&lt;= 7000,"Low",L424&lt;=15000,"Medium",L424&lt;=20000,"High")</f>
        <v>Low</v>
      </c>
      <c r="N424" t="s">
        <v>22</v>
      </c>
      <c r="O424">
        <v>12</v>
      </c>
      <c r="P424">
        <v>3</v>
      </c>
      <c r="Q424">
        <v>3</v>
      </c>
      <c r="R424">
        <v>1</v>
      </c>
      <c r="S424">
        <v>4</v>
      </c>
      <c r="T424">
        <v>1</v>
      </c>
      <c r="U424">
        <v>0</v>
      </c>
    </row>
    <row r="425" spans="1:21" x14ac:dyDescent="0.35">
      <c r="A425">
        <v>30</v>
      </c>
      <c r="B425" t="str" cm="1">
        <f t="array" ref="B425">_xlfn.IFS(A425&gt;40,"Senior",A425&gt;30,"Adult",A425&gt;=18,"Teenager")</f>
        <v>Teenager</v>
      </c>
      <c r="C425" t="s">
        <v>22</v>
      </c>
      <c r="D425">
        <f t="shared" si="6"/>
        <v>0</v>
      </c>
      <c r="E425" t="s">
        <v>19</v>
      </c>
      <c r="F425">
        <v>3</v>
      </c>
      <c r="G425" t="s">
        <v>20</v>
      </c>
      <c r="H425">
        <v>3</v>
      </c>
      <c r="I425">
        <v>3</v>
      </c>
      <c r="J425" t="s">
        <v>21</v>
      </c>
      <c r="K425">
        <v>1</v>
      </c>
      <c r="L425">
        <v>8412</v>
      </c>
      <c r="M425" t="str" cm="1">
        <f t="array" ref="M425">_xlfn.IFS(L425&lt;= 7000,"Low",L425&lt;=15000,"Medium",L425&lt;=20000,"High")</f>
        <v>Medium</v>
      </c>
      <c r="N425" t="s">
        <v>22</v>
      </c>
      <c r="O425">
        <v>11</v>
      </c>
      <c r="P425">
        <v>3</v>
      </c>
      <c r="Q425">
        <v>3</v>
      </c>
      <c r="R425">
        <v>10</v>
      </c>
      <c r="S425">
        <v>3</v>
      </c>
      <c r="T425">
        <v>9</v>
      </c>
      <c r="U425">
        <v>8</v>
      </c>
    </row>
    <row r="426" spans="1:21" x14ac:dyDescent="0.35">
      <c r="A426">
        <v>57</v>
      </c>
      <c r="B426" t="str" cm="1">
        <f t="array" ref="B426">_xlfn.IFS(A426&gt;40,"Senior",A426&gt;30,"Adult",A426&gt;=18,"Teenager")</f>
        <v>Senior</v>
      </c>
      <c r="C426" t="s">
        <v>22</v>
      </c>
      <c r="D426">
        <f t="shared" si="6"/>
        <v>0</v>
      </c>
      <c r="E426" t="s">
        <v>19</v>
      </c>
      <c r="F426">
        <v>1</v>
      </c>
      <c r="G426" t="s">
        <v>24</v>
      </c>
      <c r="H426">
        <v>2</v>
      </c>
      <c r="I426">
        <v>4</v>
      </c>
      <c r="J426" t="s">
        <v>29</v>
      </c>
      <c r="K426">
        <v>4</v>
      </c>
      <c r="L426">
        <v>14118</v>
      </c>
      <c r="M426" t="str" cm="1">
        <f t="array" ref="M426">_xlfn.IFS(L426&lt;= 7000,"Low",L426&lt;=15000,"Medium",L426&lt;=20000,"High")</f>
        <v>Medium</v>
      </c>
      <c r="N426" t="s">
        <v>22</v>
      </c>
      <c r="O426">
        <v>12</v>
      </c>
      <c r="P426">
        <v>3</v>
      </c>
      <c r="Q426">
        <v>3</v>
      </c>
      <c r="R426">
        <v>32</v>
      </c>
      <c r="S426">
        <v>2</v>
      </c>
      <c r="T426">
        <v>1</v>
      </c>
      <c r="U426">
        <v>0</v>
      </c>
    </row>
    <row r="427" spans="1:21" x14ac:dyDescent="0.35">
      <c r="A427">
        <v>50</v>
      </c>
      <c r="B427" t="str" cm="1">
        <f t="array" ref="B427">_xlfn.IFS(A427&gt;40,"Senior",A427&gt;30,"Adult",A427&gt;=18,"Teenager")</f>
        <v>Senior</v>
      </c>
      <c r="C427" t="s">
        <v>22</v>
      </c>
      <c r="D427">
        <f t="shared" si="6"/>
        <v>0</v>
      </c>
      <c r="E427" t="s">
        <v>23</v>
      </c>
      <c r="F427">
        <v>2</v>
      </c>
      <c r="G427" t="s">
        <v>24</v>
      </c>
      <c r="H427">
        <v>2</v>
      </c>
      <c r="I427">
        <v>4</v>
      </c>
      <c r="J427" t="s">
        <v>29</v>
      </c>
      <c r="K427">
        <v>3</v>
      </c>
      <c r="L427">
        <v>17046</v>
      </c>
      <c r="M427" t="str" cm="1">
        <f t="array" ref="M427">_xlfn.IFS(L427&lt;= 7000,"Low",L427&lt;=15000,"Medium",L427&lt;=20000,"High")</f>
        <v>High</v>
      </c>
      <c r="N427" t="s">
        <v>22</v>
      </c>
      <c r="O427">
        <v>15</v>
      </c>
      <c r="P427">
        <v>3</v>
      </c>
      <c r="Q427">
        <v>2</v>
      </c>
      <c r="R427">
        <v>28</v>
      </c>
      <c r="S427">
        <v>3</v>
      </c>
      <c r="T427">
        <v>27</v>
      </c>
      <c r="U427">
        <v>10</v>
      </c>
    </row>
    <row r="428" spans="1:21" x14ac:dyDescent="0.35">
      <c r="A428">
        <v>30</v>
      </c>
      <c r="B428" t="str" cm="1">
        <f t="array" ref="B428">_xlfn.IFS(A428&gt;40,"Senior",A428&gt;30,"Adult",A428&gt;=18,"Teenager")</f>
        <v>Teenager</v>
      </c>
      <c r="C428" t="s">
        <v>22</v>
      </c>
      <c r="D428">
        <f t="shared" si="6"/>
        <v>0</v>
      </c>
      <c r="E428" t="s">
        <v>23</v>
      </c>
      <c r="F428">
        <v>3</v>
      </c>
      <c r="G428" t="s">
        <v>20</v>
      </c>
      <c r="H428">
        <v>3</v>
      </c>
      <c r="I428">
        <v>1</v>
      </c>
      <c r="J428" t="s">
        <v>26</v>
      </c>
      <c r="K428">
        <v>4</v>
      </c>
      <c r="L428">
        <v>2564</v>
      </c>
      <c r="M428" t="str" cm="1">
        <f t="array" ref="M428">_xlfn.IFS(L428&lt;= 7000,"Low",L428&lt;=15000,"Medium",L428&lt;=20000,"High")</f>
        <v>Low</v>
      </c>
      <c r="N428" t="s">
        <v>22</v>
      </c>
      <c r="O428">
        <v>14</v>
      </c>
      <c r="P428">
        <v>3</v>
      </c>
      <c r="Q428">
        <v>3</v>
      </c>
      <c r="R428">
        <v>12</v>
      </c>
      <c r="S428">
        <v>2</v>
      </c>
      <c r="T428">
        <v>11</v>
      </c>
      <c r="U428">
        <v>7</v>
      </c>
    </row>
    <row r="429" spans="1:21" x14ac:dyDescent="0.35">
      <c r="A429">
        <v>60</v>
      </c>
      <c r="B429" t="str" cm="1">
        <f t="array" ref="B429">_xlfn.IFS(A429&gt;40,"Senior",A429&gt;30,"Adult",A429&gt;=18,"Teenager")</f>
        <v>Senior</v>
      </c>
      <c r="C429" t="s">
        <v>22</v>
      </c>
      <c r="D429">
        <f t="shared" si="6"/>
        <v>0</v>
      </c>
      <c r="E429" t="s">
        <v>19</v>
      </c>
      <c r="F429">
        <v>3</v>
      </c>
      <c r="G429" t="s">
        <v>20</v>
      </c>
      <c r="H429">
        <v>2</v>
      </c>
      <c r="I429">
        <v>3</v>
      </c>
      <c r="J429" t="s">
        <v>21</v>
      </c>
      <c r="K429">
        <v>1</v>
      </c>
      <c r="L429">
        <v>10266</v>
      </c>
      <c r="M429" t="str" cm="1">
        <f t="array" ref="M429">_xlfn.IFS(L429&lt;= 7000,"Low",L429&lt;=15000,"Medium",L429&lt;=20000,"High")</f>
        <v>Medium</v>
      </c>
      <c r="N429" t="s">
        <v>22</v>
      </c>
      <c r="O429">
        <v>19</v>
      </c>
      <c r="P429">
        <v>3</v>
      </c>
      <c r="Q429">
        <v>4</v>
      </c>
      <c r="R429">
        <v>22</v>
      </c>
      <c r="S429">
        <v>4</v>
      </c>
      <c r="T429">
        <v>18</v>
      </c>
      <c r="U429">
        <v>13</v>
      </c>
    </row>
    <row r="430" spans="1:21" x14ac:dyDescent="0.35">
      <c r="A430">
        <v>47</v>
      </c>
      <c r="B430" t="str" cm="1">
        <f t="array" ref="B430">_xlfn.IFS(A430&gt;40,"Senior",A430&gt;30,"Adult",A430&gt;=18,"Teenager")</f>
        <v>Senior</v>
      </c>
      <c r="C430" t="s">
        <v>22</v>
      </c>
      <c r="D430">
        <f t="shared" si="6"/>
        <v>0</v>
      </c>
      <c r="E430" t="s">
        <v>23</v>
      </c>
      <c r="F430">
        <v>1</v>
      </c>
      <c r="G430" t="s">
        <v>20</v>
      </c>
      <c r="H430">
        <v>3</v>
      </c>
      <c r="I430">
        <v>2</v>
      </c>
      <c r="J430" t="s">
        <v>27</v>
      </c>
      <c r="K430">
        <v>4</v>
      </c>
      <c r="L430">
        <v>5070</v>
      </c>
      <c r="M430" t="str" cm="1">
        <f t="array" ref="M430">_xlfn.IFS(L430&lt;= 7000,"Low",L430&lt;=15000,"Medium",L430&lt;=20000,"High")</f>
        <v>Low</v>
      </c>
      <c r="N430" t="s">
        <v>22</v>
      </c>
      <c r="O430">
        <v>13</v>
      </c>
      <c r="P430">
        <v>3</v>
      </c>
      <c r="Q430">
        <v>3</v>
      </c>
      <c r="R430">
        <v>20</v>
      </c>
      <c r="S430">
        <v>3</v>
      </c>
      <c r="T430">
        <v>5</v>
      </c>
      <c r="U430">
        <v>0</v>
      </c>
    </row>
    <row r="431" spans="1:21" x14ac:dyDescent="0.35">
      <c r="A431">
        <v>46</v>
      </c>
      <c r="B431" t="str" cm="1">
        <f t="array" ref="B431">_xlfn.IFS(A431&gt;40,"Senior",A431&gt;30,"Adult",A431&gt;=18,"Teenager")</f>
        <v>Senior</v>
      </c>
      <c r="C431" t="s">
        <v>22</v>
      </c>
      <c r="D431">
        <f t="shared" si="6"/>
        <v>0</v>
      </c>
      <c r="E431" t="s">
        <v>23</v>
      </c>
      <c r="F431">
        <v>1</v>
      </c>
      <c r="G431" t="s">
        <v>24</v>
      </c>
      <c r="H431">
        <v>3</v>
      </c>
      <c r="I431">
        <v>4</v>
      </c>
      <c r="J431" t="s">
        <v>31</v>
      </c>
      <c r="K431">
        <v>3</v>
      </c>
      <c r="L431">
        <v>17861</v>
      </c>
      <c r="M431" t="str" cm="1">
        <f t="array" ref="M431">_xlfn.IFS(L431&lt;= 7000,"Low",L431&lt;=15000,"Medium",L431&lt;=20000,"High")</f>
        <v>High</v>
      </c>
      <c r="N431" t="s">
        <v>22</v>
      </c>
      <c r="O431">
        <v>13</v>
      </c>
      <c r="P431">
        <v>3</v>
      </c>
      <c r="Q431">
        <v>3</v>
      </c>
      <c r="R431">
        <v>26</v>
      </c>
      <c r="S431">
        <v>1</v>
      </c>
      <c r="T431">
        <v>3</v>
      </c>
      <c r="U431">
        <v>2</v>
      </c>
    </row>
    <row r="432" spans="1:21" x14ac:dyDescent="0.35">
      <c r="A432">
        <v>35</v>
      </c>
      <c r="B432" t="str" cm="1">
        <f t="array" ref="B432">_xlfn.IFS(A432&gt;40,"Senior",A432&gt;30,"Adult",A432&gt;=18,"Teenager")</f>
        <v>Adult</v>
      </c>
      <c r="C432" t="s">
        <v>22</v>
      </c>
      <c r="D432">
        <f t="shared" si="6"/>
        <v>0</v>
      </c>
      <c r="E432" t="s">
        <v>23</v>
      </c>
      <c r="F432">
        <v>4</v>
      </c>
      <c r="G432" t="s">
        <v>24</v>
      </c>
      <c r="H432">
        <v>1</v>
      </c>
      <c r="I432">
        <v>1</v>
      </c>
      <c r="J432" t="s">
        <v>26</v>
      </c>
      <c r="K432">
        <v>3</v>
      </c>
      <c r="L432">
        <v>4230</v>
      </c>
      <c r="M432" t="str" cm="1">
        <f t="array" ref="M432">_xlfn.IFS(L432&lt;= 7000,"Low",L432&lt;=15000,"Medium",L432&lt;=20000,"High")</f>
        <v>Low</v>
      </c>
      <c r="N432" t="s">
        <v>22</v>
      </c>
      <c r="O432">
        <v>15</v>
      </c>
      <c r="P432">
        <v>3</v>
      </c>
      <c r="Q432">
        <v>3</v>
      </c>
      <c r="R432">
        <v>6</v>
      </c>
      <c r="S432">
        <v>3</v>
      </c>
      <c r="T432">
        <v>5</v>
      </c>
      <c r="U432">
        <v>4</v>
      </c>
    </row>
    <row r="433" spans="1:21" x14ac:dyDescent="0.35">
      <c r="A433">
        <v>54</v>
      </c>
      <c r="B433" t="str" cm="1">
        <f t="array" ref="B433">_xlfn.IFS(A433&gt;40,"Senior",A433&gt;30,"Adult",A433&gt;=18,"Teenager")</f>
        <v>Senior</v>
      </c>
      <c r="C433" t="s">
        <v>22</v>
      </c>
      <c r="D433">
        <f t="shared" si="6"/>
        <v>0</v>
      </c>
      <c r="E433" t="s">
        <v>23</v>
      </c>
      <c r="F433">
        <v>3</v>
      </c>
      <c r="G433" t="s">
        <v>20</v>
      </c>
      <c r="H433">
        <v>3</v>
      </c>
      <c r="I433">
        <v>2</v>
      </c>
      <c r="J433" t="s">
        <v>26</v>
      </c>
      <c r="K433">
        <v>3</v>
      </c>
      <c r="L433">
        <v>3780</v>
      </c>
      <c r="M433" t="str" cm="1">
        <f t="array" ref="M433">_xlfn.IFS(L433&lt;= 7000,"Low",L433&lt;=15000,"Medium",L433&lt;=20000,"High")</f>
        <v>Low</v>
      </c>
      <c r="N433" t="s">
        <v>22</v>
      </c>
      <c r="O433">
        <v>11</v>
      </c>
      <c r="P433">
        <v>3</v>
      </c>
      <c r="Q433">
        <v>3</v>
      </c>
      <c r="R433">
        <v>19</v>
      </c>
      <c r="S433">
        <v>3</v>
      </c>
      <c r="T433">
        <v>1</v>
      </c>
      <c r="U433">
        <v>0</v>
      </c>
    </row>
    <row r="434" spans="1:21" x14ac:dyDescent="0.35">
      <c r="A434">
        <v>34</v>
      </c>
      <c r="B434" t="str" cm="1">
        <f t="array" ref="B434">_xlfn.IFS(A434&gt;40,"Senior",A434&gt;30,"Adult",A434&gt;=18,"Teenager")</f>
        <v>Adult</v>
      </c>
      <c r="C434" t="s">
        <v>22</v>
      </c>
      <c r="D434">
        <f t="shared" si="6"/>
        <v>0</v>
      </c>
      <c r="E434" t="s">
        <v>23</v>
      </c>
      <c r="F434">
        <v>4</v>
      </c>
      <c r="G434" t="s">
        <v>24</v>
      </c>
      <c r="H434">
        <v>2</v>
      </c>
      <c r="I434">
        <v>1</v>
      </c>
      <c r="J434" t="s">
        <v>25</v>
      </c>
      <c r="K434">
        <v>3</v>
      </c>
      <c r="L434">
        <v>2768</v>
      </c>
      <c r="M434" t="str" cm="1">
        <f t="array" ref="M434">_xlfn.IFS(L434&lt;= 7000,"Low",L434&lt;=15000,"Medium",L434&lt;=20000,"High")</f>
        <v>Low</v>
      </c>
      <c r="N434" t="s">
        <v>22</v>
      </c>
      <c r="O434">
        <v>12</v>
      </c>
      <c r="P434">
        <v>3</v>
      </c>
      <c r="Q434">
        <v>3</v>
      </c>
      <c r="R434">
        <v>14</v>
      </c>
      <c r="S434">
        <v>3</v>
      </c>
      <c r="T434">
        <v>7</v>
      </c>
      <c r="U434">
        <v>3</v>
      </c>
    </row>
    <row r="435" spans="1:21" x14ac:dyDescent="0.35">
      <c r="A435">
        <v>46</v>
      </c>
      <c r="B435" t="str" cm="1">
        <f t="array" ref="B435">_xlfn.IFS(A435&gt;40,"Senior",A435&gt;30,"Adult",A435&gt;=18,"Teenager")</f>
        <v>Senior</v>
      </c>
      <c r="C435" t="s">
        <v>22</v>
      </c>
      <c r="D435">
        <f t="shared" si="6"/>
        <v>0</v>
      </c>
      <c r="E435" t="s">
        <v>19</v>
      </c>
      <c r="F435">
        <v>3</v>
      </c>
      <c r="G435" t="s">
        <v>20</v>
      </c>
      <c r="H435">
        <v>2</v>
      </c>
      <c r="I435">
        <v>3</v>
      </c>
      <c r="J435" t="s">
        <v>21</v>
      </c>
      <c r="K435">
        <v>4</v>
      </c>
      <c r="L435">
        <v>9071</v>
      </c>
      <c r="M435" t="str" cm="1">
        <f t="array" ref="M435">_xlfn.IFS(L435&lt;= 7000,"Low",L435&lt;=15000,"Medium",L435&lt;=20000,"High")</f>
        <v>Medium</v>
      </c>
      <c r="N435" t="s">
        <v>18</v>
      </c>
      <c r="O435">
        <v>19</v>
      </c>
      <c r="P435">
        <v>3</v>
      </c>
      <c r="Q435">
        <v>3</v>
      </c>
      <c r="R435">
        <v>15</v>
      </c>
      <c r="S435">
        <v>3</v>
      </c>
      <c r="T435">
        <v>3</v>
      </c>
      <c r="U435">
        <v>2</v>
      </c>
    </row>
    <row r="436" spans="1:21" x14ac:dyDescent="0.35">
      <c r="A436">
        <v>31</v>
      </c>
      <c r="B436" t="str" cm="1">
        <f t="array" ref="B436">_xlfn.IFS(A436&gt;40,"Senior",A436&gt;30,"Adult",A436&gt;=18,"Teenager")</f>
        <v>Adult</v>
      </c>
      <c r="C436" t="s">
        <v>22</v>
      </c>
      <c r="D436">
        <f t="shared" si="6"/>
        <v>0</v>
      </c>
      <c r="E436" t="s">
        <v>23</v>
      </c>
      <c r="F436">
        <v>3</v>
      </c>
      <c r="G436" t="s">
        <v>24</v>
      </c>
      <c r="H436">
        <v>3</v>
      </c>
      <c r="I436">
        <v>3</v>
      </c>
      <c r="J436" t="s">
        <v>27</v>
      </c>
      <c r="K436">
        <v>2</v>
      </c>
      <c r="L436">
        <v>10648</v>
      </c>
      <c r="M436" t="str" cm="1">
        <f t="array" ref="M436">_xlfn.IFS(L436&lt;= 7000,"Low",L436&lt;=15000,"Medium",L436&lt;=20000,"High")</f>
        <v>Medium</v>
      </c>
      <c r="N436" t="s">
        <v>22</v>
      </c>
      <c r="O436">
        <v>25</v>
      </c>
      <c r="P436">
        <v>4</v>
      </c>
      <c r="Q436">
        <v>4</v>
      </c>
      <c r="R436">
        <v>13</v>
      </c>
      <c r="S436">
        <v>4</v>
      </c>
      <c r="T436">
        <v>13</v>
      </c>
      <c r="U436">
        <v>8</v>
      </c>
    </row>
    <row r="437" spans="1:21" x14ac:dyDescent="0.35">
      <c r="A437">
        <v>33</v>
      </c>
      <c r="B437" t="str" cm="1">
        <f t="array" ref="B437">_xlfn.IFS(A437&gt;40,"Senior",A437&gt;30,"Adult",A437&gt;=18,"Teenager")</f>
        <v>Adult</v>
      </c>
      <c r="C437" t="s">
        <v>18</v>
      </c>
      <c r="D437">
        <f t="shared" si="6"/>
        <v>1</v>
      </c>
      <c r="E437" t="s">
        <v>23</v>
      </c>
      <c r="F437">
        <v>2</v>
      </c>
      <c r="G437" t="s">
        <v>24</v>
      </c>
      <c r="H437">
        <v>3</v>
      </c>
      <c r="I437">
        <v>3</v>
      </c>
      <c r="J437" t="s">
        <v>29</v>
      </c>
      <c r="K437">
        <v>3</v>
      </c>
      <c r="L437">
        <v>13610</v>
      </c>
      <c r="M437" t="str" cm="1">
        <f t="array" ref="M437">_xlfn.IFS(L437&lt;= 7000,"Low",L437&lt;=15000,"Medium",L437&lt;=20000,"High")</f>
        <v>Medium</v>
      </c>
      <c r="N437" t="s">
        <v>18</v>
      </c>
      <c r="O437">
        <v>12</v>
      </c>
      <c r="P437">
        <v>3</v>
      </c>
      <c r="Q437">
        <v>4</v>
      </c>
      <c r="R437">
        <v>15</v>
      </c>
      <c r="S437">
        <v>4</v>
      </c>
      <c r="T437">
        <v>7</v>
      </c>
      <c r="U437">
        <v>6</v>
      </c>
    </row>
    <row r="438" spans="1:21" x14ac:dyDescent="0.35">
      <c r="A438">
        <v>33</v>
      </c>
      <c r="B438" t="str" cm="1">
        <f t="array" ref="B438">_xlfn.IFS(A438&gt;40,"Senior",A438&gt;30,"Adult",A438&gt;=18,"Teenager")</f>
        <v>Adult</v>
      </c>
      <c r="C438" t="s">
        <v>18</v>
      </c>
      <c r="D438">
        <f t="shared" si="6"/>
        <v>1</v>
      </c>
      <c r="E438" t="s">
        <v>23</v>
      </c>
      <c r="F438">
        <v>1</v>
      </c>
      <c r="G438" t="s">
        <v>24</v>
      </c>
      <c r="H438">
        <v>1</v>
      </c>
      <c r="I438">
        <v>1</v>
      </c>
      <c r="J438" t="s">
        <v>26</v>
      </c>
      <c r="K438">
        <v>4</v>
      </c>
      <c r="L438">
        <v>3408</v>
      </c>
      <c r="M438" t="str" cm="1">
        <f t="array" ref="M438">_xlfn.IFS(L438&lt;= 7000,"Low",L438&lt;=15000,"Medium",L438&lt;=20000,"High")</f>
        <v>Low</v>
      </c>
      <c r="N438" t="s">
        <v>22</v>
      </c>
      <c r="O438">
        <v>13</v>
      </c>
      <c r="P438">
        <v>3</v>
      </c>
      <c r="Q438">
        <v>1</v>
      </c>
      <c r="R438">
        <v>8</v>
      </c>
      <c r="S438">
        <v>3</v>
      </c>
      <c r="T438">
        <v>4</v>
      </c>
      <c r="U438">
        <v>3</v>
      </c>
    </row>
    <row r="439" spans="1:21" x14ac:dyDescent="0.35">
      <c r="A439">
        <v>30</v>
      </c>
      <c r="B439" t="str" cm="1">
        <f t="array" ref="B439">_xlfn.IFS(A439&gt;40,"Senior",A439&gt;30,"Adult",A439&gt;=18,"Teenager")</f>
        <v>Teenager</v>
      </c>
      <c r="C439" t="s">
        <v>22</v>
      </c>
      <c r="D439">
        <f t="shared" si="6"/>
        <v>0</v>
      </c>
      <c r="E439" t="s">
        <v>19</v>
      </c>
      <c r="F439">
        <v>4</v>
      </c>
      <c r="G439" t="s">
        <v>24</v>
      </c>
      <c r="H439">
        <v>3</v>
      </c>
      <c r="I439">
        <v>1</v>
      </c>
      <c r="J439" t="s">
        <v>30</v>
      </c>
      <c r="K439">
        <v>2</v>
      </c>
      <c r="L439">
        <v>2983</v>
      </c>
      <c r="M439" t="str" cm="1">
        <f t="array" ref="M439">_xlfn.IFS(L439&lt;= 7000,"Low",L439&lt;=15000,"Medium",L439&lt;=20000,"High")</f>
        <v>Low</v>
      </c>
      <c r="N439" t="s">
        <v>22</v>
      </c>
      <c r="O439">
        <v>14</v>
      </c>
      <c r="P439">
        <v>3</v>
      </c>
      <c r="Q439">
        <v>1</v>
      </c>
      <c r="R439">
        <v>4</v>
      </c>
      <c r="S439">
        <v>3</v>
      </c>
      <c r="T439">
        <v>3</v>
      </c>
      <c r="U439">
        <v>2</v>
      </c>
    </row>
    <row r="440" spans="1:21" x14ac:dyDescent="0.35">
      <c r="A440">
        <v>35</v>
      </c>
      <c r="B440" t="str" cm="1">
        <f t="array" ref="B440">_xlfn.IFS(A440&gt;40,"Senior",A440&gt;30,"Adult",A440&gt;=18,"Teenager")</f>
        <v>Adult</v>
      </c>
      <c r="C440" t="s">
        <v>22</v>
      </c>
      <c r="D440">
        <f t="shared" si="6"/>
        <v>0</v>
      </c>
      <c r="E440" t="s">
        <v>23</v>
      </c>
      <c r="F440">
        <v>4</v>
      </c>
      <c r="G440" t="s">
        <v>24</v>
      </c>
      <c r="H440">
        <v>3</v>
      </c>
      <c r="I440">
        <v>3</v>
      </c>
      <c r="J440" t="s">
        <v>28</v>
      </c>
      <c r="K440">
        <v>3</v>
      </c>
      <c r="L440">
        <v>7632</v>
      </c>
      <c r="M440" t="str" cm="1">
        <f t="array" ref="M440">_xlfn.IFS(L440&lt;= 7000,"Low",L440&lt;=15000,"Medium",L440&lt;=20000,"High")</f>
        <v>Medium</v>
      </c>
      <c r="N440" t="s">
        <v>18</v>
      </c>
      <c r="O440">
        <v>12</v>
      </c>
      <c r="P440">
        <v>3</v>
      </c>
      <c r="Q440">
        <v>3</v>
      </c>
      <c r="R440">
        <v>10</v>
      </c>
      <c r="S440">
        <v>3</v>
      </c>
      <c r="T440">
        <v>8</v>
      </c>
      <c r="U440">
        <v>7</v>
      </c>
    </row>
    <row r="441" spans="1:21" x14ac:dyDescent="0.35">
      <c r="A441">
        <v>31</v>
      </c>
      <c r="B441" t="str" cm="1">
        <f t="array" ref="B441">_xlfn.IFS(A441&gt;40,"Senior",A441&gt;30,"Adult",A441&gt;=18,"Teenager")</f>
        <v>Adult</v>
      </c>
      <c r="C441" t="s">
        <v>18</v>
      </c>
      <c r="D441">
        <f t="shared" si="6"/>
        <v>1</v>
      </c>
      <c r="E441" t="s">
        <v>23</v>
      </c>
      <c r="F441">
        <v>1</v>
      </c>
      <c r="G441" t="s">
        <v>24</v>
      </c>
      <c r="H441">
        <v>3</v>
      </c>
      <c r="I441">
        <v>3</v>
      </c>
      <c r="J441" t="s">
        <v>28</v>
      </c>
      <c r="K441">
        <v>3</v>
      </c>
      <c r="L441">
        <v>9824</v>
      </c>
      <c r="M441" t="str" cm="1">
        <f t="array" ref="M441">_xlfn.IFS(L441&lt;= 7000,"Low",L441&lt;=15000,"Medium",L441&lt;=20000,"High")</f>
        <v>Medium</v>
      </c>
      <c r="N441" t="s">
        <v>22</v>
      </c>
      <c r="O441">
        <v>12</v>
      </c>
      <c r="P441">
        <v>3</v>
      </c>
      <c r="Q441">
        <v>1</v>
      </c>
      <c r="R441">
        <v>12</v>
      </c>
      <c r="S441">
        <v>3</v>
      </c>
      <c r="T441">
        <v>1</v>
      </c>
      <c r="U441">
        <v>0</v>
      </c>
    </row>
    <row r="442" spans="1:21" x14ac:dyDescent="0.35">
      <c r="A442">
        <v>34</v>
      </c>
      <c r="B442" t="str" cm="1">
        <f t="array" ref="B442">_xlfn.IFS(A442&gt;40,"Senior",A442&gt;30,"Adult",A442&gt;=18,"Teenager")</f>
        <v>Adult</v>
      </c>
      <c r="C442" t="s">
        <v>18</v>
      </c>
      <c r="D442">
        <f t="shared" si="6"/>
        <v>1</v>
      </c>
      <c r="E442" t="s">
        <v>32</v>
      </c>
      <c r="F442">
        <v>2</v>
      </c>
      <c r="G442" t="s">
        <v>20</v>
      </c>
      <c r="H442">
        <v>3</v>
      </c>
      <c r="I442">
        <v>3</v>
      </c>
      <c r="J442" t="s">
        <v>32</v>
      </c>
      <c r="K442">
        <v>1</v>
      </c>
      <c r="L442">
        <v>9950</v>
      </c>
      <c r="M442" t="str" cm="1">
        <f t="array" ref="M442">_xlfn.IFS(L442&lt;= 7000,"Low",L442&lt;=15000,"Medium",L442&lt;=20000,"High")</f>
        <v>Medium</v>
      </c>
      <c r="N442" t="s">
        <v>18</v>
      </c>
      <c r="O442">
        <v>15</v>
      </c>
      <c r="P442">
        <v>3</v>
      </c>
      <c r="Q442">
        <v>3</v>
      </c>
      <c r="R442">
        <v>11</v>
      </c>
      <c r="S442">
        <v>3</v>
      </c>
      <c r="T442">
        <v>3</v>
      </c>
      <c r="U442">
        <v>2</v>
      </c>
    </row>
    <row r="443" spans="1:21" x14ac:dyDescent="0.35">
      <c r="A443">
        <v>42</v>
      </c>
      <c r="B443" t="str" cm="1">
        <f t="array" ref="B443">_xlfn.IFS(A443&gt;40,"Senior",A443&gt;30,"Adult",A443&gt;=18,"Teenager")</f>
        <v>Senior</v>
      </c>
      <c r="C443" t="s">
        <v>22</v>
      </c>
      <c r="D443">
        <f t="shared" si="6"/>
        <v>0</v>
      </c>
      <c r="E443" t="s">
        <v>23</v>
      </c>
      <c r="F443">
        <v>2</v>
      </c>
      <c r="G443" t="s">
        <v>24</v>
      </c>
      <c r="H443">
        <v>3</v>
      </c>
      <c r="I443">
        <v>1</v>
      </c>
      <c r="J443" t="s">
        <v>26</v>
      </c>
      <c r="K443">
        <v>3</v>
      </c>
      <c r="L443">
        <v>2093</v>
      </c>
      <c r="M443" t="str" cm="1">
        <f t="array" ref="M443">_xlfn.IFS(L443&lt;= 7000,"Low",L443&lt;=15000,"Medium",L443&lt;=20000,"High")</f>
        <v>Low</v>
      </c>
      <c r="N443" t="s">
        <v>22</v>
      </c>
      <c r="O443">
        <v>17</v>
      </c>
      <c r="P443">
        <v>3</v>
      </c>
      <c r="Q443">
        <v>4</v>
      </c>
      <c r="R443">
        <v>8</v>
      </c>
      <c r="S443">
        <v>3</v>
      </c>
      <c r="T443">
        <v>2</v>
      </c>
      <c r="U443">
        <v>2</v>
      </c>
    </row>
    <row r="444" spans="1:21" x14ac:dyDescent="0.35">
      <c r="A444">
        <v>36</v>
      </c>
      <c r="B444" t="str" cm="1">
        <f t="array" ref="B444">_xlfn.IFS(A444&gt;40,"Senior",A444&gt;30,"Adult",A444&gt;=18,"Teenager")</f>
        <v>Adult</v>
      </c>
      <c r="C444" t="s">
        <v>22</v>
      </c>
      <c r="D444">
        <f t="shared" si="6"/>
        <v>0</v>
      </c>
      <c r="E444" t="s">
        <v>19</v>
      </c>
      <c r="F444">
        <v>2</v>
      </c>
      <c r="G444" t="s">
        <v>24</v>
      </c>
      <c r="H444">
        <v>3</v>
      </c>
      <c r="I444">
        <v>3</v>
      </c>
      <c r="J444" t="s">
        <v>21</v>
      </c>
      <c r="K444">
        <v>4</v>
      </c>
      <c r="L444">
        <v>9980</v>
      </c>
      <c r="M444" t="str" cm="1">
        <f t="array" ref="M444">_xlfn.IFS(L444&lt;= 7000,"Low",L444&lt;=15000,"Medium",L444&lt;=20000,"High")</f>
        <v>Medium</v>
      </c>
      <c r="N444" t="s">
        <v>22</v>
      </c>
      <c r="O444">
        <v>14</v>
      </c>
      <c r="P444">
        <v>3</v>
      </c>
      <c r="Q444">
        <v>4</v>
      </c>
      <c r="R444">
        <v>10</v>
      </c>
      <c r="S444">
        <v>2</v>
      </c>
      <c r="T444">
        <v>10</v>
      </c>
      <c r="U444">
        <v>3</v>
      </c>
    </row>
    <row r="445" spans="1:21" x14ac:dyDescent="0.35">
      <c r="A445">
        <v>22</v>
      </c>
      <c r="B445" t="str" cm="1">
        <f t="array" ref="B445">_xlfn.IFS(A445&gt;40,"Senior",A445&gt;30,"Adult",A445&gt;=18,"Teenager")</f>
        <v>Teenager</v>
      </c>
      <c r="C445" t="s">
        <v>18</v>
      </c>
      <c r="D445">
        <f t="shared" si="6"/>
        <v>1</v>
      </c>
      <c r="E445" t="s">
        <v>23</v>
      </c>
      <c r="F445">
        <v>3</v>
      </c>
      <c r="G445" t="s">
        <v>24</v>
      </c>
      <c r="H445">
        <v>2</v>
      </c>
      <c r="I445">
        <v>1</v>
      </c>
      <c r="J445" t="s">
        <v>26</v>
      </c>
      <c r="K445">
        <v>3</v>
      </c>
      <c r="L445">
        <v>3894</v>
      </c>
      <c r="M445" t="str" cm="1">
        <f t="array" ref="M445">_xlfn.IFS(L445&lt;= 7000,"Low",L445&lt;=15000,"Medium",L445&lt;=20000,"High")</f>
        <v>Low</v>
      </c>
      <c r="N445" t="s">
        <v>22</v>
      </c>
      <c r="O445">
        <v>16</v>
      </c>
      <c r="P445">
        <v>3</v>
      </c>
      <c r="Q445">
        <v>3</v>
      </c>
      <c r="R445">
        <v>4</v>
      </c>
      <c r="S445">
        <v>3</v>
      </c>
      <c r="T445">
        <v>2</v>
      </c>
      <c r="U445">
        <v>2</v>
      </c>
    </row>
    <row r="446" spans="1:21" x14ac:dyDescent="0.35">
      <c r="A446">
        <v>48</v>
      </c>
      <c r="B446" t="str" cm="1">
        <f t="array" ref="B446">_xlfn.IFS(A446&gt;40,"Senior",A446&gt;30,"Adult",A446&gt;=18,"Teenager")</f>
        <v>Senior</v>
      </c>
      <c r="C446" t="s">
        <v>22</v>
      </c>
      <c r="D446">
        <f t="shared" si="6"/>
        <v>0</v>
      </c>
      <c r="E446" t="s">
        <v>19</v>
      </c>
      <c r="F446">
        <v>2</v>
      </c>
      <c r="G446" t="s">
        <v>20</v>
      </c>
      <c r="H446">
        <v>3</v>
      </c>
      <c r="I446">
        <v>2</v>
      </c>
      <c r="J446" t="s">
        <v>21</v>
      </c>
      <c r="K446">
        <v>4</v>
      </c>
      <c r="L446">
        <v>4051</v>
      </c>
      <c r="M446" t="str" cm="1">
        <f t="array" ref="M446">_xlfn.IFS(L446&lt;= 7000,"Low",L446&lt;=15000,"Medium",L446&lt;=20000,"High")</f>
        <v>Low</v>
      </c>
      <c r="N446" t="s">
        <v>22</v>
      </c>
      <c r="O446">
        <v>14</v>
      </c>
      <c r="P446">
        <v>3</v>
      </c>
      <c r="Q446">
        <v>1</v>
      </c>
      <c r="R446">
        <v>14</v>
      </c>
      <c r="S446">
        <v>3</v>
      </c>
      <c r="T446">
        <v>9</v>
      </c>
      <c r="U446">
        <v>7</v>
      </c>
    </row>
    <row r="447" spans="1:21" x14ac:dyDescent="0.35">
      <c r="A447">
        <v>55</v>
      </c>
      <c r="B447" t="str" cm="1">
        <f t="array" ref="B447">_xlfn.IFS(A447&gt;40,"Senior",A447&gt;30,"Adult",A447&gt;=18,"Teenager")</f>
        <v>Senior</v>
      </c>
      <c r="C447" t="s">
        <v>22</v>
      </c>
      <c r="D447">
        <f t="shared" si="6"/>
        <v>0</v>
      </c>
      <c r="E447" t="s">
        <v>19</v>
      </c>
      <c r="F447">
        <v>1</v>
      </c>
      <c r="G447" t="s">
        <v>20</v>
      </c>
      <c r="H447">
        <v>3</v>
      </c>
      <c r="I447">
        <v>4</v>
      </c>
      <c r="J447" t="s">
        <v>29</v>
      </c>
      <c r="K447">
        <v>2</v>
      </c>
      <c r="L447">
        <v>16835</v>
      </c>
      <c r="M447" t="str" cm="1">
        <f t="array" ref="M447">_xlfn.IFS(L447&lt;= 7000,"Low",L447&lt;=15000,"Medium",L447&lt;=20000,"High")</f>
        <v>High</v>
      </c>
      <c r="N447" t="s">
        <v>22</v>
      </c>
      <c r="O447">
        <v>23</v>
      </c>
      <c r="P447">
        <v>4</v>
      </c>
      <c r="Q447">
        <v>4</v>
      </c>
      <c r="R447">
        <v>37</v>
      </c>
      <c r="S447">
        <v>3</v>
      </c>
      <c r="T447">
        <v>10</v>
      </c>
      <c r="U447">
        <v>9</v>
      </c>
    </row>
    <row r="448" spans="1:21" x14ac:dyDescent="0.35">
      <c r="A448">
        <v>41</v>
      </c>
      <c r="B448" t="str" cm="1">
        <f t="array" ref="B448">_xlfn.IFS(A448&gt;40,"Senior",A448&gt;30,"Adult",A448&gt;=18,"Teenager")</f>
        <v>Senior</v>
      </c>
      <c r="C448" t="s">
        <v>22</v>
      </c>
      <c r="D448">
        <f t="shared" si="6"/>
        <v>0</v>
      </c>
      <c r="E448" t="s">
        <v>19</v>
      </c>
      <c r="F448">
        <v>4</v>
      </c>
      <c r="G448" t="s">
        <v>24</v>
      </c>
      <c r="H448">
        <v>3</v>
      </c>
      <c r="I448">
        <v>2</v>
      </c>
      <c r="J448" t="s">
        <v>21</v>
      </c>
      <c r="K448">
        <v>4</v>
      </c>
      <c r="L448">
        <v>6230</v>
      </c>
      <c r="M448" t="str" cm="1">
        <f t="array" ref="M448">_xlfn.IFS(L448&lt;= 7000,"Low",L448&lt;=15000,"Medium",L448&lt;=20000,"High")</f>
        <v>Low</v>
      </c>
      <c r="N448" t="s">
        <v>22</v>
      </c>
      <c r="O448">
        <v>14</v>
      </c>
      <c r="P448">
        <v>3</v>
      </c>
      <c r="Q448">
        <v>4</v>
      </c>
      <c r="R448">
        <v>16</v>
      </c>
      <c r="S448">
        <v>3</v>
      </c>
      <c r="T448">
        <v>14</v>
      </c>
      <c r="U448">
        <v>3</v>
      </c>
    </row>
    <row r="449" spans="1:21" x14ac:dyDescent="0.35">
      <c r="A449">
        <v>35</v>
      </c>
      <c r="B449" t="str" cm="1">
        <f t="array" ref="B449">_xlfn.IFS(A449&gt;40,"Senior",A449&gt;30,"Adult",A449&gt;=18,"Teenager")</f>
        <v>Adult</v>
      </c>
      <c r="C449" t="s">
        <v>22</v>
      </c>
      <c r="D449">
        <f t="shared" si="6"/>
        <v>0</v>
      </c>
      <c r="E449" t="s">
        <v>19</v>
      </c>
      <c r="F449">
        <v>2</v>
      </c>
      <c r="G449" t="s">
        <v>24</v>
      </c>
      <c r="H449">
        <v>3</v>
      </c>
      <c r="I449">
        <v>2</v>
      </c>
      <c r="J449" t="s">
        <v>21</v>
      </c>
      <c r="K449">
        <v>3</v>
      </c>
      <c r="L449">
        <v>4717</v>
      </c>
      <c r="M449" t="str" cm="1">
        <f t="array" ref="M449">_xlfn.IFS(L449&lt;= 7000,"Low",L449&lt;=15000,"Medium",L449&lt;=20000,"High")</f>
        <v>Low</v>
      </c>
      <c r="N449" t="s">
        <v>22</v>
      </c>
      <c r="O449">
        <v>11</v>
      </c>
      <c r="P449">
        <v>3</v>
      </c>
      <c r="Q449">
        <v>3</v>
      </c>
      <c r="R449">
        <v>15</v>
      </c>
      <c r="S449">
        <v>3</v>
      </c>
      <c r="T449">
        <v>11</v>
      </c>
      <c r="U449">
        <v>9</v>
      </c>
    </row>
    <row r="450" spans="1:21" x14ac:dyDescent="0.35">
      <c r="A450">
        <v>40</v>
      </c>
      <c r="B450" t="str" cm="1">
        <f t="array" ref="B450">_xlfn.IFS(A450&gt;40,"Senior",A450&gt;30,"Adult",A450&gt;=18,"Teenager")</f>
        <v>Adult</v>
      </c>
      <c r="C450" t="s">
        <v>22</v>
      </c>
      <c r="D450">
        <f t="shared" si="6"/>
        <v>0</v>
      </c>
      <c r="E450" t="s">
        <v>23</v>
      </c>
      <c r="F450">
        <v>2</v>
      </c>
      <c r="G450" t="s">
        <v>20</v>
      </c>
      <c r="H450">
        <v>3</v>
      </c>
      <c r="I450">
        <v>4</v>
      </c>
      <c r="J450" t="s">
        <v>27</v>
      </c>
      <c r="K450">
        <v>3</v>
      </c>
      <c r="L450">
        <v>13237</v>
      </c>
      <c r="M450" t="str" cm="1">
        <f t="array" ref="M450">_xlfn.IFS(L450&lt;= 7000,"Low",L450&lt;=15000,"Medium",L450&lt;=20000,"High")</f>
        <v>Medium</v>
      </c>
      <c r="N450" t="s">
        <v>22</v>
      </c>
      <c r="O450">
        <v>15</v>
      </c>
      <c r="P450">
        <v>3</v>
      </c>
      <c r="Q450">
        <v>3</v>
      </c>
      <c r="R450">
        <v>22</v>
      </c>
      <c r="S450">
        <v>3</v>
      </c>
      <c r="T450">
        <v>20</v>
      </c>
      <c r="U450">
        <v>6</v>
      </c>
    </row>
    <row r="451" spans="1:21" x14ac:dyDescent="0.35">
      <c r="A451">
        <v>39</v>
      </c>
      <c r="B451" t="str" cm="1">
        <f t="array" ref="B451">_xlfn.IFS(A451&gt;40,"Senior",A451&gt;30,"Adult",A451&gt;=18,"Teenager")</f>
        <v>Adult</v>
      </c>
      <c r="C451" t="s">
        <v>22</v>
      </c>
      <c r="D451">
        <f t="shared" ref="D451:D514" si="7">IF(C451="Yes",1,0)</f>
        <v>0</v>
      </c>
      <c r="E451" t="s">
        <v>23</v>
      </c>
      <c r="F451">
        <v>3</v>
      </c>
      <c r="G451" t="s">
        <v>20</v>
      </c>
      <c r="H451">
        <v>3</v>
      </c>
      <c r="I451">
        <v>1</v>
      </c>
      <c r="J451" t="s">
        <v>26</v>
      </c>
      <c r="K451">
        <v>3</v>
      </c>
      <c r="L451">
        <v>3755</v>
      </c>
      <c r="M451" t="str" cm="1">
        <f t="array" ref="M451">_xlfn.IFS(L451&lt;= 7000,"Low",L451&lt;=15000,"Medium",L451&lt;=20000,"High")</f>
        <v>Low</v>
      </c>
      <c r="N451" t="s">
        <v>22</v>
      </c>
      <c r="O451">
        <v>11</v>
      </c>
      <c r="P451">
        <v>3</v>
      </c>
      <c r="Q451">
        <v>1</v>
      </c>
      <c r="R451">
        <v>8</v>
      </c>
      <c r="S451">
        <v>3</v>
      </c>
      <c r="T451">
        <v>8</v>
      </c>
      <c r="U451">
        <v>3</v>
      </c>
    </row>
    <row r="452" spans="1:21" x14ac:dyDescent="0.35">
      <c r="A452">
        <v>31</v>
      </c>
      <c r="B452" t="str" cm="1">
        <f t="array" ref="B452">_xlfn.IFS(A452&gt;40,"Senior",A452&gt;30,"Adult",A452&gt;=18,"Teenager")</f>
        <v>Adult</v>
      </c>
      <c r="C452" t="s">
        <v>22</v>
      </c>
      <c r="D452">
        <f t="shared" si="7"/>
        <v>0</v>
      </c>
      <c r="E452" t="s">
        <v>19</v>
      </c>
      <c r="F452">
        <v>2</v>
      </c>
      <c r="G452" t="s">
        <v>24</v>
      </c>
      <c r="H452">
        <v>3</v>
      </c>
      <c r="I452">
        <v>2</v>
      </c>
      <c r="J452" t="s">
        <v>21</v>
      </c>
      <c r="K452">
        <v>4</v>
      </c>
      <c r="L452">
        <v>6582</v>
      </c>
      <c r="M452" t="str" cm="1">
        <f t="array" ref="M452">_xlfn.IFS(L452&lt;= 7000,"Low",L452&lt;=15000,"Medium",L452&lt;=20000,"High")</f>
        <v>Low</v>
      </c>
      <c r="N452" t="s">
        <v>18</v>
      </c>
      <c r="O452">
        <v>13</v>
      </c>
      <c r="P452">
        <v>3</v>
      </c>
      <c r="Q452">
        <v>3</v>
      </c>
      <c r="R452">
        <v>10</v>
      </c>
      <c r="S452">
        <v>4</v>
      </c>
      <c r="T452">
        <v>6</v>
      </c>
      <c r="U452">
        <v>5</v>
      </c>
    </row>
    <row r="453" spans="1:21" x14ac:dyDescent="0.35">
      <c r="A453">
        <v>42</v>
      </c>
      <c r="B453" t="str" cm="1">
        <f t="array" ref="B453">_xlfn.IFS(A453&gt;40,"Senior",A453&gt;30,"Adult",A453&gt;=18,"Teenager")</f>
        <v>Senior</v>
      </c>
      <c r="C453" t="s">
        <v>22</v>
      </c>
      <c r="D453">
        <f t="shared" si="7"/>
        <v>0</v>
      </c>
      <c r="E453" t="s">
        <v>23</v>
      </c>
      <c r="F453">
        <v>4</v>
      </c>
      <c r="G453" t="s">
        <v>24</v>
      </c>
      <c r="H453">
        <v>3</v>
      </c>
      <c r="I453">
        <v>3</v>
      </c>
      <c r="J453" t="s">
        <v>27</v>
      </c>
      <c r="K453">
        <v>1</v>
      </c>
      <c r="L453">
        <v>7406</v>
      </c>
      <c r="M453" t="str" cm="1">
        <f t="array" ref="M453">_xlfn.IFS(L453&lt;= 7000,"Low",L453&lt;=15000,"Medium",L453&lt;=20000,"High")</f>
        <v>Medium</v>
      </c>
      <c r="N453" t="s">
        <v>18</v>
      </c>
      <c r="O453">
        <v>21</v>
      </c>
      <c r="P453">
        <v>4</v>
      </c>
      <c r="Q453">
        <v>4</v>
      </c>
      <c r="R453">
        <v>10</v>
      </c>
      <c r="S453">
        <v>2</v>
      </c>
      <c r="T453">
        <v>10</v>
      </c>
      <c r="U453">
        <v>9</v>
      </c>
    </row>
    <row r="454" spans="1:21" x14ac:dyDescent="0.35">
      <c r="A454">
        <v>45</v>
      </c>
      <c r="B454" t="str" cm="1">
        <f t="array" ref="B454">_xlfn.IFS(A454&gt;40,"Senior",A454&gt;30,"Adult",A454&gt;=18,"Teenager")</f>
        <v>Senior</v>
      </c>
      <c r="C454" t="s">
        <v>22</v>
      </c>
      <c r="D454">
        <f t="shared" si="7"/>
        <v>0</v>
      </c>
      <c r="E454" t="s">
        <v>19</v>
      </c>
      <c r="F454">
        <v>4</v>
      </c>
      <c r="G454" t="s">
        <v>24</v>
      </c>
      <c r="H454">
        <v>3</v>
      </c>
      <c r="I454">
        <v>2</v>
      </c>
      <c r="J454" t="s">
        <v>21</v>
      </c>
      <c r="K454">
        <v>2</v>
      </c>
      <c r="L454">
        <v>4805</v>
      </c>
      <c r="M454" t="str" cm="1">
        <f t="array" ref="M454">_xlfn.IFS(L454&lt;= 7000,"Low",L454&lt;=15000,"Medium",L454&lt;=20000,"High")</f>
        <v>Low</v>
      </c>
      <c r="N454" t="s">
        <v>22</v>
      </c>
      <c r="O454">
        <v>19</v>
      </c>
      <c r="P454">
        <v>3</v>
      </c>
      <c r="Q454">
        <v>2</v>
      </c>
      <c r="R454">
        <v>9</v>
      </c>
      <c r="S454">
        <v>4</v>
      </c>
      <c r="T454">
        <v>8</v>
      </c>
      <c r="U454">
        <v>7</v>
      </c>
    </row>
    <row r="455" spans="1:21" x14ac:dyDescent="0.35">
      <c r="A455">
        <v>26</v>
      </c>
      <c r="B455" t="str" cm="1">
        <f t="array" ref="B455">_xlfn.IFS(A455&gt;40,"Senior",A455&gt;30,"Adult",A455&gt;=18,"Teenager")</f>
        <v>Teenager</v>
      </c>
      <c r="C455" t="s">
        <v>18</v>
      </c>
      <c r="D455">
        <f t="shared" si="7"/>
        <v>1</v>
      </c>
      <c r="E455" t="s">
        <v>32</v>
      </c>
      <c r="F455">
        <v>2</v>
      </c>
      <c r="G455" t="s">
        <v>20</v>
      </c>
      <c r="H455">
        <v>3</v>
      </c>
      <c r="I455">
        <v>1</v>
      </c>
      <c r="J455" t="s">
        <v>32</v>
      </c>
      <c r="K455">
        <v>3</v>
      </c>
      <c r="L455">
        <v>2741</v>
      </c>
      <c r="M455" t="str" cm="1">
        <f t="array" ref="M455">_xlfn.IFS(L455&lt;= 7000,"Low",L455&lt;=15000,"Medium",L455&lt;=20000,"High")</f>
        <v>Low</v>
      </c>
      <c r="N455" t="s">
        <v>18</v>
      </c>
      <c r="O455">
        <v>11</v>
      </c>
      <c r="P455">
        <v>3</v>
      </c>
      <c r="Q455">
        <v>2</v>
      </c>
      <c r="R455">
        <v>8</v>
      </c>
      <c r="S455">
        <v>2</v>
      </c>
      <c r="T455">
        <v>7</v>
      </c>
      <c r="U455">
        <v>7</v>
      </c>
    </row>
    <row r="456" spans="1:21" x14ac:dyDescent="0.35">
      <c r="A456">
        <v>29</v>
      </c>
      <c r="B456" t="str" cm="1">
        <f t="array" ref="B456">_xlfn.IFS(A456&gt;40,"Senior",A456&gt;30,"Adult",A456&gt;=18,"Teenager")</f>
        <v>Teenager</v>
      </c>
      <c r="C456" t="s">
        <v>22</v>
      </c>
      <c r="D456">
        <f t="shared" si="7"/>
        <v>0</v>
      </c>
      <c r="E456" t="s">
        <v>23</v>
      </c>
      <c r="F456">
        <v>4</v>
      </c>
      <c r="G456" t="s">
        <v>24</v>
      </c>
      <c r="H456">
        <v>3</v>
      </c>
      <c r="I456">
        <v>2</v>
      </c>
      <c r="J456" t="s">
        <v>27</v>
      </c>
      <c r="K456">
        <v>4</v>
      </c>
      <c r="L456">
        <v>4262</v>
      </c>
      <c r="M456" t="str" cm="1">
        <f t="array" ref="M456">_xlfn.IFS(L456&lt;= 7000,"Low",L456&lt;=15000,"Medium",L456&lt;=20000,"High")</f>
        <v>Low</v>
      </c>
      <c r="N456" t="s">
        <v>22</v>
      </c>
      <c r="O456">
        <v>12</v>
      </c>
      <c r="P456">
        <v>3</v>
      </c>
      <c r="Q456">
        <v>2</v>
      </c>
      <c r="R456">
        <v>8</v>
      </c>
      <c r="S456">
        <v>4</v>
      </c>
      <c r="T456">
        <v>3</v>
      </c>
      <c r="U456">
        <v>2</v>
      </c>
    </row>
    <row r="457" spans="1:21" x14ac:dyDescent="0.35">
      <c r="A457">
        <v>33</v>
      </c>
      <c r="B457" t="str" cm="1">
        <f t="array" ref="B457">_xlfn.IFS(A457&gt;40,"Senior",A457&gt;30,"Adult",A457&gt;=18,"Teenager")</f>
        <v>Adult</v>
      </c>
      <c r="C457" t="s">
        <v>22</v>
      </c>
      <c r="D457">
        <f t="shared" si="7"/>
        <v>0</v>
      </c>
      <c r="E457" t="s">
        <v>23</v>
      </c>
      <c r="F457">
        <v>1</v>
      </c>
      <c r="G457" t="s">
        <v>20</v>
      </c>
      <c r="H457">
        <v>4</v>
      </c>
      <c r="I457">
        <v>4</v>
      </c>
      <c r="J457" t="s">
        <v>31</v>
      </c>
      <c r="K457">
        <v>3</v>
      </c>
      <c r="L457">
        <v>16184</v>
      </c>
      <c r="M457" t="str" cm="1">
        <f t="array" ref="M457">_xlfn.IFS(L457&lt;= 7000,"Low",L457&lt;=15000,"Medium",L457&lt;=20000,"High")</f>
        <v>High</v>
      </c>
      <c r="N457" t="s">
        <v>22</v>
      </c>
      <c r="O457">
        <v>19</v>
      </c>
      <c r="P457">
        <v>3</v>
      </c>
      <c r="Q457">
        <v>3</v>
      </c>
      <c r="R457">
        <v>10</v>
      </c>
      <c r="S457">
        <v>3</v>
      </c>
      <c r="T457">
        <v>6</v>
      </c>
      <c r="U457">
        <v>1</v>
      </c>
    </row>
    <row r="458" spans="1:21" x14ac:dyDescent="0.35">
      <c r="A458">
        <v>31</v>
      </c>
      <c r="B458" t="str" cm="1">
        <f t="array" ref="B458">_xlfn.IFS(A458&gt;40,"Senior",A458&gt;30,"Adult",A458&gt;=18,"Teenager")</f>
        <v>Adult</v>
      </c>
      <c r="C458" t="s">
        <v>22</v>
      </c>
      <c r="D458">
        <f t="shared" si="7"/>
        <v>0</v>
      </c>
      <c r="E458" t="s">
        <v>19</v>
      </c>
      <c r="F458">
        <v>3</v>
      </c>
      <c r="G458" t="s">
        <v>24</v>
      </c>
      <c r="H458">
        <v>2</v>
      </c>
      <c r="I458">
        <v>3</v>
      </c>
      <c r="J458" t="s">
        <v>29</v>
      </c>
      <c r="K458">
        <v>4</v>
      </c>
      <c r="L458">
        <v>11557</v>
      </c>
      <c r="M458" t="str" cm="1">
        <f t="array" ref="M458">_xlfn.IFS(L458&lt;= 7000,"Low",L458&lt;=15000,"Medium",L458&lt;=20000,"High")</f>
        <v>Medium</v>
      </c>
      <c r="N458" t="s">
        <v>22</v>
      </c>
      <c r="O458">
        <v>21</v>
      </c>
      <c r="P458">
        <v>4</v>
      </c>
      <c r="Q458">
        <v>3</v>
      </c>
      <c r="R458">
        <v>10</v>
      </c>
      <c r="S458">
        <v>2</v>
      </c>
      <c r="T458">
        <v>5</v>
      </c>
      <c r="U458">
        <v>4</v>
      </c>
    </row>
    <row r="459" spans="1:21" x14ac:dyDescent="0.35">
      <c r="A459">
        <v>18</v>
      </c>
      <c r="B459" t="str" cm="1">
        <f t="array" ref="B459">_xlfn.IFS(A459&gt;40,"Senior",A459&gt;30,"Adult",A459&gt;=18,"Teenager")</f>
        <v>Teenager</v>
      </c>
      <c r="C459" t="s">
        <v>18</v>
      </c>
      <c r="D459">
        <f t="shared" si="7"/>
        <v>1</v>
      </c>
      <c r="E459" t="s">
        <v>19</v>
      </c>
      <c r="F459">
        <v>2</v>
      </c>
      <c r="G459" t="s">
        <v>24</v>
      </c>
      <c r="H459">
        <v>3</v>
      </c>
      <c r="I459">
        <v>1</v>
      </c>
      <c r="J459" t="s">
        <v>30</v>
      </c>
      <c r="K459">
        <v>2</v>
      </c>
      <c r="L459">
        <v>1878</v>
      </c>
      <c r="M459" t="str" cm="1">
        <f t="array" ref="M459">_xlfn.IFS(L459&lt;= 7000,"Low",L459&lt;=15000,"Medium",L459&lt;=20000,"High")</f>
        <v>Low</v>
      </c>
      <c r="N459" t="s">
        <v>18</v>
      </c>
      <c r="O459">
        <v>14</v>
      </c>
      <c r="P459">
        <v>3</v>
      </c>
      <c r="Q459">
        <v>4</v>
      </c>
      <c r="R459">
        <v>0</v>
      </c>
      <c r="S459">
        <v>3</v>
      </c>
      <c r="T459">
        <v>0</v>
      </c>
      <c r="U459">
        <v>0</v>
      </c>
    </row>
    <row r="460" spans="1:21" x14ac:dyDescent="0.35">
      <c r="A460">
        <v>40</v>
      </c>
      <c r="B460" t="str" cm="1">
        <f t="array" ref="B460">_xlfn.IFS(A460&gt;40,"Senior",A460&gt;30,"Adult",A460&gt;=18,"Teenager")</f>
        <v>Adult</v>
      </c>
      <c r="C460" t="s">
        <v>22</v>
      </c>
      <c r="D460">
        <f t="shared" si="7"/>
        <v>0</v>
      </c>
      <c r="E460" t="s">
        <v>19</v>
      </c>
      <c r="F460">
        <v>3</v>
      </c>
      <c r="G460" t="s">
        <v>24</v>
      </c>
      <c r="H460">
        <v>1</v>
      </c>
      <c r="I460">
        <v>3</v>
      </c>
      <c r="J460" t="s">
        <v>21</v>
      </c>
      <c r="K460">
        <v>1</v>
      </c>
      <c r="L460">
        <v>10932</v>
      </c>
      <c r="M460" t="str" cm="1">
        <f t="array" ref="M460">_xlfn.IFS(L460&lt;= 7000,"Low",L460&lt;=15000,"Medium",L460&lt;=20000,"High")</f>
        <v>Medium</v>
      </c>
      <c r="N460" t="s">
        <v>22</v>
      </c>
      <c r="O460">
        <v>15</v>
      </c>
      <c r="P460">
        <v>3</v>
      </c>
      <c r="Q460">
        <v>3</v>
      </c>
      <c r="R460">
        <v>20</v>
      </c>
      <c r="S460">
        <v>3</v>
      </c>
      <c r="T460">
        <v>1</v>
      </c>
      <c r="U460">
        <v>0</v>
      </c>
    </row>
    <row r="461" spans="1:21" x14ac:dyDescent="0.35">
      <c r="A461">
        <v>41</v>
      </c>
      <c r="B461" t="str" cm="1">
        <f t="array" ref="B461">_xlfn.IFS(A461&gt;40,"Senior",A461&gt;30,"Adult",A461&gt;=18,"Teenager")</f>
        <v>Senior</v>
      </c>
      <c r="C461" t="s">
        <v>22</v>
      </c>
      <c r="D461">
        <f t="shared" si="7"/>
        <v>0</v>
      </c>
      <c r="E461" t="s">
        <v>23</v>
      </c>
      <c r="F461">
        <v>1</v>
      </c>
      <c r="G461" t="s">
        <v>20</v>
      </c>
      <c r="H461">
        <v>2</v>
      </c>
      <c r="I461">
        <v>2</v>
      </c>
      <c r="J461" t="s">
        <v>28</v>
      </c>
      <c r="K461">
        <v>3</v>
      </c>
      <c r="L461">
        <v>6811</v>
      </c>
      <c r="M461" t="str" cm="1">
        <f t="array" ref="M461">_xlfn.IFS(L461&lt;= 7000,"Low",L461&lt;=15000,"Medium",L461&lt;=20000,"High")</f>
        <v>Low</v>
      </c>
      <c r="N461" t="s">
        <v>18</v>
      </c>
      <c r="O461">
        <v>17</v>
      </c>
      <c r="P461">
        <v>3</v>
      </c>
      <c r="Q461">
        <v>1</v>
      </c>
      <c r="R461">
        <v>10</v>
      </c>
      <c r="S461">
        <v>3</v>
      </c>
      <c r="T461">
        <v>8</v>
      </c>
      <c r="U461">
        <v>7</v>
      </c>
    </row>
    <row r="462" spans="1:21" x14ac:dyDescent="0.35">
      <c r="A462">
        <v>26</v>
      </c>
      <c r="B462" t="str" cm="1">
        <f t="array" ref="B462">_xlfn.IFS(A462&gt;40,"Senior",A462&gt;30,"Adult",A462&gt;=18,"Teenager")</f>
        <v>Teenager</v>
      </c>
      <c r="C462" t="s">
        <v>22</v>
      </c>
      <c r="D462">
        <f t="shared" si="7"/>
        <v>0</v>
      </c>
      <c r="E462" t="s">
        <v>19</v>
      </c>
      <c r="F462">
        <v>1</v>
      </c>
      <c r="G462" t="s">
        <v>24</v>
      </c>
      <c r="H462">
        <v>3</v>
      </c>
      <c r="I462">
        <v>2</v>
      </c>
      <c r="J462" t="s">
        <v>21</v>
      </c>
      <c r="K462">
        <v>3</v>
      </c>
      <c r="L462">
        <v>4306</v>
      </c>
      <c r="M462" t="str" cm="1">
        <f t="array" ref="M462">_xlfn.IFS(L462&lt;= 7000,"Low",L462&lt;=15000,"Medium",L462&lt;=20000,"High")</f>
        <v>Low</v>
      </c>
      <c r="N462" t="s">
        <v>22</v>
      </c>
      <c r="O462">
        <v>12</v>
      </c>
      <c r="P462">
        <v>3</v>
      </c>
      <c r="Q462">
        <v>1</v>
      </c>
      <c r="R462">
        <v>8</v>
      </c>
      <c r="S462">
        <v>3</v>
      </c>
      <c r="T462">
        <v>0</v>
      </c>
      <c r="U462">
        <v>0</v>
      </c>
    </row>
    <row r="463" spans="1:21" x14ac:dyDescent="0.35">
      <c r="A463">
        <v>35</v>
      </c>
      <c r="B463" t="str" cm="1">
        <f t="array" ref="B463">_xlfn.IFS(A463&gt;40,"Senior",A463&gt;30,"Adult",A463&gt;=18,"Teenager")</f>
        <v>Adult</v>
      </c>
      <c r="C463" t="s">
        <v>22</v>
      </c>
      <c r="D463">
        <f t="shared" si="7"/>
        <v>0</v>
      </c>
      <c r="E463" t="s">
        <v>19</v>
      </c>
      <c r="F463">
        <v>1</v>
      </c>
      <c r="G463" t="s">
        <v>20</v>
      </c>
      <c r="H463">
        <v>3</v>
      </c>
      <c r="I463">
        <v>2</v>
      </c>
      <c r="J463" t="s">
        <v>21</v>
      </c>
      <c r="K463">
        <v>3</v>
      </c>
      <c r="L463">
        <v>4859</v>
      </c>
      <c r="M463" t="str" cm="1">
        <f t="array" ref="M463">_xlfn.IFS(L463&lt;= 7000,"Low",L463&lt;=15000,"Medium",L463&lt;=20000,"High")</f>
        <v>Low</v>
      </c>
      <c r="N463" t="s">
        <v>22</v>
      </c>
      <c r="O463">
        <v>16</v>
      </c>
      <c r="P463">
        <v>3</v>
      </c>
      <c r="Q463">
        <v>4</v>
      </c>
      <c r="R463">
        <v>5</v>
      </c>
      <c r="S463">
        <v>3</v>
      </c>
      <c r="T463">
        <v>5</v>
      </c>
      <c r="U463">
        <v>4</v>
      </c>
    </row>
    <row r="464" spans="1:21" x14ac:dyDescent="0.35">
      <c r="A464">
        <v>34</v>
      </c>
      <c r="B464" t="str" cm="1">
        <f t="array" ref="B464">_xlfn.IFS(A464&gt;40,"Senior",A464&gt;30,"Adult",A464&gt;=18,"Teenager")</f>
        <v>Adult</v>
      </c>
      <c r="C464" t="s">
        <v>22</v>
      </c>
      <c r="D464">
        <f t="shared" si="7"/>
        <v>0</v>
      </c>
      <c r="E464" t="s">
        <v>19</v>
      </c>
      <c r="F464">
        <v>4</v>
      </c>
      <c r="G464" t="s">
        <v>24</v>
      </c>
      <c r="H464">
        <v>4</v>
      </c>
      <c r="I464">
        <v>2</v>
      </c>
      <c r="J464" t="s">
        <v>21</v>
      </c>
      <c r="K464">
        <v>4</v>
      </c>
      <c r="L464">
        <v>5337</v>
      </c>
      <c r="M464" t="str" cm="1">
        <f t="array" ref="M464">_xlfn.IFS(L464&lt;= 7000,"Low",L464&lt;=15000,"Medium",L464&lt;=20000,"High")</f>
        <v>Low</v>
      </c>
      <c r="N464" t="s">
        <v>22</v>
      </c>
      <c r="O464">
        <v>12</v>
      </c>
      <c r="P464">
        <v>3</v>
      </c>
      <c r="Q464">
        <v>4</v>
      </c>
      <c r="R464">
        <v>10</v>
      </c>
      <c r="S464">
        <v>3</v>
      </c>
      <c r="T464">
        <v>10</v>
      </c>
      <c r="U464">
        <v>7</v>
      </c>
    </row>
    <row r="465" spans="1:21" x14ac:dyDescent="0.35">
      <c r="A465">
        <v>26</v>
      </c>
      <c r="B465" t="str" cm="1">
        <f t="array" ref="B465">_xlfn.IFS(A465&gt;40,"Senior",A465&gt;30,"Adult",A465&gt;=18,"Teenager")</f>
        <v>Teenager</v>
      </c>
      <c r="C465" t="s">
        <v>18</v>
      </c>
      <c r="D465">
        <f t="shared" si="7"/>
        <v>1</v>
      </c>
      <c r="E465" t="s">
        <v>23</v>
      </c>
      <c r="F465">
        <v>3</v>
      </c>
      <c r="G465" t="s">
        <v>24</v>
      </c>
      <c r="H465">
        <v>1</v>
      </c>
      <c r="I465">
        <v>1</v>
      </c>
      <c r="J465" t="s">
        <v>26</v>
      </c>
      <c r="K465">
        <v>4</v>
      </c>
      <c r="L465">
        <v>2340</v>
      </c>
      <c r="M465" t="str" cm="1">
        <f t="array" ref="M465">_xlfn.IFS(L465&lt;= 7000,"Low",L465&lt;=15000,"Medium",L465&lt;=20000,"High")</f>
        <v>Low</v>
      </c>
      <c r="N465" t="s">
        <v>18</v>
      </c>
      <c r="O465">
        <v>18</v>
      </c>
      <c r="P465">
        <v>3</v>
      </c>
      <c r="Q465">
        <v>2</v>
      </c>
      <c r="R465">
        <v>1</v>
      </c>
      <c r="S465">
        <v>1</v>
      </c>
      <c r="T465">
        <v>1</v>
      </c>
      <c r="U465">
        <v>0</v>
      </c>
    </row>
    <row r="466" spans="1:21" x14ac:dyDescent="0.35">
      <c r="A466">
        <v>37</v>
      </c>
      <c r="B466" t="str" cm="1">
        <f t="array" ref="B466">_xlfn.IFS(A466&gt;40,"Senior",A466&gt;30,"Adult",A466&gt;=18,"Teenager")</f>
        <v>Adult</v>
      </c>
      <c r="C466" t="s">
        <v>22</v>
      </c>
      <c r="D466">
        <f t="shared" si="7"/>
        <v>0</v>
      </c>
      <c r="E466" t="s">
        <v>23</v>
      </c>
      <c r="F466">
        <v>2</v>
      </c>
      <c r="G466" t="s">
        <v>20</v>
      </c>
      <c r="H466">
        <v>3</v>
      </c>
      <c r="I466">
        <v>3</v>
      </c>
      <c r="J466" t="s">
        <v>27</v>
      </c>
      <c r="K466">
        <v>4</v>
      </c>
      <c r="L466">
        <v>7491</v>
      </c>
      <c r="M466" t="str" cm="1">
        <f t="array" ref="M466">_xlfn.IFS(L466&lt;= 7000,"Low",L466&lt;=15000,"Medium",L466&lt;=20000,"High")</f>
        <v>Medium</v>
      </c>
      <c r="N466" t="s">
        <v>22</v>
      </c>
      <c r="O466">
        <v>17</v>
      </c>
      <c r="P466">
        <v>3</v>
      </c>
      <c r="Q466">
        <v>4</v>
      </c>
      <c r="R466">
        <v>12</v>
      </c>
      <c r="S466">
        <v>4</v>
      </c>
      <c r="T466">
        <v>6</v>
      </c>
      <c r="U466">
        <v>5</v>
      </c>
    </row>
    <row r="467" spans="1:21" x14ac:dyDescent="0.35">
      <c r="A467">
        <v>46</v>
      </c>
      <c r="B467" t="str" cm="1">
        <f t="array" ref="B467">_xlfn.IFS(A467&gt;40,"Senior",A467&gt;30,"Adult",A467&gt;=18,"Teenager")</f>
        <v>Senior</v>
      </c>
      <c r="C467" t="s">
        <v>22</v>
      </c>
      <c r="D467">
        <f t="shared" si="7"/>
        <v>0</v>
      </c>
      <c r="E467" t="s">
        <v>23</v>
      </c>
      <c r="F467">
        <v>1</v>
      </c>
      <c r="G467" t="s">
        <v>20</v>
      </c>
      <c r="H467">
        <v>3</v>
      </c>
      <c r="I467">
        <v>3</v>
      </c>
      <c r="J467" t="s">
        <v>28</v>
      </c>
      <c r="K467">
        <v>3</v>
      </c>
      <c r="L467">
        <v>10527</v>
      </c>
      <c r="M467" t="str" cm="1">
        <f t="array" ref="M467">_xlfn.IFS(L467&lt;= 7000,"Low",L467&lt;=15000,"Medium",L467&lt;=20000,"High")</f>
        <v>Medium</v>
      </c>
      <c r="N467" t="s">
        <v>22</v>
      </c>
      <c r="O467">
        <v>11</v>
      </c>
      <c r="P467">
        <v>3</v>
      </c>
      <c r="Q467">
        <v>4</v>
      </c>
      <c r="R467">
        <v>28</v>
      </c>
      <c r="S467">
        <v>2</v>
      </c>
      <c r="T467">
        <v>2</v>
      </c>
      <c r="U467">
        <v>2</v>
      </c>
    </row>
    <row r="468" spans="1:21" x14ac:dyDescent="0.35">
      <c r="A468">
        <v>41</v>
      </c>
      <c r="B468" t="str" cm="1">
        <f t="array" ref="B468">_xlfn.IFS(A468&gt;40,"Senior",A468&gt;30,"Adult",A468&gt;=18,"Teenager")</f>
        <v>Senior</v>
      </c>
      <c r="C468" t="s">
        <v>22</v>
      </c>
      <c r="D468">
        <f t="shared" si="7"/>
        <v>0</v>
      </c>
      <c r="E468" t="s">
        <v>19</v>
      </c>
      <c r="F468">
        <v>2</v>
      </c>
      <c r="G468" t="s">
        <v>20</v>
      </c>
      <c r="H468">
        <v>3</v>
      </c>
      <c r="I468">
        <v>4</v>
      </c>
      <c r="J468" t="s">
        <v>29</v>
      </c>
      <c r="K468">
        <v>1</v>
      </c>
      <c r="L468">
        <v>16595</v>
      </c>
      <c r="M468" t="str" cm="1">
        <f t="array" ref="M468">_xlfn.IFS(L468&lt;= 7000,"Low",L468&lt;=15000,"Medium",L468&lt;=20000,"High")</f>
        <v>High</v>
      </c>
      <c r="N468" t="s">
        <v>22</v>
      </c>
      <c r="O468">
        <v>16</v>
      </c>
      <c r="P468">
        <v>3</v>
      </c>
      <c r="Q468">
        <v>2</v>
      </c>
      <c r="R468">
        <v>22</v>
      </c>
      <c r="S468">
        <v>3</v>
      </c>
      <c r="T468">
        <v>18</v>
      </c>
      <c r="U468">
        <v>16</v>
      </c>
    </row>
    <row r="469" spans="1:21" x14ac:dyDescent="0.35">
      <c r="A469">
        <v>37</v>
      </c>
      <c r="B469" t="str" cm="1">
        <f t="array" ref="B469">_xlfn.IFS(A469&gt;40,"Senior",A469&gt;30,"Adult",A469&gt;=18,"Teenager")</f>
        <v>Adult</v>
      </c>
      <c r="C469" t="s">
        <v>22</v>
      </c>
      <c r="D469">
        <f t="shared" si="7"/>
        <v>0</v>
      </c>
      <c r="E469" t="s">
        <v>19</v>
      </c>
      <c r="F469">
        <v>1</v>
      </c>
      <c r="G469" t="s">
        <v>24</v>
      </c>
      <c r="H469">
        <v>3</v>
      </c>
      <c r="I469">
        <v>3</v>
      </c>
      <c r="J469" t="s">
        <v>21</v>
      </c>
      <c r="K469">
        <v>2</v>
      </c>
      <c r="L469">
        <v>8834</v>
      </c>
      <c r="M469" t="str" cm="1">
        <f t="array" ref="M469">_xlfn.IFS(L469&lt;= 7000,"Low",L469&lt;=15000,"Medium",L469&lt;=20000,"High")</f>
        <v>Medium</v>
      </c>
      <c r="N469" t="s">
        <v>22</v>
      </c>
      <c r="O469">
        <v>13</v>
      </c>
      <c r="P469">
        <v>3</v>
      </c>
      <c r="Q469">
        <v>4</v>
      </c>
      <c r="R469">
        <v>9</v>
      </c>
      <c r="S469">
        <v>3</v>
      </c>
      <c r="T469">
        <v>9</v>
      </c>
      <c r="U469">
        <v>5</v>
      </c>
    </row>
    <row r="470" spans="1:21" x14ac:dyDescent="0.35">
      <c r="A470">
        <v>52</v>
      </c>
      <c r="B470" t="str" cm="1">
        <f t="array" ref="B470">_xlfn.IFS(A470&gt;40,"Senior",A470&gt;30,"Adult",A470&gt;=18,"Teenager")</f>
        <v>Senior</v>
      </c>
      <c r="C470" t="s">
        <v>22</v>
      </c>
      <c r="D470">
        <f t="shared" si="7"/>
        <v>0</v>
      </c>
      <c r="E470" t="s">
        <v>23</v>
      </c>
      <c r="F470">
        <v>4</v>
      </c>
      <c r="G470" t="s">
        <v>24</v>
      </c>
      <c r="H470">
        <v>3</v>
      </c>
      <c r="I470">
        <v>2</v>
      </c>
      <c r="J470" t="s">
        <v>25</v>
      </c>
      <c r="K470">
        <v>1</v>
      </c>
      <c r="L470">
        <v>5577</v>
      </c>
      <c r="M470" t="str" cm="1">
        <f t="array" ref="M470">_xlfn.IFS(L470&lt;= 7000,"Low",L470&lt;=15000,"Medium",L470&lt;=20000,"High")</f>
        <v>Low</v>
      </c>
      <c r="N470" t="s">
        <v>18</v>
      </c>
      <c r="O470">
        <v>12</v>
      </c>
      <c r="P470">
        <v>3</v>
      </c>
      <c r="Q470">
        <v>2</v>
      </c>
      <c r="R470">
        <v>18</v>
      </c>
      <c r="S470">
        <v>3</v>
      </c>
      <c r="T470">
        <v>10</v>
      </c>
      <c r="U470">
        <v>9</v>
      </c>
    </row>
    <row r="471" spans="1:21" x14ac:dyDescent="0.35">
      <c r="A471">
        <v>32</v>
      </c>
      <c r="B471" t="str" cm="1">
        <f t="array" ref="B471">_xlfn.IFS(A471&gt;40,"Senior",A471&gt;30,"Adult",A471&gt;=18,"Teenager")</f>
        <v>Adult</v>
      </c>
      <c r="C471" t="s">
        <v>18</v>
      </c>
      <c r="D471">
        <f t="shared" si="7"/>
        <v>1</v>
      </c>
      <c r="E471" t="s">
        <v>19</v>
      </c>
      <c r="F471">
        <v>4</v>
      </c>
      <c r="G471" t="s">
        <v>24</v>
      </c>
      <c r="H471">
        <v>4</v>
      </c>
      <c r="I471">
        <v>2</v>
      </c>
      <c r="J471" t="s">
        <v>21</v>
      </c>
      <c r="K471">
        <v>3</v>
      </c>
      <c r="L471">
        <v>4707</v>
      </c>
      <c r="M471" t="str" cm="1">
        <f t="array" ref="M471">_xlfn.IFS(L471&lt;= 7000,"Low",L471&lt;=15000,"Medium",L471&lt;=20000,"High")</f>
        <v>Low</v>
      </c>
      <c r="N471" t="s">
        <v>22</v>
      </c>
      <c r="O471">
        <v>12</v>
      </c>
      <c r="P471">
        <v>3</v>
      </c>
      <c r="Q471">
        <v>4</v>
      </c>
      <c r="R471">
        <v>6</v>
      </c>
      <c r="S471">
        <v>3</v>
      </c>
      <c r="T471">
        <v>4</v>
      </c>
      <c r="U471">
        <v>2</v>
      </c>
    </row>
    <row r="472" spans="1:21" x14ac:dyDescent="0.35">
      <c r="A472">
        <v>24</v>
      </c>
      <c r="B472" t="str" cm="1">
        <f t="array" ref="B472">_xlfn.IFS(A472&gt;40,"Senior",A472&gt;30,"Adult",A472&gt;=18,"Teenager")</f>
        <v>Teenager</v>
      </c>
      <c r="C472" t="s">
        <v>22</v>
      </c>
      <c r="D472">
        <f t="shared" si="7"/>
        <v>0</v>
      </c>
      <c r="E472" t="s">
        <v>19</v>
      </c>
      <c r="F472">
        <v>4</v>
      </c>
      <c r="G472" t="s">
        <v>24</v>
      </c>
      <c r="H472">
        <v>3</v>
      </c>
      <c r="I472">
        <v>1</v>
      </c>
      <c r="J472" t="s">
        <v>30</v>
      </c>
      <c r="K472">
        <v>4</v>
      </c>
      <c r="L472">
        <v>2400</v>
      </c>
      <c r="M472" t="str" cm="1">
        <f t="array" ref="M472">_xlfn.IFS(L472&lt;= 7000,"Low",L472&lt;=15000,"Medium",L472&lt;=20000,"High")</f>
        <v>Low</v>
      </c>
      <c r="N472" t="s">
        <v>22</v>
      </c>
      <c r="O472">
        <v>13</v>
      </c>
      <c r="P472">
        <v>3</v>
      </c>
      <c r="Q472">
        <v>3</v>
      </c>
      <c r="R472">
        <v>3</v>
      </c>
      <c r="S472">
        <v>3</v>
      </c>
      <c r="T472">
        <v>2</v>
      </c>
      <c r="U472">
        <v>2</v>
      </c>
    </row>
    <row r="473" spans="1:21" x14ac:dyDescent="0.35">
      <c r="A473">
        <v>38</v>
      </c>
      <c r="B473" t="str" cm="1">
        <f t="array" ref="B473">_xlfn.IFS(A473&gt;40,"Senior",A473&gt;30,"Adult",A473&gt;=18,"Teenager")</f>
        <v>Adult</v>
      </c>
      <c r="C473" t="s">
        <v>22</v>
      </c>
      <c r="D473">
        <f t="shared" si="7"/>
        <v>0</v>
      </c>
      <c r="E473" t="s">
        <v>23</v>
      </c>
      <c r="F473">
        <v>3</v>
      </c>
      <c r="G473" t="s">
        <v>20</v>
      </c>
      <c r="H473">
        <v>3</v>
      </c>
      <c r="I473">
        <v>2</v>
      </c>
      <c r="J473" t="s">
        <v>28</v>
      </c>
      <c r="K473">
        <v>3</v>
      </c>
      <c r="L473">
        <v>9824</v>
      </c>
      <c r="M473" t="str" cm="1">
        <f t="array" ref="M473">_xlfn.IFS(L473&lt;= 7000,"Low",L473&lt;=15000,"Medium",L473&lt;=20000,"High")</f>
        <v>Medium</v>
      </c>
      <c r="N473" t="s">
        <v>22</v>
      </c>
      <c r="O473">
        <v>19</v>
      </c>
      <c r="P473">
        <v>3</v>
      </c>
      <c r="Q473">
        <v>3</v>
      </c>
      <c r="R473">
        <v>18</v>
      </c>
      <c r="S473">
        <v>3</v>
      </c>
      <c r="T473">
        <v>1</v>
      </c>
      <c r="U473">
        <v>0</v>
      </c>
    </row>
    <row r="474" spans="1:21" x14ac:dyDescent="0.35">
      <c r="A474">
        <v>37</v>
      </c>
      <c r="B474" t="str" cm="1">
        <f t="array" ref="B474">_xlfn.IFS(A474&gt;40,"Senior",A474&gt;30,"Adult",A474&gt;=18,"Teenager")</f>
        <v>Adult</v>
      </c>
      <c r="C474" t="s">
        <v>22</v>
      </c>
      <c r="D474">
        <f t="shared" si="7"/>
        <v>0</v>
      </c>
      <c r="E474" t="s">
        <v>23</v>
      </c>
      <c r="F474">
        <v>2</v>
      </c>
      <c r="G474" t="s">
        <v>20</v>
      </c>
      <c r="H474">
        <v>3</v>
      </c>
      <c r="I474">
        <v>2</v>
      </c>
      <c r="J474" t="s">
        <v>27</v>
      </c>
      <c r="K474">
        <v>2</v>
      </c>
      <c r="L474">
        <v>6447</v>
      </c>
      <c r="M474" t="str" cm="1">
        <f t="array" ref="M474">_xlfn.IFS(L474&lt;= 7000,"Low",L474&lt;=15000,"Medium",L474&lt;=20000,"High")</f>
        <v>Low</v>
      </c>
      <c r="N474" t="s">
        <v>22</v>
      </c>
      <c r="O474">
        <v>12</v>
      </c>
      <c r="P474">
        <v>3</v>
      </c>
      <c r="Q474">
        <v>2</v>
      </c>
      <c r="R474">
        <v>8</v>
      </c>
      <c r="S474">
        <v>2</v>
      </c>
      <c r="T474">
        <v>6</v>
      </c>
      <c r="U474">
        <v>5</v>
      </c>
    </row>
    <row r="475" spans="1:21" x14ac:dyDescent="0.35">
      <c r="A475">
        <v>49</v>
      </c>
      <c r="B475" t="str" cm="1">
        <f t="array" ref="B475">_xlfn.IFS(A475&gt;40,"Senior",A475&gt;30,"Adult",A475&gt;=18,"Teenager")</f>
        <v>Senior</v>
      </c>
      <c r="C475" t="s">
        <v>22</v>
      </c>
      <c r="D475">
        <f t="shared" si="7"/>
        <v>0</v>
      </c>
      <c r="E475" t="s">
        <v>23</v>
      </c>
      <c r="F475">
        <v>4</v>
      </c>
      <c r="G475" t="s">
        <v>24</v>
      </c>
      <c r="H475">
        <v>2</v>
      </c>
      <c r="I475">
        <v>5</v>
      </c>
      <c r="J475" t="s">
        <v>31</v>
      </c>
      <c r="K475">
        <v>3</v>
      </c>
      <c r="L475">
        <v>19502</v>
      </c>
      <c r="M475" t="str" cm="1">
        <f t="array" ref="M475">_xlfn.IFS(L475&lt;= 7000,"Low",L475&lt;=15000,"Medium",L475&lt;=20000,"High")</f>
        <v>High</v>
      </c>
      <c r="N475" t="s">
        <v>18</v>
      </c>
      <c r="O475">
        <v>17</v>
      </c>
      <c r="P475">
        <v>3</v>
      </c>
      <c r="Q475">
        <v>3</v>
      </c>
      <c r="R475">
        <v>31</v>
      </c>
      <c r="S475">
        <v>3</v>
      </c>
      <c r="T475">
        <v>31</v>
      </c>
      <c r="U475">
        <v>9</v>
      </c>
    </row>
    <row r="476" spans="1:21" x14ac:dyDescent="0.35">
      <c r="A476">
        <v>24</v>
      </c>
      <c r="B476" t="str" cm="1">
        <f t="array" ref="B476">_xlfn.IFS(A476&gt;40,"Senior",A476&gt;30,"Adult",A476&gt;=18,"Teenager")</f>
        <v>Teenager</v>
      </c>
      <c r="C476" t="s">
        <v>22</v>
      </c>
      <c r="D476">
        <f t="shared" si="7"/>
        <v>0</v>
      </c>
      <c r="E476" t="s">
        <v>23</v>
      </c>
      <c r="F476">
        <v>2</v>
      </c>
      <c r="G476" t="s">
        <v>24</v>
      </c>
      <c r="H476">
        <v>4</v>
      </c>
      <c r="I476">
        <v>1</v>
      </c>
      <c r="J476" t="s">
        <v>25</v>
      </c>
      <c r="K476">
        <v>4</v>
      </c>
      <c r="L476">
        <v>2725</v>
      </c>
      <c r="M476" t="str" cm="1">
        <f t="array" ref="M476">_xlfn.IFS(L476&lt;= 7000,"Low",L476&lt;=15000,"Medium",L476&lt;=20000,"High")</f>
        <v>Low</v>
      </c>
      <c r="N476" t="s">
        <v>18</v>
      </c>
      <c r="O476">
        <v>11</v>
      </c>
      <c r="P476">
        <v>3</v>
      </c>
      <c r="Q476">
        <v>2</v>
      </c>
      <c r="R476">
        <v>6</v>
      </c>
      <c r="S476">
        <v>3</v>
      </c>
      <c r="T476">
        <v>6</v>
      </c>
      <c r="U476">
        <v>5</v>
      </c>
    </row>
    <row r="477" spans="1:21" x14ac:dyDescent="0.35">
      <c r="A477">
        <v>26</v>
      </c>
      <c r="B477" t="str" cm="1">
        <f t="array" ref="B477">_xlfn.IFS(A477&gt;40,"Senior",A477&gt;30,"Adult",A477&gt;=18,"Teenager")</f>
        <v>Teenager</v>
      </c>
      <c r="C477" t="s">
        <v>22</v>
      </c>
      <c r="D477">
        <f t="shared" si="7"/>
        <v>0</v>
      </c>
      <c r="E477" t="s">
        <v>19</v>
      </c>
      <c r="F477">
        <v>1</v>
      </c>
      <c r="G477" t="s">
        <v>24</v>
      </c>
      <c r="H477">
        <v>3</v>
      </c>
      <c r="I477">
        <v>2</v>
      </c>
      <c r="J477" t="s">
        <v>21</v>
      </c>
      <c r="K477">
        <v>2</v>
      </c>
      <c r="L477">
        <v>6272</v>
      </c>
      <c r="M477" t="str" cm="1">
        <f t="array" ref="M477">_xlfn.IFS(L477&lt;= 7000,"Low",L477&lt;=15000,"Medium",L477&lt;=20000,"High")</f>
        <v>Low</v>
      </c>
      <c r="N477" t="s">
        <v>22</v>
      </c>
      <c r="O477">
        <v>20</v>
      </c>
      <c r="P477">
        <v>4</v>
      </c>
      <c r="Q477">
        <v>4</v>
      </c>
      <c r="R477">
        <v>6</v>
      </c>
      <c r="S477">
        <v>4</v>
      </c>
      <c r="T477">
        <v>5</v>
      </c>
      <c r="U477">
        <v>3</v>
      </c>
    </row>
    <row r="478" spans="1:21" x14ac:dyDescent="0.35">
      <c r="A478">
        <v>24</v>
      </c>
      <c r="B478" t="str" cm="1">
        <f t="array" ref="B478">_xlfn.IFS(A478&gt;40,"Senior",A478&gt;30,"Adult",A478&gt;=18,"Teenager")</f>
        <v>Teenager</v>
      </c>
      <c r="C478" t="s">
        <v>22</v>
      </c>
      <c r="D478">
        <f t="shared" si="7"/>
        <v>0</v>
      </c>
      <c r="E478" t="s">
        <v>23</v>
      </c>
      <c r="F478">
        <v>4</v>
      </c>
      <c r="G478" t="s">
        <v>24</v>
      </c>
      <c r="H478">
        <v>2</v>
      </c>
      <c r="I478">
        <v>1</v>
      </c>
      <c r="J478" t="s">
        <v>26</v>
      </c>
      <c r="K478">
        <v>2</v>
      </c>
      <c r="L478">
        <v>2127</v>
      </c>
      <c r="M478" t="str" cm="1">
        <f t="array" ref="M478">_xlfn.IFS(L478&lt;= 7000,"Low",L478&lt;=15000,"Medium",L478&lt;=20000,"High")</f>
        <v>Low</v>
      </c>
      <c r="N478" t="s">
        <v>22</v>
      </c>
      <c r="O478">
        <v>21</v>
      </c>
      <c r="P478">
        <v>4</v>
      </c>
      <c r="Q478">
        <v>4</v>
      </c>
      <c r="R478">
        <v>1</v>
      </c>
      <c r="S478">
        <v>3</v>
      </c>
      <c r="T478">
        <v>1</v>
      </c>
      <c r="U478">
        <v>0</v>
      </c>
    </row>
    <row r="479" spans="1:21" x14ac:dyDescent="0.35">
      <c r="A479">
        <v>50</v>
      </c>
      <c r="B479" t="str" cm="1">
        <f t="array" ref="B479">_xlfn.IFS(A479&gt;40,"Senior",A479&gt;30,"Adult",A479&gt;=18,"Teenager")</f>
        <v>Senior</v>
      </c>
      <c r="C479" t="s">
        <v>22</v>
      </c>
      <c r="D479">
        <f t="shared" si="7"/>
        <v>0</v>
      </c>
      <c r="E479" t="s">
        <v>32</v>
      </c>
      <c r="F479">
        <v>1</v>
      </c>
      <c r="G479" t="s">
        <v>24</v>
      </c>
      <c r="H479">
        <v>3</v>
      </c>
      <c r="I479">
        <v>5</v>
      </c>
      <c r="J479" t="s">
        <v>29</v>
      </c>
      <c r="K479">
        <v>2</v>
      </c>
      <c r="L479">
        <v>18200</v>
      </c>
      <c r="M479" t="str" cm="1">
        <f t="array" ref="M479">_xlfn.IFS(L479&lt;= 7000,"Low",L479&lt;=15000,"Medium",L479&lt;=20000,"High")</f>
        <v>High</v>
      </c>
      <c r="N479" t="s">
        <v>22</v>
      </c>
      <c r="O479">
        <v>11</v>
      </c>
      <c r="P479">
        <v>3</v>
      </c>
      <c r="Q479">
        <v>3</v>
      </c>
      <c r="R479">
        <v>32</v>
      </c>
      <c r="S479">
        <v>3</v>
      </c>
      <c r="T479">
        <v>32</v>
      </c>
      <c r="U479">
        <v>5</v>
      </c>
    </row>
    <row r="480" spans="1:21" x14ac:dyDescent="0.35">
      <c r="A480">
        <v>25</v>
      </c>
      <c r="B480" t="str" cm="1">
        <f t="array" ref="B480">_xlfn.IFS(A480&gt;40,"Senior",A480&gt;30,"Adult",A480&gt;=18,"Teenager")</f>
        <v>Teenager</v>
      </c>
      <c r="C480" t="s">
        <v>22</v>
      </c>
      <c r="D480">
        <f t="shared" si="7"/>
        <v>0</v>
      </c>
      <c r="E480" t="s">
        <v>19</v>
      </c>
      <c r="F480">
        <v>2</v>
      </c>
      <c r="G480" t="s">
        <v>24</v>
      </c>
      <c r="H480">
        <v>3</v>
      </c>
      <c r="I480">
        <v>1</v>
      </c>
      <c r="J480" t="s">
        <v>30</v>
      </c>
      <c r="K480">
        <v>3</v>
      </c>
      <c r="L480">
        <v>2096</v>
      </c>
      <c r="M480" t="str" cm="1">
        <f t="array" ref="M480">_xlfn.IFS(L480&lt;= 7000,"Low",L480&lt;=15000,"Medium",L480&lt;=20000,"High")</f>
        <v>Low</v>
      </c>
      <c r="N480" t="s">
        <v>22</v>
      </c>
      <c r="O480">
        <v>11</v>
      </c>
      <c r="P480">
        <v>3</v>
      </c>
      <c r="Q480">
        <v>3</v>
      </c>
      <c r="R480">
        <v>7</v>
      </c>
      <c r="S480">
        <v>3</v>
      </c>
      <c r="T480">
        <v>7</v>
      </c>
      <c r="U480">
        <v>4</v>
      </c>
    </row>
    <row r="481" spans="1:21" x14ac:dyDescent="0.35">
      <c r="A481">
        <v>24</v>
      </c>
      <c r="B481" t="str" cm="1">
        <f t="array" ref="B481">_xlfn.IFS(A481&gt;40,"Senior",A481&gt;30,"Adult",A481&gt;=18,"Teenager")</f>
        <v>Teenager</v>
      </c>
      <c r="C481" t="s">
        <v>18</v>
      </c>
      <c r="D481">
        <f t="shared" si="7"/>
        <v>1</v>
      </c>
      <c r="E481" t="s">
        <v>23</v>
      </c>
      <c r="F481">
        <v>1</v>
      </c>
      <c r="G481" t="s">
        <v>20</v>
      </c>
      <c r="H481">
        <v>3</v>
      </c>
      <c r="I481">
        <v>1</v>
      </c>
      <c r="J481" t="s">
        <v>26</v>
      </c>
      <c r="K481">
        <v>3</v>
      </c>
      <c r="L481">
        <v>2886</v>
      </c>
      <c r="M481" t="str" cm="1">
        <f t="array" ref="M481">_xlfn.IFS(L481&lt;= 7000,"Low",L481&lt;=15000,"Medium",L481&lt;=20000,"High")</f>
        <v>Low</v>
      </c>
      <c r="N481" t="s">
        <v>18</v>
      </c>
      <c r="O481">
        <v>16</v>
      </c>
      <c r="P481">
        <v>3</v>
      </c>
      <c r="Q481">
        <v>4</v>
      </c>
      <c r="R481">
        <v>6</v>
      </c>
      <c r="S481">
        <v>3</v>
      </c>
      <c r="T481">
        <v>6</v>
      </c>
      <c r="U481">
        <v>3</v>
      </c>
    </row>
    <row r="482" spans="1:21" x14ac:dyDescent="0.35">
      <c r="A482">
        <v>30</v>
      </c>
      <c r="B482" t="str" cm="1">
        <f t="array" ref="B482">_xlfn.IFS(A482&gt;40,"Senior",A482&gt;30,"Adult",A482&gt;=18,"Teenager")</f>
        <v>Teenager</v>
      </c>
      <c r="C482" t="s">
        <v>18</v>
      </c>
      <c r="D482">
        <f t="shared" si="7"/>
        <v>1</v>
      </c>
      <c r="E482" t="s">
        <v>19</v>
      </c>
      <c r="F482">
        <v>2</v>
      </c>
      <c r="G482" t="s">
        <v>24</v>
      </c>
      <c r="H482">
        <v>2</v>
      </c>
      <c r="I482">
        <v>1</v>
      </c>
      <c r="J482" t="s">
        <v>30</v>
      </c>
      <c r="K482">
        <v>1</v>
      </c>
      <c r="L482">
        <v>2033</v>
      </c>
      <c r="M482" t="str" cm="1">
        <f t="array" ref="M482">_xlfn.IFS(L482&lt;= 7000,"Low",L482&lt;=15000,"Medium",L482&lt;=20000,"High")</f>
        <v>Low</v>
      </c>
      <c r="N482" t="s">
        <v>22</v>
      </c>
      <c r="O482">
        <v>18</v>
      </c>
      <c r="P482">
        <v>3</v>
      </c>
      <c r="Q482">
        <v>3</v>
      </c>
      <c r="R482">
        <v>1</v>
      </c>
      <c r="S482">
        <v>4</v>
      </c>
      <c r="T482">
        <v>1</v>
      </c>
      <c r="U482">
        <v>0</v>
      </c>
    </row>
    <row r="483" spans="1:21" x14ac:dyDescent="0.35">
      <c r="A483">
        <v>34</v>
      </c>
      <c r="B483" t="str" cm="1">
        <f t="array" ref="B483">_xlfn.IFS(A483&gt;40,"Senior",A483&gt;30,"Adult",A483&gt;=18,"Teenager")</f>
        <v>Adult</v>
      </c>
      <c r="C483" t="s">
        <v>22</v>
      </c>
      <c r="D483">
        <f t="shared" si="7"/>
        <v>0</v>
      </c>
      <c r="E483" t="s">
        <v>23</v>
      </c>
      <c r="F483">
        <v>2</v>
      </c>
      <c r="G483" t="s">
        <v>24</v>
      </c>
      <c r="H483">
        <v>2</v>
      </c>
      <c r="I483">
        <v>1</v>
      </c>
      <c r="J483" t="s">
        <v>25</v>
      </c>
      <c r="K483">
        <v>4</v>
      </c>
      <c r="L483">
        <v>3622</v>
      </c>
      <c r="M483" t="str" cm="1">
        <f t="array" ref="M483">_xlfn.IFS(L483&lt;= 7000,"Low",L483&lt;=15000,"Medium",L483&lt;=20000,"High")</f>
        <v>Low</v>
      </c>
      <c r="N483" t="s">
        <v>18</v>
      </c>
      <c r="O483">
        <v>13</v>
      </c>
      <c r="P483">
        <v>3</v>
      </c>
      <c r="Q483">
        <v>4</v>
      </c>
      <c r="R483">
        <v>6</v>
      </c>
      <c r="S483">
        <v>3</v>
      </c>
      <c r="T483">
        <v>6</v>
      </c>
      <c r="U483">
        <v>5</v>
      </c>
    </row>
    <row r="484" spans="1:21" x14ac:dyDescent="0.35">
      <c r="A484">
        <v>31</v>
      </c>
      <c r="B484" t="str" cm="1">
        <f t="array" ref="B484">_xlfn.IFS(A484&gt;40,"Senior",A484&gt;30,"Adult",A484&gt;=18,"Teenager")</f>
        <v>Adult</v>
      </c>
      <c r="C484" t="s">
        <v>18</v>
      </c>
      <c r="D484">
        <f t="shared" si="7"/>
        <v>1</v>
      </c>
      <c r="E484" t="s">
        <v>19</v>
      </c>
      <c r="F484">
        <v>2</v>
      </c>
      <c r="G484" t="s">
        <v>24</v>
      </c>
      <c r="H484">
        <v>3</v>
      </c>
      <c r="I484">
        <v>2</v>
      </c>
      <c r="J484" t="s">
        <v>21</v>
      </c>
      <c r="K484">
        <v>1</v>
      </c>
      <c r="L484">
        <v>4233</v>
      </c>
      <c r="M484" t="str" cm="1">
        <f t="array" ref="M484">_xlfn.IFS(L484&lt;= 7000,"Low",L484&lt;=15000,"Medium",L484&lt;=20000,"High")</f>
        <v>Low</v>
      </c>
      <c r="N484" t="s">
        <v>22</v>
      </c>
      <c r="O484">
        <v>17</v>
      </c>
      <c r="P484">
        <v>3</v>
      </c>
      <c r="Q484">
        <v>3</v>
      </c>
      <c r="R484">
        <v>9</v>
      </c>
      <c r="S484">
        <v>1</v>
      </c>
      <c r="T484">
        <v>3</v>
      </c>
      <c r="U484">
        <v>1</v>
      </c>
    </row>
    <row r="485" spans="1:21" x14ac:dyDescent="0.35">
      <c r="A485">
        <v>35</v>
      </c>
      <c r="B485" t="str" cm="1">
        <f t="array" ref="B485">_xlfn.IFS(A485&gt;40,"Senior",A485&gt;30,"Adult",A485&gt;=18,"Teenager")</f>
        <v>Adult</v>
      </c>
      <c r="C485" t="s">
        <v>22</v>
      </c>
      <c r="D485">
        <f t="shared" si="7"/>
        <v>0</v>
      </c>
      <c r="E485" t="s">
        <v>23</v>
      </c>
      <c r="F485">
        <v>1</v>
      </c>
      <c r="G485" t="s">
        <v>24</v>
      </c>
      <c r="H485">
        <v>2</v>
      </c>
      <c r="I485">
        <v>2</v>
      </c>
      <c r="J485" t="s">
        <v>26</v>
      </c>
      <c r="K485">
        <v>4</v>
      </c>
      <c r="L485">
        <v>3681</v>
      </c>
      <c r="M485" t="str" cm="1">
        <f t="array" ref="M485">_xlfn.IFS(L485&lt;= 7000,"Low",L485&lt;=15000,"Medium",L485&lt;=20000,"High")</f>
        <v>Low</v>
      </c>
      <c r="N485" t="s">
        <v>22</v>
      </c>
      <c r="O485">
        <v>14</v>
      </c>
      <c r="P485">
        <v>3</v>
      </c>
      <c r="Q485">
        <v>4</v>
      </c>
      <c r="R485">
        <v>9</v>
      </c>
      <c r="S485">
        <v>3</v>
      </c>
      <c r="T485">
        <v>3</v>
      </c>
      <c r="U485">
        <v>2</v>
      </c>
    </row>
    <row r="486" spans="1:21" x14ac:dyDescent="0.35">
      <c r="A486">
        <v>31</v>
      </c>
      <c r="B486" t="str" cm="1">
        <f t="array" ref="B486">_xlfn.IFS(A486&gt;40,"Senior",A486&gt;30,"Adult",A486&gt;=18,"Teenager")</f>
        <v>Adult</v>
      </c>
      <c r="C486" t="s">
        <v>22</v>
      </c>
      <c r="D486">
        <f t="shared" si="7"/>
        <v>0</v>
      </c>
      <c r="E486" t="s">
        <v>19</v>
      </c>
      <c r="F486">
        <v>1</v>
      </c>
      <c r="G486" t="s">
        <v>24</v>
      </c>
      <c r="H486">
        <v>4</v>
      </c>
      <c r="I486">
        <v>2</v>
      </c>
      <c r="J486" t="s">
        <v>21</v>
      </c>
      <c r="K486">
        <v>4</v>
      </c>
      <c r="L486">
        <v>5460</v>
      </c>
      <c r="M486" t="str" cm="1">
        <f t="array" ref="M486">_xlfn.IFS(L486&lt;= 7000,"Low",L486&lt;=15000,"Medium",L486&lt;=20000,"High")</f>
        <v>Low</v>
      </c>
      <c r="N486" t="s">
        <v>22</v>
      </c>
      <c r="O486">
        <v>22</v>
      </c>
      <c r="P486">
        <v>4</v>
      </c>
      <c r="Q486">
        <v>4</v>
      </c>
      <c r="R486">
        <v>13</v>
      </c>
      <c r="S486">
        <v>4</v>
      </c>
      <c r="T486">
        <v>7</v>
      </c>
      <c r="U486">
        <v>7</v>
      </c>
    </row>
    <row r="487" spans="1:21" x14ac:dyDescent="0.35">
      <c r="A487">
        <v>27</v>
      </c>
      <c r="B487" t="str" cm="1">
        <f t="array" ref="B487">_xlfn.IFS(A487&gt;40,"Senior",A487&gt;30,"Adult",A487&gt;=18,"Teenager")</f>
        <v>Teenager</v>
      </c>
      <c r="C487" t="s">
        <v>22</v>
      </c>
      <c r="D487">
        <f t="shared" si="7"/>
        <v>0</v>
      </c>
      <c r="E487" t="s">
        <v>23</v>
      </c>
      <c r="F487">
        <v>1</v>
      </c>
      <c r="G487" t="s">
        <v>20</v>
      </c>
      <c r="H487">
        <v>2</v>
      </c>
      <c r="I487">
        <v>1</v>
      </c>
      <c r="J487" t="s">
        <v>25</v>
      </c>
      <c r="K487">
        <v>3</v>
      </c>
      <c r="L487">
        <v>2187</v>
      </c>
      <c r="M487" t="str" cm="1">
        <f t="array" ref="M487">_xlfn.IFS(L487&lt;= 7000,"Low",L487&lt;=15000,"Medium",L487&lt;=20000,"High")</f>
        <v>Low</v>
      </c>
      <c r="N487" t="s">
        <v>22</v>
      </c>
      <c r="O487">
        <v>12</v>
      </c>
      <c r="P487">
        <v>3</v>
      </c>
      <c r="Q487">
        <v>3</v>
      </c>
      <c r="R487">
        <v>6</v>
      </c>
      <c r="S487">
        <v>2</v>
      </c>
      <c r="T487">
        <v>5</v>
      </c>
      <c r="U487">
        <v>3</v>
      </c>
    </row>
    <row r="488" spans="1:21" x14ac:dyDescent="0.35">
      <c r="A488">
        <v>37</v>
      </c>
      <c r="B488" t="str" cm="1">
        <f t="array" ref="B488">_xlfn.IFS(A488&gt;40,"Senior",A488&gt;30,"Adult",A488&gt;=18,"Teenager")</f>
        <v>Adult</v>
      </c>
      <c r="C488" t="s">
        <v>22</v>
      </c>
      <c r="D488">
        <f t="shared" si="7"/>
        <v>0</v>
      </c>
      <c r="E488" t="s">
        <v>19</v>
      </c>
      <c r="F488">
        <v>4</v>
      </c>
      <c r="G488" t="s">
        <v>24</v>
      </c>
      <c r="H488">
        <v>3</v>
      </c>
      <c r="I488">
        <v>2</v>
      </c>
      <c r="J488" t="s">
        <v>21</v>
      </c>
      <c r="K488">
        <v>3</v>
      </c>
      <c r="L488">
        <v>9602</v>
      </c>
      <c r="M488" t="str" cm="1">
        <f t="array" ref="M488">_xlfn.IFS(L488&lt;= 7000,"Low",L488&lt;=15000,"Medium",L488&lt;=20000,"High")</f>
        <v>Medium</v>
      </c>
      <c r="N488" t="s">
        <v>18</v>
      </c>
      <c r="O488">
        <v>11</v>
      </c>
      <c r="P488">
        <v>3</v>
      </c>
      <c r="Q488">
        <v>3</v>
      </c>
      <c r="R488">
        <v>17</v>
      </c>
      <c r="S488">
        <v>2</v>
      </c>
      <c r="T488">
        <v>3</v>
      </c>
      <c r="U488">
        <v>0</v>
      </c>
    </row>
    <row r="489" spans="1:21" x14ac:dyDescent="0.35">
      <c r="A489">
        <v>20</v>
      </c>
      <c r="B489" t="str" cm="1">
        <f t="array" ref="B489">_xlfn.IFS(A489&gt;40,"Senior",A489&gt;30,"Adult",A489&gt;=18,"Teenager")</f>
        <v>Teenager</v>
      </c>
      <c r="C489" t="s">
        <v>22</v>
      </c>
      <c r="D489">
        <f t="shared" si="7"/>
        <v>0</v>
      </c>
      <c r="E489" t="s">
        <v>23</v>
      </c>
      <c r="F489">
        <v>4</v>
      </c>
      <c r="G489" t="s">
        <v>20</v>
      </c>
      <c r="H489">
        <v>2</v>
      </c>
      <c r="I489">
        <v>1</v>
      </c>
      <c r="J489" t="s">
        <v>25</v>
      </c>
      <c r="K489">
        <v>2</v>
      </c>
      <c r="L489">
        <v>2836</v>
      </c>
      <c r="M489" t="str" cm="1">
        <f t="array" ref="M489">_xlfn.IFS(L489&lt;= 7000,"Low",L489&lt;=15000,"Medium",L489&lt;=20000,"High")</f>
        <v>Low</v>
      </c>
      <c r="N489" t="s">
        <v>22</v>
      </c>
      <c r="O489">
        <v>13</v>
      </c>
      <c r="P489">
        <v>3</v>
      </c>
      <c r="Q489">
        <v>4</v>
      </c>
      <c r="R489">
        <v>1</v>
      </c>
      <c r="S489">
        <v>4</v>
      </c>
      <c r="T489">
        <v>1</v>
      </c>
      <c r="U489">
        <v>0</v>
      </c>
    </row>
    <row r="490" spans="1:21" x14ac:dyDescent="0.35">
      <c r="A490">
        <v>42</v>
      </c>
      <c r="B490" t="str" cm="1">
        <f t="array" ref="B490">_xlfn.IFS(A490&gt;40,"Senior",A490&gt;30,"Adult",A490&gt;=18,"Teenager")</f>
        <v>Senior</v>
      </c>
      <c r="C490" t="s">
        <v>22</v>
      </c>
      <c r="D490">
        <f t="shared" si="7"/>
        <v>0</v>
      </c>
      <c r="E490" t="s">
        <v>23</v>
      </c>
      <c r="F490">
        <v>3</v>
      </c>
      <c r="G490" t="s">
        <v>20</v>
      </c>
      <c r="H490">
        <v>3</v>
      </c>
      <c r="I490">
        <v>2</v>
      </c>
      <c r="J490" t="s">
        <v>28</v>
      </c>
      <c r="K490">
        <v>4</v>
      </c>
      <c r="L490">
        <v>4089</v>
      </c>
      <c r="M490" t="str" cm="1">
        <f t="array" ref="M490">_xlfn.IFS(L490&lt;= 7000,"Low",L490&lt;=15000,"Medium",L490&lt;=20000,"High")</f>
        <v>Low</v>
      </c>
      <c r="N490" t="s">
        <v>22</v>
      </c>
      <c r="O490">
        <v>13</v>
      </c>
      <c r="P490">
        <v>3</v>
      </c>
      <c r="Q490">
        <v>2</v>
      </c>
      <c r="R490">
        <v>10</v>
      </c>
      <c r="S490">
        <v>3</v>
      </c>
      <c r="T490">
        <v>10</v>
      </c>
      <c r="U490">
        <v>2</v>
      </c>
    </row>
    <row r="491" spans="1:21" x14ac:dyDescent="0.35">
      <c r="A491">
        <v>43</v>
      </c>
      <c r="B491" t="str" cm="1">
        <f t="array" ref="B491">_xlfn.IFS(A491&gt;40,"Senior",A491&gt;30,"Adult",A491&gt;=18,"Teenager")</f>
        <v>Senior</v>
      </c>
      <c r="C491" t="s">
        <v>22</v>
      </c>
      <c r="D491">
        <f t="shared" si="7"/>
        <v>0</v>
      </c>
      <c r="E491" t="s">
        <v>23</v>
      </c>
      <c r="F491">
        <v>2</v>
      </c>
      <c r="G491" t="s">
        <v>24</v>
      </c>
      <c r="H491">
        <v>2</v>
      </c>
      <c r="I491">
        <v>4</v>
      </c>
      <c r="J491" t="s">
        <v>31</v>
      </c>
      <c r="K491">
        <v>4</v>
      </c>
      <c r="L491">
        <v>16627</v>
      </c>
      <c r="M491" t="str" cm="1">
        <f t="array" ref="M491">_xlfn.IFS(L491&lt;= 7000,"Low",L491&lt;=15000,"Medium",L491&lt;=20000,"High")</f>
        <v>High</v>
      </c>
      <c r="N491" t="s">
        <v>18</v>
      </c>
      <c r="O491">
        <v>14</v>
      </c>
      <c r="P491">
        <v>3</v>
      </c>
      <c r="Q491">
        <v>3</v>
      </c>
      <c r="R491">
        <v>21</v>
      </c>
      <c r="S491">
        <v>2</v>
      </c>
      <c r="T491">
        <v>1</v>
      </c>
      <c r="U491">
        <v>0</v>
      </c>
    </row>
    <row r="492" spans="1:21" x14ac:dyDescent="0.35">
      <c r="A492">
        <v>38</v>
      </c>
      <c r="B492" t="str" cm="1">
        <f t="array" ref="B492">_xlfn.IFS(A492&gt;40,"Senior",A492&gt;30,"Adult",A492&gt;=18,"Teenager")</f>
        <v>Adult</v>
      </c>
      <c r="C492" t="s">
        <v>22</v>
      </c>
      <c r="D492">
        <f t="shared" si="7"/>
        <v>0</v>
      </c>
      <c r="E492" t="s">
        <v>23</v>
      </c>
      <c r="F492">
        <v>3</v>
      </c>
      <c r="G492" t="s">
        <v>20</v>
      </c>
      <c r="H492">
        <v>3</v>
      </c>
      <c r="I492">
        <v>1</v>
      </c>
      <c r="J492" t="s">
        <v>25</v>
      </c>
      <c r="K492">
        <v>1</v>
      </c>
      <c r="L492">
        <v>2619</v>
      </c>
      <c r="M492" t="str" cm="1">
        <f t="array" ref="M492">_xlfn.IFS(L492&lt;= 7000,"Low",L492&lt;=15000,"Medium",L492&lt;=20000,"High")</f>
        <v>Low</v>
      </c>
      <c r="N492" t="s">
        <v>22</v>
      </c>
      <c r="O492">
        <v>17</v>
      </c>
      <c r="P492">
        <v>3</v>
      </c>
      <c r="Q492">
        <v>4</v>
      </c>
      <c r="R492">
        <v>8</v>
      </c>
      <c r="S492">
        <v>2</v>
      </c>
      <c r="T492">
        <v>0</v>
      </c>
      <c r="U492">
        <v>0</v>
      </c>
    </row>
    <row r="493" spans="1:21" x14ac:dyDescent="0.35">
      <c r="A493">
        <v>43</v>
      </c>
      <c r="B493" t="str" cm="1">
        <f t="array" ref="B493">_xlfn.IFS(A493&gt;40,"Senior",A493&gt;30,"Adult",A493&gt;=18,"Teenager")</f>
        <v>Senior</v>
      </c>
      <c r="C493" t="s">
        <v>22</v>
      </c>
      <c r="D493">
        <f t="shared" si="7"/>
        <v>0</v>
      </c>
      <c r="E493" t="s">
        <v>23</v>
      </c>
      <c r="F493">
        <v>4</v>
      </c>
      <c r="G493" t="s">
        <v>24</v>
      </c>
      <c r="H493">
        <v>3</v>
      </c>
      <c r="I493">
        <v>2</v>
      </c>
      <c r="J493" t="s">
        <v>26</v>
      </c>
      <c r="K493">
        <v>3</v>
      </c>
      <c r="L493">
        <v>5679</v>
      </c>
      <c r="M493" t="str" cm="1">
        <f t="array" ref="M493">_xlfn.IFS(L493&lt;= 7000,"Low",L493&lt;=15000,"Medium",L493&lt;=20000,"High")</f>
        <v>Low</v>
      </c>
      <c r="N493" t="s">
        <v>18</v>
      </c>
      <c r="O493">
        <v>13</v>
      </c>
      <c r="P493">
        <v>3</v>
      </c>
      <c r="Q493">
        <v>2</v>
      </c>
      <c r="R493">
        <v>10</v>
      </c>
      <c r="S493">
        <v>3</v>
      </c>
      <c r="T493">
        <v>8</v>
      </c>
      <c r="U493">
        <v>7</v>
      </c>
    </row>
    <row r="494" spans="1:21" x14ac:dyDescent="0.35">
      <c r="A494">
        <v>48</v>
      </c>
      <c r="B494" t="str" cm="1">
        <f t="array" ref="B494">_xlfn.IFS(A494&gt;40,"Senior",A494&gt;30,"Adult",A494&gt;=18,"Teenager")</f>
        <v>Senior</v>
      </c>
      <c r="C494" t="s">
        <v>22</v>
      </c>
      <c r="D494">
        <f t="shared" si="7"/>
        <v>0</v>
      </c>
      <c r="E494" t="s">
        <v>23</v>
      </c>
      <c r="F494">
        <v>4</v>
      </c>
      <c r="G494" t="s">
        <v>20</v>
      </c>
      <c r="H494">
        <v>2</v>
      </c>
      <c r="I494">
        <v>4</v>
      </c>
      <c r="J494" t="s">
        <v>29</v>
      </c>
      <c r="K494">
        <v>1</v>
      </c>
      <c r="L494">
        <v>15402</v>
      </c>
      <c r="M494" t="str" cm="1">
        <f t="array" ref="M494">_xlfn.IFS(L494&lt;= 7000,"Low",L494&lt;=15000,"Medium",L494&lt;=20000,"High")</f>
        <v>High</v>
      </c>
      <c r="N494" t="s">
        <v>22</v>
      </c>
      <c r="O494">
        <v>11</v>
      </c>
      <c r="P494">
        <v>3</v>
      </c>
      <c r="Q494">
        <v>1</v>
      </c>
      <c r="R494">
        <v>21</v>
      </c>
      <c r="S494">
        <v>1</v>
      </c>
      <c r="T494">
        <v>3</v>
      </c>
      <c r="U494">
        <v>2</v>
      </c>
    </row>
    <row r="495" spans="1:21" x14ac:dyDescent="0.35">
      <c r="A495">
        <v>44</v>
      </c>
      <c r="B495" t="str" cm="1">
        <f t="array" ref="B495">_xlfn.IFS(A495&gt;40,"Senior",A495&gt;30,"Adult",A495&gt;=18,"Teenager")</f>
        <v>Senior</v>
      </c>
      <c r="C495" t="s">
        <v>22</v>
      </c>
      <c r="D495">
        <f t="shared" si="7"/>
        <v>0</v>
      </c>
      <c r="E495" t="s">
        <v>32</v>
      </c>
      <c r="F495">
        <v>1</v>
      </c>
      <c r="G495" t="s">
        <v>20</v>
      </c>
      <c r="H495">
        <v>2</v>
      </c>
      <c r="I495">
        <v>2</v>
      </c>
      <c r="J495" t="s">
        <v>32</v>
      </c>
      <c r="K495">
        <v>3</v>
      </c>
      <c r="L495">
        <v>5985</v>
      </c>
      <c r="M495" t="str" cm="1">
        <f t="array" ref="M495">_xlfn.IFS(L495&lt;= 7000,"Low",L495&lt;=15000,"Medium",L495&lt;=20000,"High")</f>
        <v>Low</v>
      </c>
      <c r="N495" t="s">
        <v>22</v>
      </c>
      <c r="O495">
        <v>11</v>
      </c>
      <c r="P495">
        <v>3</v>
      </c>
      <c r="Q495">
        <v>2</v>
      </c>
      <c r="R495">
        <v>10</v>
      </c>
      <c r="S495">
        <v>4</v>
      </c>
      <c r="T495">
        <v>2</v>
      </c>
      <c r="U495">
        <v>2</v>
      </c>
    </row>
    <row r="496" spans="1:21" x14ac:dyDescent="0.35">
      <c r="A496">
        <v>34</v>
      </c>
      <c r="B496" t="str" cm="1">
        <f t="array" ref="B496">_xlfn.IFS(A496&gt;40,"Senior",A496&gt;30,"Adult",A496&gt;=18,"Teenager")</f>
        <v>Adult</v>
      </c>
      <c r="C496" t="s">
        <v>22</v>
      </c>
      <c r="D496">
        <f t="shared" si="7"/>
        <v>0</v>
      </c>
      <c r="E496" t="s">
        <v>19</v>
      </c>
      <c r="F496">
        <v>3</v>
      </c>
      <c r="G496" t="s">
        <v>20</v>
      </c>
      <c r="H496">
        <v>3</v>
      </c>
      <c r="I496">
        <v>1</v>
      </c>
      <c r="J496" t="s">
        <v>30</v>
      </c>
      <c r="K496">
        <v>3</v>
      </c>
      <c r="L496">
        <v>2579</v>
      </c>
      <c r="M496" t="str" cm="1">
        <f t="array" ref="M496">_xlfn.IFS(L496&lt;= 7000,"Low",L496&lt;=15000,"Medium",L496&lt;=20000,"High")</f>
        <v>Low</v>
      </c>
      <c r="N496" t="s">
        <v>18</v>
      </c>
      <c r="O496">
        <v>18</v>
      </c>
      <c r="P496">
        <v>3</v>
      </c>
      <c r="Q496">
        <v>4</v>
      </c>
      <c r="R496">
        <v>8</v>
      </c>
      <c r="S496">
        <v>3</v>
      </c>
      <c r="T496">
        <v>8</v>
      </c>
      <c r="U496">
        <v>2</v>
      </c>
    </row>
    <row r="497" spans="1:21" x14ac:dyDescent="0.35">
      <c r="A497">
        <v>27</v>
      </c>
      <c r="B497" t="str" cm="1">
        <f t="array" ref="B497">_xlfn.IFS(A497&gt;40,"Senior",A497&gt;30,"Adult",A497&gt;=18,"Teenager")</f>
        <v>Teenager</v>
      </c>
      <c r="C497" t="s">
        <v>18</v>
      </c>
      <c r="D497">
        <f t="shared" si="7"/>
        <v>1</v>
      </c>
      <c r="E497" t="s">
        <v>19</v>
      </c>
      <c r="F497">
        <v>3</v>
      </c>
      <c r="G497" t="s">
        <v>24</v>
      </c>
      <c r="H497">
        <v>3</v>
      </c>
      <c r="I497">
        <v>1</v>
      </c>
      <c r="J497" t="s">
        <v>30</v>
      </c>
      <c r="K497">
        <v>1</v>
      </c>
      <c r="L497">
        <v>3041</v>
      </c>
      <c r="M497" t="str" cm="1">
        <f t="array" ref="M497">_xlfn.IFS(L497&lt;= 7000,"Low",L497&lt;=15000,"Medium",L497&lt;=20000,"High")</f>
        <v>Low</v>
      </c>
      <c r="N497" t="s">
        <v>22</v>
      </c>
      <c r="O497">
        <v>11</v>
      </c>
      <c r="P497">
        <v>3</v>
      </c>
      <c r="Q497">
        <v>2</v>
      </c>
      <c r="R497">
        <v>5</v>
      </c>
      <c r="S497">
        <v>3</v>
      </c>
      <c r="T497">
        <v>4</v>
      </c>
      <c r="U497">
        <v>3</v>
      </c>
    </row>
    <row r="498" spans="1:21" x14ac:dyDescent="0.35">
      <c r="A498">
        <v>21</v>
      </c>
      <c r="B498" t="str" cm="1">
        <f t="array" ref="B498">_xlfn.IFS(A498&gt;40,"Senior",A498&gt;30,"Adult",A498&gt;=18,"Teenager")</f>
        <v>Teenager</v>
      </c>
      <c r="C498" t="s">
        <v>22</v>
      </c>
      <c r="D498">
        <f t="shared" si="7"/>
        <v>0</v>
      </c>
      <c r="E498" t="s">
        <v>19</v>
      </c>
      <c r="F498">
        <v>3</v>
      </c>
      <c r="G498" t="s">
        <v>24</v>
      </c>
      <c r="H498">
        <v>3</v>
      </c>
      <c r="I498">
        <v>1</v>
      </c>
      <c r="J498" t="s">
        <v>30</v>
      </c>
      <c r="K498">
        <v>3</v>
      </c>
      <c r="L498">
        <v>3447</v>
      </c>
      <c r="M498" t="str" cm="1">
        <f t="array" ref="M498">_xlfn.IFS(L498&lt;= 7000,"Low",L498&lt;=15000,"Medium",L498&lt;=20000,"High")</f>
        <v>Low</v>
      </c>
      <c r="N498" t="s">
        <v>22</v>
      </c>
      <c r="O498">
        <v>11</v>
      </c>
      <c r="P498">
        <v>3</v>
      </c>
      <c r="Q498">
        <v>3</v>
      </c>
      <c r="R498">
        <v>3</v>
      </c>
      <c r="S498">
        <v>3</v>
      </c>
      <c r="T498">
        <v>3</v>
      </c>
      <c r="U498">
        <v>2</v>
      </c>
    </row>
    <row r="499" spans="1:21" x14ac:dyDescent="0.35">
      <c r="A499">
        <v>44</v>
      </c>
      <c r="B499" t="str" cm="1">
        <f t="array" ref="B499">_xlfn.IFS(A499&gt;40,"Senior",A499&gt;30,"Adult",A499&gt;=18,"Teenager")</f>
        <v>Senior</v>
      </c>
      <c r="C499" t="s">
        <v>22</v>
      </c>
      <c r="D499">
        <f t="shared" si="7"/>
        <v>0</v>
      </c>
      <c r="E499" t="s">
        <v>23</v>
      </c>
      <c r="F499">
        <v>4</v>
      </c>
      <c r="G499" t="s">
        <v>24</v>
      </c>
      <c r="H499">
        <v>3</v>
      </c>
      <c r="I499">
        <v>5</v>
      </c>
      <c r="J499" t="s">
        <v>29</v>
      </c>
      <c r="K499">
        <v>4</v>
      </c>
      <c r="L499">
        <v>19513</v>
      </c>
      <c r="M499" t="str" cm="1">
        <f t="array" ref="M499">_xlfn.IFS(L499&lt;= 7000,"Low",L499&lt;=15000,"Medium",L499&lt;=20000,"High")</f>
        <v>High</v>
      </c>
      <c r="N499" t="s">
        <v>18</v>
      </c>
      <c r="O499">
        <v>12</v>
      </c>
      <c r="P499">
        <v>3</v>
      </c>
      <c r="Q499">
        <v>1</v>
      </c>
      <c r="R499">
        <v>26</v>
      </c>
      <c r="S499">
        <v>4</v>
      </c>
      <c r="T499">
        <v>2</v>
      </c>
      <c r="U499">
        <v>2</v>
      </c>
    </row>
    <row r="500" spans="1:21" x14ac:dyDescent="0.35">
      <c r="A500">
        <v>22</v>
      </c>
      <c r="B500" t="str" cm="1">
        <f t="array" ref="B500">_xlfn.IFS(A500&gt;40,"Senior",A500&gt;30,"Adult",A500&gt;=18,"Teenager")</f>
        <v>Teenager</v>
      </c>
      <c r="C500" t="s">
        <v>22</v>
      </c>
      <c r="D500">
        <f t="shared" si="7"/>
        <v>0</v>
      </c>
      <c r="E500" t="s">
        <v>23</v>
      </c>
      <c r="F500">
        <v>1</v>
      </c>
      <c r="G500" t="s">
        <v>24</v>
      </c>
      <c r="H500">
        <v>3</v>
      </c>
      <c r="I500">
        <v>1</v>
      </c>
      <c r="J500" t="s">
        <v>25</v>
      </c>
      <c r="K500">
        <v>3</v>
      </c>
      <c r="L500">
        <v>2773</v>
      </c>
      <c r="M500" t="str" cm="1">
        <f t="array" ref="M500">_xlfn.IFS(L500&lt;= 7000,"Low",L500&lt;=15000,"Medium",L500&lt;=20000,"High")</f>
        <v>Low</v>
      </c>
      <c r="N500" t="s">
        <v>22</v>
      </c>
      <c r="O500">
        <v>20</v>
      </c>
      <c r="P500">
        <v>4</v>
      </c>
      <c r="Q500">
        <v>4</v>
      </c>
      <c r="R500">
        <v>3</v>
      </c>
      <c r="S500">
        <v>3</v>
      </c>
      <c r="T500">
        <v>2</v>
      </c>
      <c r="U500">
        <v>2</v>
      </c>
    </row>
    <row r="501" spans="1:21" x14ac:dyDescent="0.35">
      <c r="A501">
        <v>33</v>
      </c>
      <c r="B501" t="str" cm="1">
        <f t="array" ref="B501">_xlfn.IFS(A501&gt;40,"Senior",A501&gt;30,"Adult",A501&gt;=18,"Teenager")</f>
        <v>Adult</v>
      </c>
      <c r="C501" t="s">
        <v>22</v>
      </c>
      <c r="D501">
        <f t="shared" si="7"/>
        <v>0</v>
      </c>
      <c r="E501" t="s">
        <v>19</v>
      </c>
      <c r="F501">
        <v>3</v>
      </c>
      <c r="G501" t="s">
        <v>24</v>
      </c>
      <c r="H501">
        <v>3</v>
      </c>
      <c r="I501">
        <v>2</v>
      </c>
      <c r="J501" t="s">
        <v>21</v>
      </c>
      <c r="K501">
        <v>3</v>
      </c>
      <c r="L501">
        <v>7104</v>
      </c>
      <c r="M501" t="str" cm="1">
        <f t="array" ref="M501">_xlfn.IFS(L501&lt;= 7000,"Low",L501&lt;=15000,"Medium",L501&lt;=20000,"High")</f>
        <v>Medium</v>
      </c>
      <c r="N501" t="s">
        <v>22</v>
      </c>
      <c r="O501">
        <v>12</v>
      </c>
      <c r="P501">
        <v>3</v>
      </c>
      <c r="Q501">
        <v>4</v>
      </c>
      <c r="R501">
        <v>6</v>
      </c>
      <c r="S501">
        <v>3</v>
      </c>
      <c r="T501">
        <v>5</v>
      </c>
      <c r="U501">
        <v>0</v>
      </c>
    </row>
    <row r="502" spans="1:21" x14ac:dyDescent="0.35">
      <c r="A502">
        <v>32</v>
      </c>
      <c r="B502" t="str" cm="1">
        <f t="array" ref="B502">_xlfn.IFS(A502&gt;40,"Senior",A502&gt;30,"Adult",A502&gt;=18,"Teenager")</f>
        <v>Adult</v>
      </c>
      <c r="C502" t="s">
        <v>22</v>
      </c>
      <c r="D502">
        <f t="shared" si="7"/>
        <v>0</v>
      </c>
      <c r="E502" t="s">
        <v>23</v>
      </c>
      <c r="F502">
        <v>1</v>
      </c>
      <c r="G502" t="s">
        <v>20</v>
      </c>
      <c r="H502">
        <v>3</v>
      </c>
      <c r="I502">
        <v>2</v>
      </c>
      <c r="J502" t="s">
        <v>25</v>
      </c>
      <c r="K502">
        <v>4</v>
      </c>
      <c r="L502">
        <v>6322</v>
      </c>
      <c r="M502" t="str" cm="1">
        <f t="array" ref="M502">_xlfn.IFS(L502&lt;= 7000,"Low",L502&lt;=15000,"Medium",L502&lt;=20000,"High")</f>
        <v>Low</v>
      </c>
      <c r="N502" t="s">
        <v>18</v>
      </c>
      <c r="O502">
        <v>12</v>
      </c>
      <c r="P502">
        <v>3</v>
      </c>
      <c r="Q502">
        <v>4</v>
      </c>
      <c r="R502">
        <v>6</v>
      </c>
      <c r="S502">
        <v>2</v>
      </c>
      <c r="T502">
        <v>6</v>
      </c>
      <c r="U502">
        <v>4</v>
      </c>
    </row>
    <row r="503" spans="1:21" x14ac:dyDescent="0.35">
      <c r="A503">
        <v>30</v>
      </c>
      <c r="B503" t="str" cm="1">
        <f t="array" ref="B503">_xlfn.IFS(A503&gt;40,"Senior",A503&gt;30,"Adult",A503&gt;=18,"Teenager")</f>
        <v>Teenager</v>
      </c>
      <c r="C503" t="s">
        <v>22</v>
      </c>
      <c r="D503">
        <f t="shared" si="7"/>
        <v>0</v>
      </c>
      <c r="E503" t="s">
        <v>23</v>
      </c>
      <c r="F503">
        <v>3</v>
      </c>
      <c r="G503" t="s">
        <v>20</v>
      </c>
      <c r="H503">
        <v>3</v>
      </c>
      <c r="I503">
        <v>1</v>
      </c>
      <c r="J503" t="s">
        <v>25</v>
      </c>
      <c r="K503">
        <v>3</v>
      </c>
      <c r="L503">
        <v>2083</v>
      </c>
      <c r="M503" t="str" cm="1">
        <f t="array" ref="M503">_xlfn.IFS(L503&lt;= 7000,"Low",L503&lt;=15000,"Medium",L503&lt;=20000,"High")</f>
        <v>Low</v>
      </c>
      <c r="N503" t="s">
        <v>22</v>
      </c>
      <c r="O503">
        <v>20</v>
      </c>
      <c r="P503">
        <v>4</v>
      </c>
      <c r="Q503">
        <v>3</v>
      </c>
      <c r="R503">
        <v>1</v>
      </c>
      <c r="S503">
        <v>3</v>
      </c>
      <c r="T503">
        <v>1</v>
      </c>
      <c r="U503">
        <v>0</v>
      </c>
    </row>
    <row r="504" spans="1:21" x14ac:dyDescent="0.35">
      <c r="A504">
        <v>53</v>
      </c>
      <c r="B504" t="str" cm="1">
        <f t="array" ref="B504">_xlfn.IFS(A504&gt;40,"Senior",A504&gt;30,"Adult",A504&gt;=18,"Teenager")</f>
        <v>Senior</v>
      </c>
      <c r="C504" t="s">
        <v>22</v>
      </c>
      <c r="D504">
        <f t="shared" si="7"/>
        <v>0</v>
      </c>
      <c r="E504" t="s">
        <v>19</v>
      </c>
      <c r="F504">
        <v>4</v>
      </c>
      <c r="G504" t="s">
        <v>20</v>
      </c>
      <c r="H504">
        <v>3</v>
      </c>
      <c r="I504">
        <v>2</v>
      </c>
      <c r="J504" t="s">
        <v>21</v>
      </c>
      <c r="K504">
        <v>1</v>
      </c>
      <c r="L504">
        <v>8381</v>
      </c>
      <c r="M504" t="str" cm="1">
        <f t="array" ref="M504">_xlfn.IFS(L504&lt;= 7000,"Low",L504&lt;=15000,"Medium",L504&lt;=20000,"High")</f>
        <v>Medium</v>
      </c>
      <c r="N504" t="s">
        <v>22</v>
      </c>
      <c r="O504">
        <v>20</v>
      </c>
      <c r="P504">
        <v>4</v>
      </c>
      <c r="Q504">
        <v>4</v>
      </c>
      <c r="R504">
        <v>18</v>
      </c>
      <c r="S504">
        <v>4</v>
      </c>
      <c r="T504">
        <v>14</v>
      </c>
      <c r="U504">
        <v>7</v>
      </c>
    </row>
    <row r="505" spans="1:21" x14ac:dyDescent="0.35">
      <c r="A505">
        <v>34</v>
      </c>
      <c r="B505" t="str" cm="1">
        <f t="array" ref="B505">_xlfn.IFS(A505&gt;40,"Senior",A505&gt;30,"Adult",A505&gt;=18,"Teenager")</f>
        <v>Adult</v>
      </c>
      <c r="C505" t="s">
        <v>22</v>
      </c>
      <c r="D505">
        <f t="shared" si="7"/>
        <v>0</v>
      </c>
      <c r="E505" t="s">
        <v>23</v>
      </c>
      <c r="F505">
        <v>2</v>
      </c>
      <c r="G505" t="s">
        <v>24</v>
      </c>
      <c r="H505">
        <v>3</v>
      </c>
      <c r="I505">
        <v>1</v>
      </c>
      <c r="J505" t="s">
        <v>25</v>
      </c>
      <c r="K505">
        <v>4</v>
      </c>
      <c r="L505">
        <v>2691</v>
      </c>
      <c r="M505" t="str" cm="1">
        <f t="array" ref="M505">_xlfn.IFS(L505&lt;= 7000,"Low",L505&lt;=15000,"Medium",L505&lt;=20000,"High")</f>
        <v>Low</v>
      </c>
      <c r="N505" t="s">
        <v>22</v>
      </c>
      <c r="O505">
        <v>12</v>
      </c>
      <c r="P505">
        <v>3</v>
      </c>
      <c r="Q505">
        <v>4</v>
      </c>
      <c r="R505">
        <v>10</v>
      </c>
      <c r="S505">
        <v>2</v>
      </c>
      <c r="T505">
        <v>10</v>
      </c>
      <c r="U505">
        <v>9</v>
      </c>
    </row>
    <row r="506" spans="1:21" x14ac:dyDescent="0.35">
      <c r="A506">
        <v>45</v>
      </c>
      <c r="B506" t="str" cm="1">
        <f t="array" ref="B506">_xlfn.IFS(A506&gt;40,"Senior",A506&gt;30,"Adult",A506&gt;=18,"Teenager")</f>
        <v>Senior</v>
      </c>
      <c r="C506" t="s">
        <v>18</v>
      </c>
      <c r="D506">
        <f t="shared" si="7"/>
        <v>1</v>
      </c>
      <c r="E506" t="s">
        <v>19</v>
      </c>
      <c r="F506">
        <v>1</v>
      </c>
      <c r="G506" t="s">
        <v>20</v>
      </c>
      <c r="H506">
        <v>3</v>
      </c>
      <c r="I506">
        <v>2</v>
      </c>
      <c r="J506" t="s">
        <v>21</v>
      </c>
      <c r="K506">
        <v>1</v>
      </c>
      <c r="L506">
        <v>4286</v>
      </c>
      <c r="M506" t="str" cm="1">
        <f t="array" ref="M506">_xlfn.IFS(L506&lt;= 7000,"Low",L506&lt;=15000,"Medium",L506&lt;=20000,"High")</f>
        <v>Low</v>
      </c>
      <c r="N506" t="s">
        <v>22</v>
      </c>
      <c r="O506">
        <v>14</v>
      </c>
      <c r="P506">
        <v>3</v>
      </c>
      <c r="Q506">
        <v>4</v>
      </c>
      <c r="R506">
        <v>5</v>
      </c>
      <c r="S506">
        <v>3</v>
      </c>
      <c r="T506">
        <v>1</v>
      </c>
      <c r="U506">
        <v>1</v>
      </c>
    </row>
    <row r="507" spans="1:21" x14ac:dyDescent="0.35">
      <c r="A507">
        <v>26</v>
      </c>
      <c r="B507" t="str" cm="1">
        <f t="array" ref="B507">_xlfn.IFS(A507&gt;40,"Senior",A507&gt;30,"Adult",A507&gt;=18,"Teenager")</f>
        <v>Teenager</v>
      </c>
      <c r="C507" t="s">
        <v>22</v>
      </c>
      <c r="D507">
        <f t="shared" si="7"/>
        <v>0</v>
      </c>
      <c r="E507" t="s">
        <v>23</v>
      </c>
      <c r="F507">
        <v>3</v>
      </c>
      <c r="G507" t="s">
        <v>20</v>
      </c>
      <c r="H507">
        <v>3</v>
      </c>
      <c r="I507">
        <v>1</v>
      </c>
      <c r="J507" t="s">
        <v>26</v>
      </c>
      <c r="K507">
        <v>4</v>
      </c>
      <c r="L507">
        <v>2659</v>
      </c>
      <c r="M507" t="str" cm="1">
        <f t="array" ref="M507">_xlfn.IFS(L507&lt;= 7000,"Low",L507&lt;=15000,"Medium",L507&lt;=20000,"High")</f>
        <v>Low</v>
      </c>
      <c r="N507" t="s">
        <v>18</v>
      </c>
      <c r="O507">
        <v>13</v>
      </c>
      <c r="P507">
        <v>3</v>
      </c>
      <c r="Q507">
        <v>3</v>
      </c>
      <c r="R507">
        <v>3</v>
      </c>
      <c r="S507">
        <v>3</v>
      </c>
      <c r="T507">
        <v>3</v>
      </c>
      <c r="U507">
        <v>2</v>
      </c>
    </row>
    <row r="508" spans="1:21" x14ac:dyDescent="0.35">
      <c r="A508">
        <v>37</v>
      </c>
      <c r="B508" t="str" cm="1">
        <f t="array" ref="B508">_xlfn.IFS(A508&gt;40,"Senior",A508&gt;30,"Adult",A508&gt;=18,"Teenager")</f>
        <v>Adult</v>
      </c>
      <c r="C508" t="s">
        <v>22</v>
      </c>
      <c r="D508">
        <f t="shared" si="7"/>
        <v>0</v>
      </c>
      <c r="E508" t="s">
        <v>23</v>
      </c>
      <c r="F508">
        <v>3</v>
      </c>
      <c r="G508" t="s">
        <v>24</v>
      </c>
      <c r="H508">
        <v>3</v>
      </c>
      <c r="I508">
        <v>3</v>
      </c>
      <c r="J508" t="s">
        <v>27</v>
      </c>
      <c r="K508">
        <v>3</v>
      </c>
      <c r="L508">
        <v>9434</v>
      </c>
      <c r="M508" t="str" cm="1">
        <f t="array" ref="M508">_xlfn.IFS(L508&lt;= 7000,"Low",L508&lt;=15000,"Medium",L508&lt;=20000,"High")</f>
        <v>Medium</v>
      </c>
      <c r="N508" t="s">
        <v>22</v>
      </c>
      <c r="O508">
        <v>15</v>
      </c>
      <c r="P508">
        <v>3</v>
      </c>
      <c r="Q508">
        <v>3</v>
      </c>
      <c r="R508">
        <v>10</v>
      </c>
      <c r="S508">
        <v>3</v>
      </c>
      <c r="T508">
        <v>10</v>
      </c>
      <c r="U508">
        <v>7</v>
      </c>
    </row>
    <row r="509" spans="1:21" x14ac:dyDescent="0.35">
      <c r="A509">
        <v>29</v>
      </c>
      <c r="B509" t="str" cm="1">
        <f t="array" ref="B509">_xlfn.IFS(A509&gt;40,"Senior",A509&gt;30,"Adult",A509&gt;=18,"Teenager")</f>
        <v>Teenager</v>
      </c>
      <c r="C509" t="s">
        <v>22</v>
      </c>
      <c r="D509">
        <f t="shared" si="7"/>
        <v>0</v>
      </c>
      <c r="E509" t="s">
        <v>19</v>
      </c>
      <c r="F509">
        <v>2</v>
      </c>
      <c r="G509" t="s">
        <v>20</v>
      </c>
      <c r="H509">
        <v>3</v>
      </c>
      <c r="I509">
        <v>2</v>
      </c>
      <c r="J509" t="s">
        <v>21</v>
      </c>
      <c r="K509">
        <v>3</v>
      </c>
      <c r="L509">
        <v>5561</v>
      </c>
      <c r="M509" t="str" cm="1">
        <f t="array" ref="M509">_xlfn.IFS(L509&lt;= 7000,"Low",L509&lt;=15000,"Medium",L509&lt;=20000,"High")</f>
        <v>Low</v>
      </c>
      <c r="N509" t="s">
        <v>22</v>
      </c>
      <c r="O509">
        <v>14</v>
      </c>
      <c r="P509">
        <v>3</v>
      </c>
      <c r="Q509">
        <v>1</v>
      </c>
      <c r="R509">
        <v>6</v>
      </c>
      <c r="S509">
        <v>2</v>
      </c>
      <c r="T509">
        <v>6</v>
      </c>
      <c r="U509">
        <v>0</v>
      </c>
    </row>
    <row r="510" spans="1:21" x14ac:dyDescent="0.35">
      <c r="A510">
        <v>35</v>
      </c>
      <c r="B510" t="str" cm="1">
        <f t="array" ref="B510">_xlfn.IFS(A510&gt;40,"Senior",A510&gt;30,"Adult",A510&gt;=18,"Teenager")</f>
        <v>Adult</v>
      </c>
      <c r="C510" t="s">
        <v>22</v>
      </c>
      <c r="D510">
        <f t="shared" si="7"/>
        <v>0</v>
      </c>
      <c r="E510" t="s">
        <v>23</v>
      </c>
      <c r="F510">
        <v>2</v>
      </c>
      <c r="G510" t="s">
        <v>24</v>
      </c>
      <c r="H510">
        <v>1</v>
      </c>
      <c r="I510">
        <v>2</v>
      </c>
      <c r="J510" t="s">
        <v>25</v>
      </c>
      <c r="K510">
        <v>4</v>
      </c>
      <c r="L510">
        <v>6646</v>
      </c>
      <c r="M510" t="str" cm="1">
        <f t="array" ref="M510">_xlfn.IFS(L510&lt;= 7000,"Low",L510&lt;=15000,"Medium",L510&lt;=20000,"High")</f>
        <v>Low</v>
      </c>
      <c r="N510" t="s">
        <v>22</v>
      </c>
      <c r="O510">
        <v>13</v>
      </c>
      <c r="P510">
        <v>3</v>
      </c>
      <c r="Q510">
        <v>2</v>
      </c>
      <c r="R510">
        <v>17</v>
      </c>
      <c r="S510">
        <v>3</v>
      </c>
      <c r="T510">
        <v>17</v>
      </c>
      <c r="U510">
        <v>11</v>
      </c>
    </row>
    <row r="511" spans="1:21" x14ac:dyDescent="0.35">
      <c r="A511">
        <v>33</v>
      </c>
      <c r="B511" t="str" cm="1">
        <f t="array" ref="B511">_xlfn.IFS(A511&gt;40,"Senior",A511&gt;30,"Adult",A511&gt;=18,"Teenager")</f>
        <v>Adult</v>
      </c>
      <c r="C511" t="s">
        <v>22</v>
      </c>
      <c r="D511">
        <f t="shared" si="7"/>
        <v>0</v>
      </c>
      <c r="E511" t="s">
        <v>23</v>
      </c>
      <c r="F511">
        <v>3</v>
      </c>
      <c r="G511" t="s">
        <v>24</v>
      </c>
      <c r="H511">
        <v>3</v>
      </c>
      <c r="I511">
        <v>2</v>
      </c>
      <c r="J511" t="s">
        <v>28</v>
      </c>
      <c r="K511">
        <v>4</v>
      </c>
      <c r="L511">
        <v>7725</v>
      </c>
      <c r="M511" t="str" cm="1">
        <f t="array" ref="M511">_xlfn.IFS(L511&lt;= 7000,"Low",L511&lt;=15000,"Medium",L511&lt;=20000,"High")</f>
        <v>Medium</v>
      </c>
      <c r="N511" t="s">
        <v>22</v>
      </c>
      <c r="O511">
        <v>23</v>
      </c>
      <c r="P511">
        <v>4</v>
      </c>
      <c r="Q511">
        <v>3</v>
      </c>
      <c r="R511">
        <v>15</v>
      </c>
      <c r="S511">
        <v>1</v>
      </c>
      <c r="T511">
        <v>13</v>
      </c>
      <c r="U511">
        <v>11</v>
      </c>
    </row>
    <row r="512" spans="1:21" x14ac:dyDescent="0.35">
      <c r="A512">
        <v>54</v>
      </c>
      <c r="B512" t="str" cm="1">
        <f t="array" ref="B512">_xlfn.IFS(A512&gt;40,"Senior",A512&gt;30,"Adult",A512&gt;=18,"Teenager")</f>
        <v>Senior</v>
      </c>
      <c r="C512" t="s">
        <v>22</v>
      </c>
      <c r="D512">
        <f t="shared" si="7"/>
        <v>0</v>
      </c>
      <c r="E512" t="s">
        <v>32</v>
      </c>
      <c r="F512">
        <v>3</v>
      </c>
      <c r="G512" t="s">
        <v>24</v>
      </c>
      <c r="H512">
        <v>3</v>
      </c>
      <c r="I512">
        <v>3</v>
      </c>
      <c r="J512" t="s">
        <v>32</v>
      </c>
      <c r="K512">
        <v>2</v>
      </c>
      <c r="L512">
        <v>10725</v>
      </c>
      <c r="M512" t="str" cm="1">
        <f t="array" ref="M512">_xlfn.IFS(L512&lt;= 7000,"Low",L512&lt;=15000,"Medium",L512&lt;=20000,"High")</f>
        <v>Medium</v>
      </c>
      <c r="N512" t="s">
        <v>22</v>
      </c>
      <c r="O512">
        <v>15</v>
      </c>
      <c r="P512">
        <v>3</v>
      </c>
      <c r="Q512">
        <v>3</v>
      </c>
      <c r="R512">
        <v>16</v>
      </c>
      <c r="S512">
        <v>4</v>
      </c>
      <c r="T512">
        <v>9</v>
      </c>
      <c r="U512">
        <v>7</v>
      </c>
    </row>
    <row r="513" spans="1:21" x14ac:dyDescent="0.35">
      <c r="A513">
        <v>36</v>
      </c>
      <c r="B513" t="str" cm="1">
        <f t="array" ref="B513">_xlfn.IFS(A513&gt;40,"Senior",A513&gt;30,"Adult",A513&gt;=18,"Teenager")</f>
        <v>Adult</v>
      </c>
      <c r="C513" t="s">
        <v>22</v>
      </c>
      <c r="D513">
        <f t="shared" si="7"/>
        <v>0</v>
      </c>
      <c r="E513" t="s">
        <v>23</v>
      </c>
      <c r="F513">
        <v>2</v>
      </c>
      <c r="G513" t="s">
        <v>24</v>
      </c>
      <c r="H513">
        <v>2</v>
      </c>
      <c r="I513">
        <v>2</v>
      </c>
      <c r="J513" t="s">
        <v>27</v>
      </c>
      <c r="K513">
        <v>2</v>
      </c>
      <c r="L513">
        <v>8847</v>
      </c>
      <c r="M513" t="str" cm="1">
        <f t="array" ref="M513">_xlfn.IFS(L513&lt;= 7000,"Low",L513&lt;=15000,"Medium",L513&lt;=20000,"High")</f>
        <v>Medium</v>
      </c>
      <c r="N513" t="s">
        <v>18</v>
      </c>
      <c r="O513">
        <v>11</v>
      </c>
      <c r="P513">
        <v>3</v>
      </c>
      <c r="Q513">
        <v>3</v>
      </c>
      <c r="R513">
        <v>13</v>
      </c>
      <c r="S513">
        <v>3</v>
      </c>
      <c r="T513">
        <v>3</v>
      </c>
      <c r="U513">
        <v>2</v>
      </c>
    </row>
    <row r="514" spans="1:21" x14ac:dyDescent="0.35">
      <c r="A514">
        <v>27</v>
      </c>
      <c r="B514" t="str" cm="1">
        <f t="array" ref="B514">_xlfn.IFS(A514&gt;40,"Senior",A514&gt;30,"Adult",A514&gt;=18,"Teenager")</f>
        <v>Teenager</v>
      </c>
      <c r="C514" t="s">
        <v>22</v>
      </c>
      <c r="D514">
        <f t="shared" si="7"/>
        <v>0</v>
      </c>
      <c r="E514" t="s">
        <v>23</v>
      </c>
      <c r="F514">
        <v>1</v>
      </c>
      <c r="G514" t="s">
        <v>24</v>
      </c>
      <c r="H514">
        <v>2</v>
      </c>
      <c r="I514">
        <v>1</v>
      </c>
      <c r="J514" t="s">
        <v>25</v>
      </c>
      <c r="K514">
        <v>4</v>
      </c>
      <c r="L514">
        <v>2045</v>
      </c>
      <c r="M514" t="str" cm="1">
        <f t="array" ref="M514">_xlfn.IFS(L514&lt;= 7000,"Low",L514&lt;=15000,"Medium",L514&lt;=20000,"High")</f>
        <v>Low</v>
      </c>
      <c r="N514" t="s">
        <v>22</v>
      </c>
      <c r="O514">
        <v>13</v>
      </c>
      <c r="P514">
        <v>3</v>
      </c>
      <c r="Q514">
        <v>4</v>
      </c>
      <c r="R514">
        <v>5</v>
      </c>
      <c r="S514">
        <v>3</v>
      </c>
      <c r="T514">
        <v>4</v>
      </c>
      <c r="U514">
        <v>2</v>
      </c>
    </row>
    <row r="515" spans="1:21" x14ac:dyDescent="0.35">
      <c r="A515">
        <v>20</v>
      </c>
      <c r="B515" t="str" cm="1">
        <f t="array" ref="B515">_xlfn.IFS(A515&gt;40,"Senior",A515&gt;30,"Adult",A515&gt;=18,"Teenager")</f>
        <v>Teenager</v>
      </c>
      <c r="C515" t="s">
        <v>18</v>
      </c>
      <c r="D515">
        <f t="shared" ref="D515:D578" si="8">IF(C515="Yes",1,0)</f>
        <v>1</v>
      </c>
      <c r="E515" t="s">
        <v>23</v>
      </c>
      <c r="F515">
        <v>4</v>
      </c>
      <c r="G515" t="s">
        <v>24</v>
      </c>
      <c r="H515">
        <v>3</v>
      </c>
      <c r="I515">
        <v>1</v>
      </c>
      <c r="J515" t="s">
        <v>25</v>
      </c>
      <c r="K515">
        <v>3</v>
      </c>
      <c r="L515">
        <v>1009</v>
      </c>
      <c r="M515" t="str" cm="1">
        <f t="array" ref="M515">_xlfn.IFS(L515&lt;= 7000,"Low",L515&lt;=15000,"Medium",L515&lt;=20000,"High")</f>
        <v>Low</v>
      </c>
      <c r="N515" t="s">
        <v>18</v>
      </c>
      <c r="O515">
        <v>11</v>
      </c>
      <c r="P515">
        <v>3</v>
      </c>
      <c r="Q515">
        <v>4</v>
      </c>
      <c r="R515">
        <v>1</v>
      </c>
      <c r="S515">
        <v>3</v>
      </c>
      <c r="T515">
        <v>1</v>
      </c>
      <c r="U515">
        <v>0</v>
      </c>
    </row>
    <row r="516" spans="1:21" x14ac:dyDescent="0.35">
      <c r="A516">
        <v>33</v>
      </c>
      <c r="B516" t="str" cm="1">
        <f t="array" ref="B516">_xlfn.IFS(A516&gt;40,"Senior",A516&gt;30,"Adult",A516&gt;=18,"Teenager")</f>
        <v>Adult</v>
      </c>
      <c r="C516" t="s">
        <v>18</v>
      </c>
      <c r="D516">
        <f t="shared" si="8"/>
        <v>1</v>
      </c>
      <c r="E516" t="s">
        <v>23</v>
      </c>
      <c r="F516">
        <v>1</v>
      </c>
      <c r="G516" t="s">
        <v>24</v>
      </c>
      <c r="H516">
        <v>3</v>
      </c>
      <c r="I516">
        <v>1</v>
      </c>
      <c r="J516" t="s">
        <v>25</v>
      </c>
      <c r="K516">
        <v>1</v>
      </c>
      <c r="L516">
        <v>3348</v>
      </c>
      <c r="M516" t="str" cm="1">
        <f t="array" ref="M516">_xlfn.IFS(L516&lt;= 7000,"Low",L516&lt;=15000,"Medium",L516&lt;=20000,"High")</f>
        <v>Low</v>
      </c>
      <c r="N516" t="s">
        <v>18</v>
      </c>
      <c r="O516">
        <v>11</v>
      </c>
      <c r="P516">
        <v>3</v>
      </c>
      <c r="Q516">
        <v>1</v>
      </c>
      <c r="R516">
        <v>10</v>
      </c>
      <c r="S516">
        <v>3</v>
      </c>
      <c r="T516">
        <v>10</v>
      </c>
      <c r="U516">
        <v>8</v>
      </c>
    </row>
    <row r="517" spans="1:21" x14ac:dyDescent="0.35">
      <c r="A517">
        <v>35</v>
      </c>
      <c r="B517" t="str" cm="1">
        <f t="array" ref="B517">_xlfn.IFS(A517&gt;40,"Senior",A517&gt;30,"Adult",A517&gt;=18,"Teenager")</f>
        <v>Adult</v>
      </c>
      <c r="C517" t="s">
        <v>22</v>
      </c>
      <c r="D517">
        <f t="shared" si="8"/>
        <v>0</v>
      </c>
      <c r="E517" t="s">
        <v>23</v>
      </c>
      <c r="F517">
        <v>3</v>
      </c>
      <c r="G517" t="s">
        <v>24</v>
      </c>
      <c r="H517">
        <v>2</v>
      </c>
      <c r="I517">
        <v>1</v>
      </c>
      <c r="J517" t="s">
        <v>26</v>
      </c>
      <c r="K517">
        <v>3</v>
      </c>
      <c r="L517">
        <v>1281</v>
      </c>
      <c r="M517" t="str" cm="1">
        <f t="array" ref="M517">_xlfn.IFS(L517&lt;= 7000,"Low",L517&lt;=15000,"Medium",L517&lt;=20000,"High")</f>
        <v>Low</v>
      </c>
      <c r="N517" t="s">
        <v>22</v>
      </c>
      <c r="O517">
        <v>18</v>
      </c>
      <c r="P517">
        <v>3</v>
      </c>
      <c r="Q517">
        <v>3</v>
      </c>
      <c r="R517">
        <v>1</v>
      </c>
      <c r="S517">
        <v>3</v>
      </c>
      <c r="T517">
        <v>1</v>
      </c>
      <c r="U517">
        <v>0</v>
      </c>
    </row>
    <row r="518" spans="1:21" x14ac:dyDescent="0.35">
      <c r="A518">
        <v>23</v>
      </c>
      <c r="B518" t="str" cm="1">
        <f t="array" ref="B518">_xlfn.IFS(A518&gt;40,"Senior",A518&gt;30,"Adult",A518&gt;=18,"Teenager")</f>
        <v>Teenager</v>
      </c>
      <c r="C518" t="s">
        <v>22</v>
      </c>
      <c r="D518">
        <f t="shared" si="8"/>
        <v>0</v>
      </c>
      <c r="E518" t="s">
        <v>23</v>
      </c>
      <c r="F518">
        <v>1</v>
      </c>
      <c r="G518" t="s">
        <v>24</v>
      </c>
      <c r="H518">
        <v>4</v>
      </c>
      <c r="I518">
        <v>1</v>
      </c>
      <c r="J518" t="s">
        <v>25</v>
      </c>
      <c r="K518">
        <v>1</v>
      </c>
      <c r="L518">
        <v>2819</v>
      </c>
      <c r="M518" t="str" cm="1">
        <f t="array" ref="M518">_xlfn.IFS(L518&lt;= 7000,"Low",L518&lt;=15000,"Medium",L518&lt;=20000,"High")</f>
        <v>Low</v>
      </c>
      <c r="N518" t="s">
        <v>22</v>
      </c>
      <c r="O518">
        <v>16</v>
      </c>
      <c r="P518">
        <v>3</v>
      </c>
      <c r="Q518">
        <v>1</v>
      </c>
      <c r="R518">
        <v>5</v>
      </c>
      <c r="S518">
        <v>4</v>
      </c>
      <c r="T518">
        <v>3</v>
      </c>
      <c r="U518">
        <v>2</v>
      </c>
    </row>
    <row r="519" spans="1:21" x14ac:dyDescent="0.35">
      <c r="A519">
        <v>25</v>
      </c>
      <c r="B519" t="str" cm="1">
        <f t="array" ref="B519">_xlfn.IFS(A519&gt;40,"Senior",A519&gt;30,"Adult",A519&gt;=18,"Teenager")</f>
        <v>Teenager</v>
      </c>
      <c r="C519" t="s">
        <v>22</v>
      </c>
      <c r="D519">
        <f t="shared" si="8"/>
        <v>0</v>
      </c>
      <c r="E519" t="s">
        <v>19</v>
      </c>
      <c r="F519">
        <v>4</v>
      </c>
      <c r="G519" t="s">
        <v>24</v>
      </c>
      <c r="H519">
        <v>4</v>
      </c>
      <c r="I519">
        <v>2</v>
      </c>
      <c r="J519" t="s">
        <v>21</v>
      </c>
      <c r="K519">
        <v>2</v>
      </c>
      <c r="L519">
        <v>4851</v>
      </c>
      <c r="M519" t="str" cm="1">
        <f t="array" ref="M519">_xlfn.IFS(L519&lt;= 7000,"Low",L519&lt;=15000,"Medium",L519&lt;=20000,"High")</f>
        <v>Low</v>
      </c>
      <c r="N519" t="s">
        <v>22</v>
      </c>
      <c r="O519">
        <v>22</v>
      </c>
      <c r="P519">
        <v>4</v>
      </c>
      <c r="Q519">
        <v>3</v>
      </c>
      <c r="R519">
        <v>4</v>
      </c>
      <c r="S519">
        <v>3</v>
      </c>
      <c r="T519">
        <v>3</v>
      </c>
      <c r="U519">
        <v>2</v>
      </c>
    </row>
    <row r="520" spans="1:21" x14ac:dyDescent="0.35">
      <c r="A520">
        <v>38</v>
      </c>
      <c r="B520" t="str" cm="1">
        <f t="array" ref="B520">_xlfn.IFS(A520&gt;40,"Senior",A520&gt;30,"Adult",A520&gt;=18,"Teenager")</f>
        <v>Adult</v>
      </c>
      <c r="C520" t="s">
        <v>22</v>
      </c>
      <c r="D520">
        <f t="shared" si="8"/>
        <v>0</v>
      </c>
      <c r="E520" t="s">
        <v>19</v>
      </c>
      <c r="F520">
        <v>4</v>
      </c>
      <c r="G520" t="s">
        <v>20</v>
      </c>
      <c r="H520">
        <v>2</v>
      </c>
      <c r="I520">
        <v>2</v>
      </c>
      <c r="J520" t="s">
        <v>21</v>
      </c>
      <c r="K520">
        <v>4</v>
      </c>
      <c r="L520">
        <v>4028</v>
      </c>
      <c r="M520" t="str" cm="1">
        <f t="array" ref="M520">_xlfn.IFS(L520&lt;= 7000,"Low",L520&lt;=15000,"Medium",L520&lt;=20000,"High")</f>
        <v>Low</v>
      </c>
      <c r="N520" t="s">
        <v>22</v>
      </c>
      <c r="O520">
        <v>20</v>
      </c>
      <c r="P520">
        <v>4</v>
      </c>
      <c r="Q520">
        <v>1</v>
      </c>
      <c r="R520">
        <v>8</v>
      </c>
      <c r="S520">
        <v>3</v>
      </c>
      <c r="T520">
        <v>7</v>
      </c>
      <c r="U520">
        <v>7</v>
      </c>
    </row>
    <row r="521" spans="1:21" x14ac:dyDescent="0.35">
      <c r="A521">
        <v>29</v>
      </c>
      <c r="B521" t="str" cm="1">
        <f t="array" ref="B521">_xlfn.IFS(A521&gt;40,"Senior",A521&gt;30,"Adult",A521&gt;=18,"Teenager")</f>
        <v>Teenager</v>
      </c>
      <c r="C521" t="s">
        <v>22</v>
      </c>
      <c r="D521">
        <f t="shared" si="8"/>
        <v>0</v>
      </c>
      <c r="E521" t="s">
        <v>23</v>
      </c>
      <c r="F521">
        <v>2</v>
      </c>
      <c r="G521" t="s">
        <v>24</v>
      </c>
      <c r="H521">
        <v>1</v>
      </c>
      <c r="I521">
        <v>1</v>
      </c>
      <c r="J521" t="s">
        <v>25</v>
      </c>
      <c r="K521">
        <v>4</v>
      </c>
      <c r="L521">
        <v>2720</v>
      </c>
      <c r="M521" t="str" cm="1">
        <f t="array" ref="M521">_xlfn.IFS(L521&lt;= 7000,"Low",L521&lt;=15000,"Medium",L521&lt;=20000,"High")</f>
        <v>Low</v>
      </c>
      <c r="N521" t="s">
        <v>22</v>
      </c>
      <c r="O521">
        <v>18</v>
      </c>
      <c r="P521">
        <v>3</v>
      </c>
      <c r="Q521">
        <v>4</v>
      </c>
      <c r="R521">
        <v>10</v>
      </c>
      <c r="S521">
        <v>3</v>
      </c>
      <c r="T521">
        <v>10</v>
      </c>
      <c r="U521">
        <v>7</v>
      </c>
    </row>
    <row r="522" spans="1:21" x14ac:dyDescent="0.35">
      <c r="A522">
        <v>48</v>
      </c>
      <c r="B522" t="str" cm="1">
        <f t="array" ref="B522">_xlfn.IFS(A522&gt;40,"Senior",A522&gt;30,"Adult",A522&gt;=18,"Teenager")</f>
        <v>Senior</v>
      </c>
      <c r="C522" t="s">
        <v>22</v>
      </c>
      <c r="D522">
        <f t="shared" si="8"/>
        <v>0</v>
      </c>
      <c r="E522" t="s">
        <v>19</v>
      </c>
      <c r="F522">
        <v>2</v>
      </c>
      <c r="G522" t="s">
        <v>24</v>
      </c>
      <c r="H522">
        <v>4</v>
      </c>
      <c r="I522">
        <v>2</v>
      </c>
      <c r="J522" t="s">
        <v>21</v>
      </c>
      <c r="K522">
        <v>2</v>
      </c>
      <c r="L522">
        <v>8120</v>
      </c>
      <c r="M522" t="str" cm="1">
        <f t="array" ref="M522">_xlfn.IFS(L522&lt;= 7000,"Low",L522&lt;=15000,"Medium",L522&lt;=20000,"High")</f>
        <v>Medium</v>
      </c>
      <c r="N522" t="s">
        <v>22</v>
      </c>
      <c r="O522">
        <v>12</v>
      </c>
      <c r="P522">
        <v>3</v>
      </c>
      <c r="Q522">
        <v>4</v>
      </c>
      <c r="R522">
        <v>12</v>
      </c>
      <c r="S522">
        <v>3</v>
      </c>
      <c r="T522">
        <v>2</v>
      </c>
      <c r="U522">
        <v>2</v>
      </c>
    </row>
    <row r="523" spans="1:21" x14ac:dyDescent="0.35">
      <c r="A523">
        <v>27</v>
      </c>
      <c r="B523" t="str" cm="1">
        <f t="array" ref="B523">_xlfn.IFS(A523&gt;40,"Senior",A523&gt;30,"Adult",A523&gt;=18,"Teenager")</f>
        <v>Teenager</v>
      </c>
      <c r="C523" t="s">
        <v>22</v>
      </c>
      <c r="D523">
        <f t="shared" si="8"/>
        <v>0</v>
      </c>
      <c r="E523" t="s">
        <v>19</v>
      </c>
      <c r="F523">
        <v>4</v>
      </c>
      <c r="G523" t="s">
        <v>20</v>
      </c>
      <c r="H523">
        <v>4</v>
      </c>
      <c r="I523">
        <v>2</v>
      </c>
      <c r="J523" t="s">
        <v>21</v>
      </c>
      <c r="K523">
        <v>4</v>
      </c>
      <c r="L523">
        <v>4647</v>
      </c>
      <c r="M523" t="str" cm="1">
        <f t="array" ref="M523">_xlfn.IFS(L523&lt;= 7000,"Low",L523&lt;=15000,"Medium",L523&lt;=20000,"High")</f>
        <v>Low</v>
      </c>
      <c r="N523" t="s">
        <v>18</v>
      </c>
      <c r="O523">
        <v>20</v>
      </c>
      <c r="P523">
        <v>4</v>
      </c>
      <c r="Q523">
        <v>2</v>
      </c>
      <c r="R523">
        <v>6</v>
      </c>
      <c r="S523">
        <v>3</v>
      </c>
      <c r="T523">
        <v>6</v>
      </c>
      <c r="U523">
        <v>5</v>
      </c>
    </row>
    <row r="524" spans="1:21" x14ac:dyDescent="0.35">
      <c r="A524">
        <v>37</v>
      </c>
      <c r="B524" t="str" cm="1">
        <f t="array" ref="B524">_xlfn.IFS(A524&gt;40,"Senior",A524&gt;30,"Adult",A524&gt;=18,"Teenager")</f>
        <v>Adult</v>
      </c>
      <c r="C524" t="s">
        <v>22</v>
      </c>
      <c r="D524">
        <f t="shared" si="8"/>
        <v>0</v>
      </c>
      <c r="E524" t="s">
        <v>23</v>
      </c>
      <c r="F524">
        <v>4</v>
      </c>
      <c r="G524" t="s">
        <v>24</v>
      </c>
      <c r="H524">
        <v>4</v>
      </c>
      <c r="I524">
        <v>1</v>
      </c>
      <c r="J524" t="s">
        <v>25</v>
      </c>
      <c r="K524">
        <v>4</v>
      </c>
      <c r="L524">
        <v>4680</v>
      </c>
      <c r="M524" t="str" cm="1">
        <f t="array" ref="M524">_xlfn.IFS(L524&lt;= 7000,"Low",L524&lt;=15000,"Medium",L524&lt;=20000,"High")</f>
        <v>Low</v>
      </c>
      <c r="N524" t="s">
        <v>22</v>
      </c>
      <c r="O524">
        <v>17</v>
      </c>
      <c r="P524">
        <v>3</v>
      </c>
      <c r="Q524">
        <v>1</v>
      </c>
      <c r="R524">
        <v>4</v>
      </c>
      <c r="S524">
        <v>3</v>
      </c>
      <c r="T524">
        <v>1</v>
      </c>
      <c r="U524">
        <v>0</v>
      </c>
    </row>
    <row r="525" spans="1:21" x14ac:dyDescent="0.35">
      <c r="A525">
        <v>50</v>
      </c>
      <c r="B525" t="str" cm="1">
        <f t="array" ref="B525">_xlfn.IFS(A525&gt;40,"Senior",A525&gt;30,"Adult",A525&gt;=18,"Teenager")</f>
        <v>Senior</v>
      </c>
      <c r="C525" t="s">
        <v>22</v>
      </c>
      <c r="D525">
        <f t="shared" si="8"/>
        <v>0</v>
      </c>
      <c r="E525" t="s">
        <v>23</v>
      </c>
      <c r="F525">
        <v>4</v>
      </c>
      <c r="G525" t="s">
        <v>24</v>
      </c>
      <c r="H525">
        <v>4</v>
      </c>
      <c r="I525">
        <v>1</v>
      </c>
      <c r="J525" t="s">
        <v>26</v>
      </c>
      <c r="K525">
        <v>3</v>
      </c>
      <c r="L525">
        <v>3221</v>
      </c>
      <c r="M525" t="str" cm="1">
        <f t="array" ref="M525">_xlfn.IFS(L525&lt;= 7000,"Low",L525&lt;=15000,"Medium",L525&lt;=20000,"High")</f>
        <v>Low</v>
      </c>
      <c r="N525" t="s">
        <v>18</v>
      </c>
      <c r="O525">
        <v>11</v>
      </c>
      <c r="P525">
        <v>3</v>
      </c>
      <c r="Q525">
        <v>3</v>
      </c>
      <c r="R525">
        <v>20</v>
      </c>
      <c r="S525">
        <v>3</v>
      </c>
      <c r="T525">
        <v>20</v>
      </c>
      <c r="U525">
        <v>8</v>
      </c>
    </row>
    <row r="526" spans="1:21" x14ac:dyDescent="0.35">
      <c r="A526">
        <v>34</v>
      </c>
      <c r="B526" t="str" cm="1">
        <f t="array" ref="B526">_xlfn.IFS(A526&gt;40,"Senior",A526&gt;30,"Adult",A526&gt;=18,"Teenager")</f>
        <v>Adult</v>
      </c>
      <c r="C526" t="s">
        <v>22</v>
      </c>
      <c r="D526">
        <f t="shared" si="8"/>
        <v>0</v>
      </c>
      <c r="E526" t="s">
        <v>23</v>
      </c>
      <c r="F526">
        <v>4</v>
      </c>
      <c r="G526" t="s">
        <v>20</v>
      </c>
      <c r="H526">
        <v>2</v>
      </c>
      <c r="I526">
        <v>3</v>
      </c>
      <c r="J526" t="s">
        <v>28</v>
      </c>
      <c r="K526">
        <v>2</v>
      </c>
      <c r="L526">
        <v>8621</v>
      </c>
      <c r="M526" t="str" cm="1">
        <f t="array" ref="M526">_xlfn.IFS(L526&lt;= 7000,"Low",L526&lt;=15000,"Medium",L526&lt;=20000,"High")</f>
        <v>Medium</v>
      </c>
      <c r="N526" t="s">
        <v>22</v>
      </c>
      <c r="O526">
        <v>14</v>
      </c>
      <c r="P526">
        <v>3</v>
      </c>
      <c r="Q526">
        <v>2</v>
      </c>
      <c r="R526">
        <v>9</v>
      </c>
      <c r="S526">
        <v>4</v>
      </c>
      <c r="T526">
        <v>8</v>
      </c>
      <c r="U526">
        <v>7</v>
      </c>
    </row>
    <row r="527" spans="1:21" x14ac:dyDescent="0.35">
      <c r="A527">
        <v>24</v>
      </c>
      <c r="B527" t="str" cm="1">
        <f t="array" ref="B527">_xlfn.IFS(A527&gt;40,"Senior",A527&gt;30,"Adult",A527&gt;=18,"Teenager")</f>
        <v>Teenager</v>
      </c>
      <c r="C527" t="s">
        <v>18</v>
      </c>
      <c r="D527">
        <f t="shared" si="8"/>
        <v>1</v>
      </c>
      <c r="E527" t="s">
        <v>19</v>
      </c>
      <c r="F527">
        <v>1</v>
      </c>
      <c r="G527" t="s">
        <v>20</v>
      </c>
      <c r="H527">
        <v>3</v>
      </c>
      <c r="I527">
        <v>2</v>
      </c>
      <c r="J527" t="s">
        <v>21</v>
      </c>
      <c r="K527">
        <v>3</v>
      </c>
      <c r="L527">
        <v>4577</v>
      </c>
      <c r="M527" t="str" cm="1">
        <f t="array" ref="M527">_xlfn.IFS(L527&lt;= 7000,"Low",L527&lt;=15000,"Medium",L527&lt;=20000,"High")</f>
        <v>Low</v>
      </c>
      <c r="N527" t="s">
        <v>22</v>
      </c>
      <c r="O527">
        <v>14</v>
      </c>
      <c r="P527">
        <v>3</v>
      </c>
      <c r="Q527">
        <v>1</v>
      </c>
      <c r="R527">
        <v>4</v>
      </c>
      <c r="S527">
        <v>3</v>
      </c>
      <c r="T527">
        <v>2</v>
      </c>
      <c r="U527">
        <v>2</v>
      </c>
    </row>
    <row r="528" spans="1:21" x14ac:dyDescent="0.35">
      <c r="A528">
        <v>39</v>
      </c>
      <c r="B528" t="str" cm="1">
        <f t="array" ref="B528">_xlfn.IFS(A528&gt;40,"Senior",A528&gt;30,"Adult",A528&gt;=18,"Teenager")</f>
        <v>Adult</v>
      </c>
      <c r="C528" t="s">
        <v>22</v>
      </c>
      <c r="D528">
        <f t="shared" si="8"/>
        <v>0</v>
      </c>
      <c r="E528" t="s">
        <v>23</v>
      </c>
      <c r="F528">
        <v>4</v>
      </c>
      <c r="G528" t="s">
        <v>20</v>
      </c>
      <c r="H528">
        <v>2</v>
      </c>
      <c r="I528">
        <v>2</v>
      </c>
      <c r="J528" t="s">
        <v>28</v>
      </c>
      <c r="K528">
        <v>3</v>
      </c>
      <c r="L528">
        <v>4553</v>
      </c>
      <c r="M528" t="str" cm="1">
        <f t="array" ref="M528">_xlfn.IFS(L528&lt;= 7000,"Low",L528&lt;=15000,"Medium",L528&lt;=20000,"High")</f>
        <v>Low</v>
      </c>
      <c r="N528" t="s">
        <v>22</v>
      </c>
      <c r="O528">
        <v>11</v>
      </c>
      <c r="P528">
        <v>3</v>
      </c>
      <c r="Q528">
        <v>1</v>
      </c>
      <c r="R528">
        <v>20</v>
      </c>
      <c r="S528">
        <v>3</v>
      </c>
      <c r="T528">
        <v>20</v>
      </c>
      <c r="U528">
        <v>7</v>
      </c>
    </row>
    <row r="529" spans="1:21" x14ac:dyDescent="0.35">
      <c r="A529">
        <v>32</v>
      </c>
      <c r="B529" t="str" cm="1">
        <f t="array" ref="B529">_xlfn.IFS(A529&gt;40,"Senior",A529&gt;30,"Adult",A529&gt;=18,"Teenager")</f>
        <v>Adult</v>
      </c>
      <c r="C529" t="s">
        <v>22</v>
      </c>
      <c r="D529">
        <f t="shared" si="8"/>
        <v>0</v>
      </c>
      <c r="E529" t="s">
        <v>19</v>
      </c>
      <c r="F529">
        <v>4</v>
      </c>
      <c r="G529" t="s">
        <v>24</v>
      </c>
      <c r="H529">
        <v>3</v>
      </c>
      <c r="I529">
        <v>2</v>
      </c>
      <c r="J529" t="s">
        <v>21</v>
      </c>
      <c r="K529">
        <v>4</v>
      </c>
      <c r="L529">
        <v>5396</v>
      </c>
      <c r="M529" t="str" cm="1">
        <f t="array" ref="M529">_xlfn.IFS(L529&lt;= 7000,"Low",L529&lt;=15000,"Medium",L529&lt;=20000,"High")</f>
        <v>Low</v>
      </c>
      <c r="N529" t="s">
        <v>22</v>
      </c>
      <c r="O529">
        <v>12</v>
      </c>
      <c r="P529">
        <v>3</v>
      </c>
      <c r="Q529">
        <v>4</v>
      </c>
      <c r="R529">
        <v>10</v>
      </c>
      <c r="S529">
        <v>2</v>
      </c>
      <c r="T529">
        <v>10</v>
      </c>
      <c r="U529">
        <v>7</v>
      </c>
    </row>
    <row r="530" spans="1:21" x14ac:dyDescent="0.35">
      <c r="A530">
        <v>50</v>
      </c>
      <c r="B530" t="str" cm="1">
        <f t="array" ref="B530">_xlfn.IFS(A530&gt;40,"Senior",A530&gt;30,"Adult",A530&gt;=18,"Teenager")</f>
        <v>Senior</v>
      </c>
      <c r="C530" t="s">
        <v>18</v>
      </c>
      <c r="D530">
        <f t="shared" si="8"/>
        <v>1</v>
      </c>
      <c r="E530" t="s">
        <v>19</v>
      </c>
      <c r="F530">
        <v>2</v>
      </c>
      <c r="G530" t="s">
        <v>24</v>
      </c>
      <c r="H530">
        <v>3</v>
      </c>
      <c r="I530">
        <v>2</v>
      </c>
      <c r="J530" t="s">
        <v>21</v>
      </c>
      <c r="K530">
        <v>3</v>
      </c>
      <c r="L530">
        <v>6796</v>
      </c>
      <c r="M530" t="str" cm="1">
        <f t="array" ref="M530">_xlfn.IFS(L530&lt;= 7000,"Low",L530&lt;=15000,"Medium",L530&lt;=20000,"High")</f>
        <v>Low</v>
      </c>
      <c r="N530" t="s">
        <v>18</v>
      </c>
      <c r="O530">
        <v>14</v>
      </c>
      <c r="P530">
        <v>3</v>
      </c>
      <c r="Q530">
        <v>1</v>
      </c>
      <c r="R530">
        <v>18</v>
      </c>
      <c r="S530">
        <v>3</v>
      </c>
      <c r="T530">
        <v>4</v>
      </c>
      <c r="U530">
        <v>3</v>
      </c>
    </row>
    <row r="531" spans="1:21" x14ac:dyDescent="0.35">
      <c r="A531">
        <v>38</v>
      </c>
      <c r="B531" t="str" cm="1">
        <f t="array" ref="B531">_xlfn.IFS(A531&gt;40,"Senior",A531&gt;30,"Adult",A531&gt;=18,"Teenager")</f>
        <v>Adult</v>
      </c>
      <c r="C531" t="s">
        <v>22</v>
      </c>
      <c r="D531">
        <f t="shared" si="8"/>
        <v>0</v>
      </c>
      <c r="E531" t="s">
        <v>23</v>
      </c>
      <c r="F531">
        <v>2</v>
      </c>
      <c r="G531" t="s">
        <v>20</v>
      </c>
      <c r="H531">
        <v>4</v>
      </c>
      <c r="I531">
        <v>2</v>
      </c>
      <c r="J531" t="s">
        <v>28</v>
      </c>
      <c r="K531">
        <v>4</v>
      </c>
      <c r="L531">
        <v>7625</v>
      </c>
      <c r="M531" t="str" cm="1">
        <f t="array" ref="M531">_xlfn.IFS(L531&lt;= 7000,"Low",L531&lt;=15000,"Medium",L531&lt;=20000,"High")</f>
        <v>Medium</v>
      </c>
      <c r="N531" t="s">
        <v>22</v>
      </c>
      <c r="O531">
        <v>13</v>
      </c>
      <c r="P531">
        <v>3</v>
      </c>
      <c r="Q531">
        <v>3</v>
      </c>
      <c r="R531">
        <v>10</v>
      </c>
      <c r="S531">
        <v>2</v>
      </c>
      <c r="T531">
        <v>9</v>
      </c>
      <c r="U531">
        <v>7</v>
      </c>
    </row>
    <row r="532" spans="1:21" x14ac:dyDescent="0.35">
      <c r="A532">
        <v>27</v>
      </c>
      <c r="B532" t="str" cm="1">
        <f t="array" ref="B532">_xlfn.IFS(A532&gt;40,"Senior",A532&gt;30,"Adult",A532&gt;=18,"Teenager")</f>
        <v>Teenager</v>
      </c>
      <c r="C532" t="s">
        <v>22</v>
      </c>
      <c r="D532">
        <f t="shared" si="8"/>
        <v>0</v>
      </c>
      <c r="E532" t="s">
        <v>23</v>
      </c>
      <c r="F532">
        <v>3</v>
      </c>
      <c r="G532" t="s">
        <v>20</v>
      </c>
      <c r="H532">
        <v>3</v>
      </c>
      <c r="I532">
        <v>3</v>
      </c>
      <c r="J532" t="s">
        <v>27</v>
      </c>
      <c r="K532">
        <v>1</v>
      </c>
      <c r="L532">
        <v>7412</v>
      </c>
      <c r="M532" t="str" cm="1">
        <f t="array" ref="M532">_xlfn.IFS(L532&lt;= 7000,"Low",L532&lt;=15000,"Medium",L532&lt;=20000,"High")</f>
        <v>Medium</v>
      </c>
      <c r="N532" t="s">
        <v>22</v>
      </c>
      <c r="O532">
        <v>11</v>
      </c>
      <c r="P532">
        <v>3</v>
      </c>
      <c r="Q532">
        <v>4</v>
      </c>
      <c r="R532">
        <v>9</v>
      </c>
      <c r="S532">
        <v>3</v>
      </c>
      <c r="T532">
        <v>9</v>
      </c>
      <c r="U532">
        <v>7</v>
      </c>
    </row>
    <row r="533" spans="1:21" x14ac:dyDescent="0.35">
      <c r="A533">
        <v>32</v>
      </c>
      <c r="B533" t="str" cm="1">
        <f t="array" ref="B533">_xlfn.IFS(A533&gt;40,"Senior",A533&gt;30,"Adult",A533&gt;=18,"Teenager")</f>
        <v>Adult</v>
      </c>
      <c r="C533" t="s">
        <v>22</v>
      </c>
      <c r="D533">
        <f t="shared" si="8"/>
        <v>0</v>
      </c>
      <c r="E533" t="s">
        <v>23</v>
      </c>
      <c r="F533">
        <v>3</v>
      </c>
      <c r="G533" t="s">
        <v>20</v>
      </c>
      <c r="H533">
        <v>3</v>
      </c>
      <c r="I533">
        <v>3</v>
      </c>
      <c r="J533" t="s">
        <v>31</v>
      </c>
      <c r="K533">
        <v>4</v>
      </c>
      <c r="L533">
        <v>11159</v>
      </c>
      <c r="M533" t="str" cm="1">
        <f t="array" ref="M533">_xlfn.IFS(L533&lt;= 7000,"Low",L533&lt;=15000,"Medium",L533&lt;=20000,"High")</f>
        <v>Medium</v>
      </c>
      <c r="N533" t="s">
        <v>22</v>
      </c>
      <c r="O533">
        <v>15</v>
      </c>
      <c r="P533">
        <v>3</v>
      </c>
      <c r="Q533">
        <v>4</v>
      </c>
      <c r="R533">
        <v>10</v>
      </c>
      <c r="S533">
        <v>3</v>
      </c>
      <c r="T533">
        <v>7</v>
      </c>
      <c r="U533">
        <v>7</v>
      </c>
    </row>
    <row r="534" spans="1:21" x14ac:dyDescent="0.35">
      <c r="A534">
        <v>47</v>
      </c>
      <c r="B534" t="str" cm="1">
        <f t="array" ref="B534">_xlfn.IFS(A534&gt;40,"Senior",A534&gt;30,"Adult",A534&gt;=18,"Teenager")</f>
        <v>Senior</v>
      </c>
      <c r="C534" t="s">
        <v>22</v>
      </c>
      <c r="D534">
        <f t="shared" si="8"/>
        <v>0</v>
      </c>
      <c r="E534" t="s">
        <v>19</v>
      </c>
      <c r="F534">
        <v>4</v>
      </c>
      <c r="G534" t="s">
        <v>24</v>
      </c>
      <c r="H534">
        <v>3</v>
      </c>
      <c r="I534">
        <v>2</v>
      </c>
      <c r="J534" t="s">
        <v>21</v>
      </c>
      <c r="K534">
        <v>1</v>
      </c>
      <c r="L534">
        <v>4960</v>
      </c>
      <c r="M534" t="str" cm="1">
        <f t="array" ref="M534">_xlfn.IFS(L534&lt;= 7000,"Low",L534&lt;=15000,"Medium",L534&lt;=20000,"High")</f>
        <v>Low</v>
      </c>
      <c r="N534" t="s">
        <v>22</v>
      </c>
      <c r="O534">
        <v>12</v>
      </c>
      <c r="P534">
        <v>3</v>
      </c>
      <c r="Q534">
        <v>4</v>
      </c>
      <c r="R534">
        <v>20</v>
      </c>
      <c r="S534">
        <v>3</v>
      </c>
      <c r="T534">
        <v>7</v>
      </c>
      <c r="U534">
        <v>7</v>
      </c>
    </row>
    <row r="535" spans="1:21" x14ac:dyDescent="0.35">
      <c r="A535">
        <v>40</v>
      </c>
      <c r="B535" t="str" cm="1">
        <f t="array" ref="B535">_xlfn.IFS(A535&gt;40,"Senior",A535&gt;30,"Adult",A535&gt;=18,"Teenager")</f>
        <v>Adult</v>
      </c>
      <c r="C535" t="s">
        <v>22</v>
      </c>
      <c r="D535">
        <f t="shared" si="8"/>
        <v>0</v>
      </c>
      <c r="E535" t="s">
        <v>19</v>
      </c>
      <c r="F535">
        <v>4</v>
      </c>
      <c r="G535" t="s">
        <v>24</v>
      </c>
      <c r="H535">
        <v>2</v>
      </c>
      <c r="I535">
        <v>3</v>
      </c>
      <c r="J535" t="s">
        <v>21</v>
      </c>
      <c r="K535">
        <v>1</v>
      </c>
      <c r="L535">
        <v>10475</v>
      </c>
      <c r="M535" t="str" cm="1">
        <f t="array" ref="M535">_xlfn.IFS(L535&lt;= 7000,"Low",L535&lt;=15000,"Medium",L535&lt;=20000,"High")</f>
        <v>Medium</v>
      </c>
      <c r="N535" t="s">
        <v>18</v>
      </c>
      <c r="O535">
        <v>21</v>
      </c>
      <c r="P535">
        <v>4</v>
      </c>
      <c r="Q535">
        <v>3</v>
      </c>
      <c r="R535">
        <v>20</v>
      </c>
      <c r="S535">
        <v>3</v>
      </c>
      <c r="T535">
        <v>18</v>
      </c>
      <c r="U535">
        <v>13</v>
      </c>
    </row>
    <row r="536" spans="1:21" x14ac:dyDescent="0.35">
      <c r="A536">
        <v>53</v>
      </c>
      <c r="B536" t="str" cm="1">
        <f t="array" ref="B536">_xlfn.IFS(A536&gt;40,"Senior",A536&gt;30,"Adult",A536&gt;=18,"Teenager")</f>
        <v>Senior</v>
      </c>
      <c r="C536" t="s">
        <v>22</v>
      </c>
      <c r="D536">
        <f t="shared" si="8"/>
        <v>0</v>
      </c>
      <c r="E536" t="s">
        <v>23</v>
      </c>
      <c r="F536">
        <v>3</v>
      </c>
      <c r="G536" t="s">
        <v>24</v>
      </c>
      <c r="H536">
        <v>4</v>
      </c>
      <c r="I536">
        <v>4</v>
      </c>
      <c r="J536" t="s">
        <v>31</v>
      </c>
      <c r="K536">
        <v>3</v>
      </c>
      <c r="L536">
        <v>14814</v>
      </c>
      <c r="M536" t="str" cm="1">
        <f t="array" ref="M536">_xlfn.IFS(L536&lt;= 7000,"Low",L536&lt;=15000,"Medium",L536&lt;=20000,"High")</f>
        <v>Medium</v>
      </c>
      <c r="N536" t="s">
        <v>22</v>
      </c>
      <c r="O536">
        <v>19</v>
      </c>
      <c r="P536">
        <v>3</v>
      </c>
      <c r="Q536">
        <v>3</v>
      </c>
      <c r="R536">
        <v>32</v>
      </c>
      <c r="S536">
        <v>3</v>
      </c>
      <c r="T536">
        <v>5</v>
      </c>
      <c r="U536">
        <v>1</v>
      </c>
    </row>
    <row r="537" spans="1:21" x14ac:dyDescent="0.35">
      <c r="A537">
        <v>41</v>
      </c>
      <c r="B537" t="str" cm="1">
        <f t="array" ref="B537">_xlfn.IFS(A537&gt;40,"Senior",A537&gt;30,"Adult",A537&gt;=18,"Teenager")</f>
        <v>Senior</v>
      </c>
      <c r="C537" t="s">
        <v>22</v>
      </c>
      <c r="D537">
        <f t="shared" si="8"/>
        <v>0</v>
      </c>
      <c r="E537" t="s">
        <v>32</v>
      </c>
      <c r="F537">
        <v>2</v>
      </c>
      <c r="G537" t="s">
        <v>24</v>
      </c>
      <c r="H537">
        <v>2</v>
      </c>
      <c r="I537">
        <v>5</v>
      </c>
      <c r="J537" t="s">
        <v>29</v>
      </c>
      <c r="K537">
        <v>4</v>
      </c>
      <c r="L537">
        <v>19141</v>
      </c>
      <c r="M537" t="str" cm="1">
        <f t="array" ref="M537">_xlfn.IFS(L537&lt;= 7000,"Low",L537&lt;=15000,"Medium",L537&lt;=20000,"High")</f>
        <v>High</v>
      </c>
      <c r="N537" t="s">
        <v>22</v>
      </c>
      <c r="O537">
        <v>15</v>
      </c>
      <c r="P537">
        <v>3</v>
      </c>
      <c r="Q537">
        <v>2</v>
      </c>
      <c r="R537">
        <v>23</v>
      </c>
      <c r="S537">
        <v>2</v>
      </c>
      <c r="T537">
        <v>21</v>
      </c>
      <c r="U537">
        <v>6</v>
      </c>
    </row>
    <row r="538" spans="1:21" x14ac:dyDescent="0.35">
      <c r="A538">
        <v>60</v>
      </c>
      <c r="B538" t="str" cm="1">
        <f t="array" ref="B538">_xlfn.IFS(A538&gt;40,"Senior",A538&gt;30,"Adult",A538&gt;=18,"Teenager")</f>
        <v>Senior</v>
      </c>
      <c r="C538" t="s">
        <v>22</v>
      </c>
      <c r="D538">
        <f t="shared" si="8"/>
        <v>0</v>
      </c>
      <c r="E538" t="s">
        <v>19</v>
      </c>
      <c r="F538">
        <v>1</v>
      </c>
      <c r="G538" t="s">
        <v>24</v>
      </c>
      <c r="H538">
        <v>3</v>
      </c>
      <c r="I538">
        <v>2</v>
      </c>
      <c r="J538" t="s">
        <v>21</v>
      </c>
      <c r="K538">
        <v>1</v>
      </c>
      <c r="L538">
        <v>5405</v>
      </c>
      <c r="M538" t="str" cm="1">
        <f t="array" ref="M538">_xlfn.IFS(L538&lt;= 7000,"Low",L538&lt;=15000,"Medium",L538&lt;=20000,"High")</f>
        <v>Low</v>
      </c>
      <c r="N538" t="s">
        <v>22</v>
      </c>
      <c r="O538">
        <v>14</v>
      </c>
      <c r="P538">
        <v>3</v>
      </c>
      <c r="Q538">
        <v>4</v>
      </c>
      <c r="R538">
        <v>10</v>
      </c>
      <c r="S538">
        <v>3</v>
      </c>
      <c r="T538">
        <v>2</v>
      </c>
      <c r="U538">
        <v>2</v>
      </c>
    </row>
    <row r="539" spans="1:21" x14ac:dyDescent="0.35">
      <c r="A539">
        <v>27</v>
      </c>
      <c r="B539" t="str" cm="1">
        <f t="array" ref="B539">_xlfn.IFS(A539&gt;40,"Senior",A539&gt;30,"Adult",A539&gt;=18,"Teenager")</f>
        <v>Teenager</v>
      </c>
      <c r="C539" t="s">
        <v>22</v>
      </c>
      <c r="D539">
        <f t="shared" si="8"/>
        <v>0</v>
      </c>
      <c r="E539" t="s">
        <v>23</v>
      </c>
      <c r="F539">
        <v>4</v>
      </c>
      <c r="G539" t="s">
        <v>24</v>
      </c>
      <c r="H539">
        <v>3</v>
      </c>
      <c r="I539">
        <v>3</v>
      </c>
      <c r="J539" t="s">
        <v>27</v>
      </c>
      <c r="K539">
        <v>1</v>
      </c>
      <c r="L539">
        <v>8793</v>
      </c>
      <c r="M539" t="str" cm="1">
        <f t="array" ref="M539">_xlfn.IFS(L539&lt;= 7000,"Low",L539&lt;=15000,"Medium",L539&lt;=20000,"High")</f>
        <v>Medium</v>
      </c>
      <c r="N539" t="s">
        <v>22</v>
      </c>
      <c r="O539">
        <v>21</v>
      </c>
      <c r="P539">
        <v>4</v>
      </c>
      <c r="Q539">
        <v>3</v>
      </c>
      <c r="R539">
        <v>9</v>
      </c>
      <c r="S539">
        <v>2</v>
      </c>
      <c r="T539">
        <v>9</v>
      </c>
      <c r="U539">
        <v>7</v>
      </c>
    </row>
    <row r="540" spans="1:21" x14ac:dyDescent="0.35">
      <c r="A540">
        <v>41</v>
      </c>
      <c r="B540" t="str" cm="1">
        <f t="array" ref="B540">_xlfn.IFS(A540&gt;40,"Senior",A540&gt;30,"Adult",A540&gt;=18,"Teenager")</f>
        <v>Senior</v>
      </c>
      <c r="C540" t="s">
        <v>22</v>
      </c>
      <c r="D540">
        <f t="shared" si="8"/>
        <v>0</v>
      </c>
      <c r="E540" t="s">
        <v>32</v>
      </c>
      <c r="F540">
        <v>4</v>
      </c>
      <c r="G540" t="s">
        <v>24</v>
      </c>
      <c r="H540">
        <v>2</v>
      </c>
      <c r="I540">
        <v>5</v>
      </c>
      <c r="J540" t="s">
        <v>29</v>
      </c>
      <c r="K540">
        <v>3</v>
      </c>
      <c r="L540">
        <v>19189</v>
      </c>
      <c r="M540" t="str" cm="1">
        <f t="array" ref="M540">_xlfn.IFS(L540&lt;= 7000,"Low",L540&lt;=15000,"Medium",L540&lt;=20000,"High")</f>
        <v>High</v>
      </c>
      <c r="N540" t="s">
        <v>22</v>
      </c>
      <c r="O540">
        <v>12</v>
      </c>
      <c r="P540">
        <v>3</v>
      </c>
      <c r="Q540">
        <v>2</v>
      </c>
      <c r="R540">
        <v>22</v>
      </c>
      <c r="S540">
        <v>3</v>
      </c>
      <c r="T540">
        <v>22</v>
      </c>
      <c r="U540">
        <v>7</v>
      </c>
    </row>
    <row r="541" spans="1:21" x14ac:dyDescent="0.35">
      <c r="A541">
        <v>50</v>
      </c>
      <c r="B541" t="str" cm="1">
        <f t="array" ref="B541">_xlfn.IFS(A541&gt;40,"Senior",A541&gt;30,"Adult",A541&gt;=18,"Teenager")</f>
        <v>Senior</v>
      </c>
      <c r="C541" t="s">
        <v>22</v>
      </c>
      <c r="D541">
        <f t="shared" si="8"/>
        <v>0</v>
      </c>
      <c r="E541" t="s">
        <v>19</v>
      </c>
      <c r="F541">
        <v>4</v>
      </c>
      <c r="G541" t="s">
        <v>24</v>
      </c>
      <c r="H541">
        <v>3</v>
      </c>
      <c r="I541">
        <v>1</v>
      </c>
      <c r="J541" t="s">
        <v>30</v>
      </c>
      <c r="K541">
        <v>2</v>
      </c>
      <c r="L541">
        <v>3875</v>
      </c>
      <c r="M541" t="str" cm="1">
        <f t="array" ref="M541">_xlfn.IFS(L541&lt;= 7000,"Low",L541&lt;=15000,"Medium",L541&lt;=20000,"High")</f>
        <v>Low</v>
      </c>
      <c r="N541" t="s">
        <v>22</v>
      </c>
      <c r="O541">
        <v>15</v>
      </c>
      <c r="P541">
        <v>3</v>
      </c>
      <c r="Q541">
        <v>4</v>
      </c>
      <c r="R541">
        <v>4</v>
      </c>
      <c r="S541">
        <v>3</v>
      </c>
      <c r="T541">
        <v>2</v>
      </c>
      <c r="U541">
        <v>2</v>
      </c>
    </row>
    <row r="542" spans="1:21" x14ac:dyDescent="0.35">
      <c r="A542">
        <v>28</v>
      </c>
      <c r="B542" t="str" cm="1">
        <f t="array" ref="B542">_xlfn.IFS(A542&gt;40,"Senior",A542&gt;30,"Adult",A542&gt;=18,"Teenager")</f>
        <v>Teenager</v>
      </c>
      <c r="C542" t="s">
        <v>18</v>
      </c>
      <c r="D542">
        <f t="shared" si="8"/>
        <v>1</v>
      </c>
      <c r="E542" t="s">
        <v>23</v>
      </c>
      <c r="F542">
        <v>1</v>
      </c>
      <c r="G542" t="s">
        <v>20</v>
      </c>
      <c r="H542">
        <v>1</v>
      </c>
      <c r="I542">
        <v>1</v>
      </c>
      <c r="J542" t="s">
        <v>25</v>
      </c>
      <c r="K542">
        <v>2</v>
      </c>
      <c r="L542">
        <v>2216</v>
      </c>
      <c r="M542" t="str" cm="1">
        <f t="array" ref="M542">_xlfn.IFS(L542&lt;= 7000,"Low",L542&lt;=15000,"Medium",L542&lt;=20000,"High")</f>
        <v>Low</v>
      </c>
      <c r="N542" t="s">
        <v>18</v>
      </c>
      <c r="O542">
        <v>13</v>
      </c>
      <c r="P542">
        <v>3</v>
      </c>
      <c r="Q542">
        <v>4</v>
      </c>
      <c r="R542">
        <v>10</v>
      </c>
      <c r="S542">
        <v>3</v>
      </c>
      <c r="T542">
        <v>7</v>
      </c>
      <c r="U542">
        <v>7</v>
      </c>
    </row>
    <row r="543" spans="1:21" x14ac:dyDescent="0.35">
      <c r="A543">
        <v>36</v>
      </c>
      <c r="B543" t="str" cm="1">
        <f t="array" ref="B543">_xlfn.IFS(A543&gt;40,"Senior",A543&gt;30,"Adult",A543&gt;=18,"Teenager")</f>
        <v>Adult</v>
      </c>
      <c r="C543" t="s">
        <v>22</v>
      </c>
      <c r="D543">
        <f t="shared" si="8"/>
        <v>0</v>
      </c>
      <c r="E543" t="s">
        <v>23</v>
      </c>
      <c r="F543">
        <v>1</v>
      </c>
      <c r="G543" t="s">
        <v>20</v>
      </c>
      <c r="H543">
        <v>4</v>
      </c>
      <c r="I543">
        <v>3</v>
      </c>
      <c r="J543" t="s">
        <v>31</v>
      </c>
      <c r="K543">
        <v>1</v>
      </c>
      <c r="L543">
        <v>11713</v>
      </c>
      <c r="M543" t="str" cm="1">
        <f t="array" ref="M543">_xlfn.IFS(L543&lt;= 7000,"Low",L543&lt;=15000,"Medium",L543&lt;=20000,"High")</f>
        <v>Medium</v>
      </c>
      <c r="N543" t="s">
        <v>22</v>
      </c>
      <c r="O543">
        <v>14</v>
      </c>
      <c r="P543">
        <v>3</v>
      </c>
      <c r="Q543">
        <v>1</v>
      </c>
      <c r="R543">
        <v>10</v>
      </c>
      <c r="S543">
        <v>3</v>
      </c>
      <c r="T543">
        <v>8</v>
      </c>
      <c r="U543">
        <v>7</v>
      </c>
    </row>
    <row r="544" spans="1:21" x14ac:dyDescent="0.35">
      <c r="A544">
        <v>38</v>
      </c>
      <c r="B544" t="str" cm="1">
        <f t="array" ref="B544">_xlfn.IFS(A544&gt;40,"Senior",A544&gt;30,"Adult",A544&gt;=18,"Teenager")</f>
        <v>Adult</v>
      </c>
      <c r="C544" t="s">
        <v>22</v>
      </c>
      <c r="D544">
        <f t="shared" si="8"/>
        <v>0</v>
      </c>
      <c r="E544" t="s">
        <v>23</v>
      </c>
      <c r="F544">
        <v>3</v>
      </c>
      <c r="G544" t="s">
        <v>20</v>
      </c>
      <c r="H544">
        <v>3</v>
      </c>
      <c r="I544">
        <v>3</v>
      </c>
      <c r="J544" t="s">
        <v>27</v>
      </c>
      <c r="K544">
        <v>3</v>
      </c>
      <c r="L544">
        <v>7861</v>
      </c>
      <c r="M544" t="str" cm="1">
        <f t="array" ref="M544">_xlfn.IFS(L544&lt;= 7000,"Low",L544&lt;=15000,"Medium",L544&lt;=20000,"High")</f>
        <v>Medium</v>
      </c>
      <c r="N544" t="s">
        <v>18</v>
      </c>
      <c r="O544">
        <v>14</v>
      </c>
      <c r="P544">
        <v>3</v>
      </c>
      <c r="Q544">
        <v>4</v>
      </c>
      <c r="R544">
        <v>10</v>
      </c>
      <c r="S544">
        <v>4</v>
      </c>
      <c r="T544">
        <v>1</v>
      </c>
      <c r="U544">
        <v>0</v>
      </c>
    </row>
    <row r="545" spans="1:21" x14ac:dyDescent="0.35">
      <c r="A545">
        <v>44</v>
      </c>
      <c r="B545" t="str" cm="1">
        <f t="array" ref="B545">_xlfn.IFS(A545&gt;40,"Senior",A545&gt;30,"Adult",A545&gt;=18,"Teenager")</f>
        <v>Senior</v>
      </c>
      <c r="C545" t="s">
        <v>22</v>
      </c>
      <c r="D545">
        <f t="shared" si="8"/>
        <v>0</v>
      </c>
      <c r="E545" t="s">
        <v>23</v>
      </c>
      <c r="F545">
        <v>1</v>
      </c>
      <c r="G545" t="s">
        <v>24</v>
      </c>
      <c r="H545">
        <v>1</v>
      </c>
      <c r="I545">
        <v>1</v>
      </c>
      <c r="J545" t="s">
        <v>26</v>
      </c>
      <c r="K545">
        <v>3</v>
      </c>
      <c r="L545">
        <v>3708</v>
      </c>
      <c r="M545" t="str" cm="1">
        <f t="array" ref="M545">_xlfn.IFS(L545&lt;= 7000,"Low",L545&lt;=15000,"Medium",L545&lt;=20000,"High")</f>
        <v>Low</v>
      </c>
      <c r="N545" t="s">
        <v>22</v>
      </c>
      <c r="O545">
        <v>14</v>
      </c>
      <c r="P545">
        <v>3</v>
      </c>
      <c r="Q545">
        <v>3</v>
      </c>
      <c r="R545">
        <v>9</v>
      </c>
      <c r="S545">
        <v>3</v>
      </c>
      <c r="T545">
        <v>5</v>
      </c>
      <c r="U545">
        <v>2</v>
      </c>
    </row>
    <row r="546" spans="1:21" x14ac:dyDescent="0.35">
      <c r="A546">
        <v>47</v>
      </c>
      <c r="B546" t="str" cm="1">
        <f t="array" ref="B546">_xlfn.IFS(A546&gt;40,"Senior",A546&gt;30,"Adult",A546&gt;=18,"Teenager")</f>
        <v>Senior</v>
      </c>
      <c r="C546" t="s">
        <v>22</v>
      </c>
      <c r="D546">
        <f t="shared" si="8"/>
        <v>0</v>
      </c>
      <c r="E546" t="s">
        <v>19</v>
      </c>
      <c r="F546">
        <v>4</v>
      </c>
      <c r="G546" t="s">
        <v>20</v>
      </c>
      <c r="H546">
        <v>3</v>
      </c>
      <c r="I546">
        <v>4</v>
      </c>
      <c r="J546" t="s">
        <v>21</v>
      </c>
      <c r="K546">
        <v>3</v>
      </c>
      <c r="L546">
        <v>13770</v>
      </c>
      <c r="M546" t="str" cm="1">
        <f t="array" ref="M546">_xlfn.IFS(L546&lt;= 7000,"Low",L546&lt;=15000,"Medium",L546&lt;=20000,"High")</f>
        <v>Medium</v>
      </c>
      <c r="N546" t="s">
        <v>18</v>
      </c>
      <c r="O546">
        <v>12</v>
      </c>
      <c r="P546">
        <v>3</v>
      </c>
      <c r="Q546">
        <v>4</v>
      </c>
      <c r="R546">
        <v>28</v>
      </c>
      <c r="S546">
        <v>2</v>
      </c>
      <c r="T546">
        <v>22</v>
      </c>
      <c r="U546">
        <v>2</v>
      </c>
    </row>
    <row r="547" spans="1:21" x14ac:dyDescent="0.35">
      <c r="A547">
        <v>30</v>
      </c>
      <c r="B547" t="str" cm="1">
        <f t="array" ref="B547">_xlfn.IFS(A547&gt;40,"Senior",A547&gt;30,"Adult",A547&gt;=18,"Teenager")</f>
        <v>Teenager</v>
      </c>
      <c r="C547" t="s">
        <v>22</v>
      </c>
      <c r="D547">
        <f t="shared" si="8"/>
        <v>0</v>
      </c>
      <c r="E547" t="s">
        <v>19</v>
      </c>
      <c r="F547">
        <v>3</v>
      </c>
      <c r="G547" t="s">
        <v>24</v>
      </c>
      <c r="H547">
        <v>3</v>
      </c>
      <c r="I547">
        <v>2</v>
      </c>
      <c r="J547" t="s">
        <v>21</v>
      </c>
      <c r="K547">
        <v>4</v>
      </c>
      <c r="L547">
        <v>5304</v>
      </c>
      <c r="M547" t="str" cm="1">
        <f t="array" ref="M547">_xlfn.IFS(L547&lt;= 7000,"Low",L547&lt;=15000,"Medium",L547&lt;=20000,"High")</f>
        <v>Low</v>
      </c>
      <c r="N547" t="s">
        <v>22</v>
      </c>
      <c r="O547">
        <v>23</v>
      </c>
      <c r="P547">
        <v>4</v>
      </c>
      <c r="Q547">
        <v>4</v>
      </c>
      <c r="R547">
        <v>10</v>
      </c>
      <c r="S547">
        <v>2</v>
      </c>
      <c r="T547">
        <v>8</v>
      </c>
      <c r="U547">
        <v>7</v>
      </c>
    </row>
    <row r="548" spans="1:21" x14ac:dyDescent="0.35">
      <c r="A548">
        <v>29</v>
      </c>
      <c r="B548" t="str" cm="1">
        <f t="array" ref="B548">_xlfn.IFS(A548&gt;40,"Senior",A548&gt;30,"Adult",A548&gt;=18,"Teenager")</f>
        <v>Teenager</v>
      </c>
      <c r="C548" t="s">
        <v>22</v>
      </c>
      <c r="D548">
        <f t="shared" si="8"/>
        <v>0</v>
      </c>
      <c r="E548" t="s">
        <v>19</v>
      </c>
      <c r="F548">
        <v>3</v>
      </c>
      <c r="G548" t="s">
        <v>24</v>
      </c>
      <c r="H548">
        <v>3</v>
      </c>
      <c r="I548">
        <v>1</v>
      </c>
      <c r="J548" t="s">
        <v>30</v>
      </c>
      <c r="K548">
        <v>3</v>
      </c>
      <c r="L548">
        <v>2642</v>
      </c>
      <c r="M548" t="str" cm="1">
        <f t="array" ref="M548">_xlfn.IFS(L548&lt;= 7000,"Low",L548&lt;=15000,"Medium",L548&lt;=20000,"High")</f>
        <v>Low</v>
      </c>
      <c r="N548" t="s">
        <v>22</v>
      </c>
      <c r="O548">
        <v>11</v>
      </c>
      <c r="P548">
        <v>3</v>
      </c>
      <c r="Q548">
        <v>3</v>
      </c>
      <c r="R548">
        <v>1</v>
      </c>
      <c r="S548">
        <v>3</v>
      </c>
      <c r="T548">
        <v>1</v>
      </c>
      <c r="U548">
        <v>0</v>
      </c>
    </row>
    <row r="549" spans="1:21" x14ac:dyDescent="0.35">
      <c r="A549">
        <v>42</v>
      </c>
      <c r="B549" t="str" cm="1">
        <f t="array" ref="B549">_xlfn.IFS(A549&gt;40,"Senior",A549&gt;30,"Adult",A549&gt;=18,"Teenager")</f>
        <v>Senior</v>
      </c>
      <c r="C549" t="s">
        <v>18</v>
      </c>
      <c r="D549">
        <f t="shared" si="8"/>
        <v>1</v>
      </c>
      <c r="E549" t="s">
        <v>23</v>
      </c>
      <c r="F549">
        <v>3</v>
      </c>
      <c r="G549" t="s">
        <v>24</v>
      </c>
      <c r="H549">
        <v>4</v>
      </c>
      <c r="I549">
        <v>1</v>
      </c>
      <c r="J549" t="s">
        <v>25</v>
      </c>
      <c r="K549">
        <v>3</v>
      </c>
      <c r="L549">
        <v>2759</v>
      </c>
      <c r="M549" t="str" cm="1">
        <f t="array" ref="M549">_xlfn.IFS(L549&lt;= 7000,"Low",L549&lt;=15000,"Medium",L549&lt;=20000,"High")</f>
        <v>Low</v>
      </c>
      <c r="N549" t="s">
        <v>18</v>
      </c>
      <c r="O549">
        <v>12</v>
      </c>
      <c r="P549">
        <v>3</v>
      </c>
      <c r="Q549">
        <v>4</v>
      </c>
      <c r="R549">
        <v>7</v>
      </c>
      <c r="S549">
        <v>3</v>
      </c>
      <c r="T549">
        <v>2</v>
      </c>
      <c r="U549">
        <v>2</v>
      </c>
    </row>
    <row r="550" spans="1:21" x14ac:dyDescent="0.35">
      <c r="A550">
        <v>43</v>
      </c>
      <c r="B550" t="str" cm="1">
        <f t="array" ref="B550">_xlfn.IFS(A550&gt;40,"Senior",A550&gt;30,"Adult",A550&gt;=18,"Teenager")</f>
        <v>Senior</v>
      </c>
      <c r="C550" t="s">
        <v>22</v>
      </c>
      <c r="D550">
        <f t="shared" si="8"/>
        <v>0</v>
      </c>
      <c r="E550" t="s">
        <v>19</v>
      </c>
      <c r="F550">
        <v>4</v>
      </c>
      <c r="G550" t="s">
        <v>24</v>
      </c>
      <c r="H550">
        <v>2</v>
      </c>
      <c r="I550">
        <v>2</v>
      </c>
      <c r="J550" t="s">
        <v>21</v>
      </c>
      <c r="K550">
        <v>4</v>
      </c>
      <c r="L550">
        <v>6804</v>
      </c>
      <c r="M550" t="str" cm="1">
        <f t="array" ref="M550">_xlfn.IFS(L550&lt;= 7000,"Low",L550&lt;=15000,"Medium",L550&lt;=20000,"High")</f>
        <v>Low</v>
      </c>
      <c r="N550" t="s">
        <v>22</v>
      </c>
      <c r="O550">
        <v>18</v>
      </c>
      <c r="P550">
        <v>3</v>
      </c>
      <c r="Q550">
        <v>3</v>
      </c>
      <c r="R550">
        <v>7</v>
      </c>
      <c r="S550">
        <v>3</v>
      </c>
      <c r="T550">
        <v>2</v>
      </c>
      <c r="U550">
        <v>2</v>
      </c>
    </row>
    <row r="551" spans="1:21" x14ac:dyDescent="0.35">
      <c r="A551">
        <v>34</v>
      </c>
      <c r="B551" t="str" cm="1">
        <f t="array" ref="B551">_xlfn.IFS(A551&gt;40,"Senior",A551&gt;30,"Adult",A551&gt;=18,"Teenager")</f>
        <v>Adult</v>
      </c>
      <c r="C551" t="s">
        <v>22</v>
      </c>
      <c r="D551">
        <f t="shared" si="8"/>
        <v>0</v>
      </c>
      <c r="E551" t="s">
        <v>23</v>
      </c>
      <c r="F551">
        <v>2</v>
      </c>
      <c r="G551" t="s">
        <v>20</v>
      </c>
      <c r="H551">
        <v>3</v>
      </c>
      <c r="I551">
        <v>2</v>
      </c>
      <c r="J551" t="s">
        <v>28</v>
      </c>
      <c r="K551">
        <v>3</v>
      </c>
      <c r="L551">
        <v>6142</v>
      </c>
      <c r="M551" t="str" cm="1">
        <f t="array" ref="M551">_xlfn.IFS(L551&lt;= 7000,"Low",L551&lt;=15000,"Medium",L551&lt;=20000,"High")</f>
        <v>Low</v>
      </c>
      <c r="N551" t="s">
        <v>22</v>
      </c>
      <c r="O551">
        <v>11</v>
      </c>
      <c r="P551">
        <v>3</v>
      </c>
      <c r="Q551">
        <v>4</v>
      </c>
      <c r="R551">
        <v>10</v>
      </c>
      <c r="S551">
        <v>3</v>
      </c>
      <c r="T551">
        <v>5</v>
      </c>
      <c r="U551">
        <v>1</v>
      </c>
    </row>
    <row r="552" spans="1:21" x14ac:dyDescent="0.35">
      <c r="A552">
        <v>23</v>
      </c>
      <c r="B552" t="str" cm="1">
        <f t="array" ref="B552">_xlfn.IFS(A552&gt;40,"Senior",A552&gt;30,"Adult",A552&gt;=18,"Teenager")</f>
        <v>Teenager</v>
      </c>
      <c r="C552" t="s">
        <v>22</v>
      </c>
      <c r="D552">
        <f t="shared" si="8"/>
        <v>0</v>
      </c>
      <c r="E552" t="s">
        <v>23</v>
      </c>
      <c r="F552">
        <v>2</v>
      </c>
      <c r="G552" t="s">
        <v>24</v>
      </c>
      <c r="H552">
        <v>3</v>
      </c>
      <c r="I552">
        <v>1</v>
      </c>
      <c r="J552" t="s">
        <v>26</v>
      </c>
      <c r="K552">
        <v>1</v>
      </c>
      <c r="L552">
        <v>2500</v>
      </c>
      <c r="M552" t="str" cm="1">
        <f t="array" ref="M552">_xlfn.IFS(L552&lt;= 7000,"Low",L552&lt;=15000,"Medium",L552&lt;=20000,"High")</f>
        <v>Low</v>
      </c>
      <c r="N552" t="s">
        <v>22</v>
      </c>
      <c r="O552">
        <v>14</v>
      </c>
      <c r="P552">
        <v>3</v>
      </c>
      <c r="Q552">
        <v>4</v>
      </c>
      <c r="R552">
        <v>5</v>
      </c>
      <c r="S552">
        <v>4</v>
      </c>
      <c r="T552">
        <v>4</v>
      </c>
      <c r="U552">
        <v>3</v>
      </c>
    </row>
    <row r="553" spans="1:21" x14ac:dyDescent="0.35">
      <c r="A553">
        <v>39</v>
      </c>
      <c r="B553" t="str" cm="1">
        <f t="array" ref="B553">_xlfn.IFS(A553&gt;40,"Senior",A553&gt;30,"Adult",A553&gt;=18,"Teenager")</f>
        <v>Adult</v>
      </c>
      <c r="C553" t="s">
        <v>22</v>
      </c>
      <c r="D553">
        <f t="shared" si="8"/>
        <v>0</v>
      </c>
      <c r="E553" t="s">
        <v>32</v>
      </c>
      <c r="F553">
        <v>3</v>
      </c>
      <c r="G553" t="s">
        <v>20</v>
      </c>
      <c r="H553">
        <v>4</v>
      </c>
      <c r="I553">
        <v>2</v>
      </c>
      <c r="J553" t="s">
        <v>32</v>
      </c>
      <c r="K553">
        <v>2</v>
      </c>
      <c r="L553">
        <v>6389</v>
      </c>
      <c r="M553" t="str" cm="1">
        <f t="array" ref="M553">_xlfn.IFS(L553&lt;= 7000,"Low",L553&lt;=15000,"Medium",L553&lt;=20000,"High")</f>
        <v>Low</v>
      </c>
      <c r="N553" t="s">
        <v>22</v>
      </c>
      <c r="O553">
        <v>15</v>
      </c>
      <c r="P553">
        <v>3</v>
      </c>
      <c r="Q553">
        <v>3</v>
      </c>
      <c r="R553">
        <v>12</v>
      </c>
      <c r="S553">
        <v>1</v>
      </c>
      <c r="T553">
        <v>8</v>
      </c>
      <c r="U553">
        <v>3</v>
      </c>
    </row>
    <row r="554" spans="1:21" x14ac:dyDescent="0.35">
      <c r="A554">
        <v>56</v>
      </c>
      <c r="B554" t="str" cm="1">
        <f t="array" ref="B554">_xlfn.IFS(A554&gt;40,"Senior",A554&gt;30,"Adult",A554&gt;=18,"Teenager")</f>
        <v>Senior</v>
      </c>
      <c r="C554" t="s">
        <v>22</v>
      </c>
      <c r="D554">
        <f t="shared" si="8"/>
        <v>0</v>
      </c>
      <c r="E554" t="s">
        <v>23</v>
      </c>
      <c r="F554">
        <v>3</v>
      </c>
      <c r="G554" t="s">
        <v>24</v>
      </c>
      <c r="H554">
        <v>3</v>
      </c>
      <c r="I554">
        <v>4</v>
      </c>
      <c r="J554" t="s">
        <v>28</v>
      </c>
      <c r="K554">
        <v>4</v>
      </c>
      <c r="L554">
        <v>11103</v>
      </c>
      <c r="M554" t="str" cm="1">
        <f t="array" ref="M554">_xlfn.IFS(L554&lt;= 7000,"Low",L554&lt;=15000,"Medium",L554&lt;=20000,"High")</f>
        <v>Medium</v>
      </c>
      <c r="N554" t="s">
        <v>22</v>
      </c>
      <c r="O554">
        <v>11</v>
      </c>
      <c r="P554">
        <v>3</v>
      </c>
      <c r="Q554">
        <v>3</v>
      </c>
      <c r="R554">
        <v>30</v>
      </c>
      <c r="S554">
        <v>2</v>
      </c>
      <c r="T554">
        <v>10</v>
      </c>
      <c r="U554">
        <v>7</v>
      </c>
    </row>
    <row r="555" spans="1:21" x14ac:dyDescent="0.35">
      <c r="A555">
        <v>40</v>
      </c>
      <c r="B555" t="str" cm="1">
        <f t="array" ref="B555">_xlfn.IFS(A555&gt;40,"Senior",A555&gt;30,"Adult",A555&gt;=18,"Teenager")</f>
        <v>Adult</v>
      </c>
      <c r="C555" t="s">
        <v>22</v>
      </c>
      <c r="D555">
        <f t="shared" si="8"/>
        <v>0</v>
      </c>
      <c r="E555" t="s">
        <v>23</v>
      </c>
      <c r="F555">
        <v>4</v>
      </c>
      <c r="G555" t="s">
        <v>20</v>
      </c>
      <c r="H555">
        <v>2</v>
      </c>
      <c r="I555">
        <v>1</v>
      </c>
      <c r="J555" t="s">
        <v>25</v>
      </c>
      <c r="K555">
        <v>4</v>
      </c>
      <c r="L555">
        <v>2342</v>
      </c>
      <c r="M555" t="str" cm="1">
        <f t="array" ref="M555">_xlfn.IFS(L555&lt;= 7000,"Low",L555&lt;=15000,"Medium",L555&lt;=20000,"High")</f>
        <v>Low</v>
      </c>
      <c r="N555" t="s">
        <v>18</v>
      </c>
      <c r="O555">
        <v>20</v>
      </c>
      <c r="P555">
        <v>4</v>
      </c>
      <c r="Q555">
        <v>4</v>
      </c>
      <c r="R555">
        <v>5</v>
      </c>
      <c r="S555">
        <v>2</v>
      </c>
      <c r="T555">
        <v>4</v>
      </c>
      <c r="U555">
        <v>2</v>
      </c>
    </row>
    <row r="556" spans="1:21" x14ac:dyDescent="0.35">
      <c r="A556">
        <v>27</v>
      </c>
      <c r="B556" t="str" cm="1">
        <f t="array" ref="B556">_xlfn.IFS(A556&gt;40,"Senior",A556&gt;30,"Adult",A556&gt;=18,"Teenager")</f>
        <v>Teenager</v>
      </c>
      <c r="C556" t="s">
        <v>22</v>
      </c>
      <c r="D556">
        <f t="shared" si="8"/>
        <v>0</v>
      </c>
      <c r="E556" t="s">
        <v>23</v>
      </c>
      <c r="F556">
        <v>4</v>
      </c>
      <c r="G556" t="s">
        <v>20</v>
      </c>
      <c r="H556">
        <v>2</v>
      </c>
      <c r="I556">
        <v>2</v>
      </c>
      <c r="J556" t="s">
        <v>28</v>
      </c>
      <c r="K556">
        <v>1</v>
      </c>
      <c r="L556">
        <v>6811</v>
      </c>
      <c r="M556" t="str" cm="1">
        <f t="array" ref="M556">_xlfn.IFS(L556&lt;= 7000,"Low",L556&lt;=15000,"Medium",L556&lt;=20000,"High")</f>
        <v>Low</v>
      </c>
      <c r="N556" t="s">
        <v>22</v>
      </c>
      <c r="O556">
        <v>19</v>
      </c>
      <c r="P556">
        <v>3</v>
      </c>
      <c r="Q556">
        <v>1</v>
      </c>
      <c r="R556">
        <v>9</v>
      </c>
      <c r="S556">
        <v>1</v>
      </c>
      <c r="T556">
        <v>7</v>
      </c>
      <c r="U556">
        <v>6</v>
      </c>
    </row>
    <row r="557" spans="1:21" x14ac:dyDescent="0.35">
      <c r="A557">
        <v>29</v>
      </c>
      <c r="B557" t="str" cm="1">
        <f t="array" ref="B557">_xlfn.IFS(A557&gt;40,"Senior",A557&gt;30,"Adult",A557&gt;=18,"Teenager")</f>
        <v>Teenager</v>
      </c>
      <c r="C557" t="s">
        <v>22</v>
      </c>
      <c r="D557">
        <f t="shared" si="8"/>
        <v>0</v>
      </c>
      <c r="E557" t="s">
        <v>19</v>
      </c>
      <c r="F557">
        <v>4</v>
      </c>
      <c r="G557" t="s">
        <v>24</v>
      </c>
      <c r="H557">
        <v>3</v>
      </c>
      <c r="I557">
        <v>1</v>
      </c>
      <c r="J557" t="s">
        <v>30</v>
      </c>
      <c r="K557">
        <v>2</v>
      </c>
      <c r="L557">
        <v>2297</v>
      </c>
      <c r="M557" t="str" cm="1">
        <f t="array" ref="M557">_xlfn.IFS(L557&lt;= 7000,"Low",L557&lt;=15000,"Medium",L557&lt;=20000,"High")</f>
        <v>Low</v>
      </c>
      <c r="N557" t="s">
        <v>22</v>
      </c>
      <c r="O557">
        <v>14</v>
      </c>
      <c r="P557">
        <v>3</v>
      </c>
      <c r="Q557">
        <v>4</v>
      </c>
      <c r="R557">
        <v>2</v>
      </c>
      <c r="S557">
        <v>3</v>
      </c>
      <c r="T557">
        <v>2</v>
      </c>
      <c r="U557">
        <v>2</v>
      </c>
    </row>
    <row r="558" spans="1:21" x14ac:dyDescent="0.35">
      <c r="A558">
        <v>53</v>
      </c>
      <c r="B558" t="str" cm="1">
        <f t="array" ref="B558">_xlfn.IFS(A558&gt;40,"Senior",A558&gt;30,"Adult",A558&gt;=18,"Teenager")</f>
        <v>Senior</v>
      </c>
      <c r="C558" t="s">
        <v>22</v>
      </c>
      <c r="D558">
        <f t="shared" si="8"/>
        <v>0</v>
      </c>
      <c r="E558" t="s">
        <v>23</v>
      </c>
      <c r="F558">
        <v>4</v>
      </c>
      <c r="G558" t="s">
        <v>24</v>
      </c>
      <c r="H558">
        <v>3</v>
      </c>
      <c r="I558">
        <v>2</v>
      </c>
      <c r="J558" t="s">
        <v>26</v>
      </c>
      <c r="K558">
        <v>4</v>
      </c>
      <c r="L558">
        <v>2450</v>
      </c>
      <c r="M558" t="str" cm="1">
        <f t="array" ref="M558">_xlfn.IFS(L558&lt;= 7000,"Low",L558&lt;=15000,"Medium",L558&lt;=20000,"High")</f>
        <v>Low</v>
      </c>
      <c r="N558" t="s">
        <v>22</v>
      </c>
      <c r="O558">
        <v>17</v>
      </c>
      <c r="P558">
        <v>3</v>
      </c>
      <c r="Q558">
        <v>4</v>
      </c>
      <c r="R558">
        <v>19</v>
      </c>
      <c r="S558">
        <v>3</v>
      </c>
      <c r="T558">
        <v>2</v>
      </c>
      <c r="U558">
        <v>2</v>
      </c>
    </row>
    <row r="559" spans="1:21" x14ac:dyDescent="0.35">
      <c r="A559">
        <v>35</v>
      </c>
      <c r="B559" t="str" cm="1">
        <f t="array" ref="B559">_xlfn.IFS(A559&gt;40,"Senior",A559&gt;30,"Adult",A559&gt;=18,"Teenager")</f>
        <v>Adult</v>
      </c>
      <c r="C559" t="s">
        <v>22</v>
      </c>
      <c r="D559">
        <f t="shared" si="8"/>
        <v>0</v>
      </c>
      <c r="E559" t="s">
        <v>23</v>
      </c>
      <c r="F559">
        <v>4</v>
      </c>
      <c r="G559" t="s">
        <v>20</v>
      </c>
      <c r="H559">
        <v>3</v>
      </c>
      <c r="I559">
        <v>2</v>
      </c>
      <c r="J559" t="s">
        <v>28</v>
      </c>
      <c r="K559">
        <v>1</v>
      </c>
      <c r="L559">
        <v>5093</v>
      </c>
      <c r="M559" t="str" cm="1">
        <f t="array" ref="M559">_xlfn.IFS(L559&lt;= 7000,"Low",L559&lt;=15000,"Medium",L559&lt;=20000,"High")</f>
        <v>Low</v>
      </c>
      <c r="N559" t="s">
        <v>22</v>
      </c>
      <c r="O559">
        <v>11</v>
      </c>
      <c r="P559">
        <v>3</v>
      </c>
      <c r="Q559">
        <v>1</v>
      </c>
      <c r="R559">
        <v>16</v>
      </c>
      <c r="S559">
        <v>4</v>
      </c>
      <c r="T559">
        <v>1</v>
      </c>
      <c r="U559">
        <v>0</v>
      </c>
    </row>
    <row r="560" spans="1:21" x14ac:dyDescent="0.35">
      <c r="A560">
        <v>32</v>
      </c>
      <c r="B560" t="str" cm="1">
        <f t="array" ref="B560">_xlfn.IFS(A560&gt;40,"Senior",A560&gt;30,"Adult",A560&gt;=18,"Teenager")</f>
        <v>Adult</v>
      </c>
      <c r="C560" t="s">
        <v>22</v>
      </c>
      <c r="D560">
        <f t="shared" si="8"/>
        <v>0</v>
      </c>
      <c r="E560" t="s">
        <v>23</v>
      </c>
      <c r="F560">
        <v>1</v>
      </c>
      <c r="G560" t="s">
        <v>24</v>
      </c>
      <c r="H560">
        <v>3</v>
      </c>
      <c r="I560">
        <v>2</v>
      </c>
      <c r="J560" t="s">
        <v>26</v>
      </c>
      <c r="K560">
        <v>4</v>
      </c>
      <c r="L560">
        <v>5309</v>
      </c>
      <c r="M560" t="str" cm="1">
        <f t="array" ref="M560">_xlfn.IFS(L560&lt;= 7000,"Low",L560&lt;=15000,"Medium",L560&lt;=20000,"High")</f>
        <v>Low</v>
      </c>
      <c r="N560" t="s">
        <v>22</v>
      </c>
      <c r="O560">
        <v>15</v>
      </c>
      <c r="P560">
        <v>3</v>
      </c>
      <c r="Q560">
        <v>4</v>
      </c>
      <c r="R560">
        <v>10</v>
      </c>
      <c r="S560">
        <v>3</v>
      </c>
      <c r="T560">
        <v>10</v>
      </c>
      <c r="U560">
        <v>8</v>
      </c>
    </row>
    <row r="561" spans="1:21" x14ac:dyDescent="0.35">
      <c r="A561">
        <v>38</v>
      </c>
      <c r="B561" t="str" cm="1">
        <f t="array" ref="B561">_xlfn.IFS(A561&gt;40,"Senior",A561&gt;30,"Adult",A561&gt;=18,"Teenager")</f>
        <v>Adult</v>
      </c>
      <c r="C561" t="s">
        <v>22</v>
      </c>
      <c r="D561">
        <f t="shared" si="8"/>
        <v>0</v>
      </c>
      <c r="E561" t="s">
        <v>23</v>
      </c>
      <c r="F561">
        <v>4</v>
      </c>
      <c r="G561" t="s">
        <v>24</v>
      </c>
      <c r="H561">
        <v>3</v>
      </c>
      <c r="I561">
        <v>1</v>
      </c>
      <c r="J561" t="s">
        <v>25</v>
      </c>
      <c r="K561">
        <v>3</v>
      </c>
      <c r="L561">
        <v>3057</v>
      </c>
      <c r="M561" t="str" cm="1">
        <f t="array" ref="M561">_xlfn.IFS(L561&lt;= 7000,"Low",L561&lt;=15000,"Medium",L561&lt;=20000,"High")</f>
        <v>Low</v>
      </c>
      <c r="N561" t="s">
        <v>18</v>
      </c>
      <c r="O561">
        <v>13</v>
      </c>
      <c r="P561">
        <v>3</v>
      </c>
      <c r="Q561">
        <v>2</v>
      </c>
      <c r="R561">
        <v>6</v>
      </c>
      <c r="S561">
        <v>1</v>
      </c>
      <c r="T561">
        <v>1</v>
      </c>
      <c r="U561">
        <v>0</v>
      </c>
    </row>
    <row r="562" spans="1:21" x14ac:dyDescent="0.35">
      <c r="A562">
        <v>34</v>
      </c>
      <c r="B562" t="str" cm="1">
        <f t="array" ref="B562">_xlfn.IFS(A562&gt;40,"Senior",A562&gt;30,"Adult",A562&gt;=18,"Teenager")</f>
        <v>Adult</v>
      </c>
      <c r="C562" t="s">
        <v>22</v>
      </c>
      <c r="D562">
        <f t="shared" si="8"/>
        <v>0</v>
      </c>
      <c r="E562" t="s">
        <v>23</v>
      </c>
      <c r="F562">
        <v>2</v>
      </c>
      <c r="G562" t="s">
        <v>20</v>
      </c>
      <c r="H562">
        <v>3</v>
      </c>
      <c r="I562">
        <v>2</v>
      </c>
      <c r="J562" t="s">
        <v>27</v>
      </c>
      <c r="K562">
        <v>1</v>
      </c>
      <c r="L562">
        <v>5121</v>
      </c>
      <c r="M562" t="str" cm="1">
        <f t="array" ref="M562">_xlfn.IFS(L562&lt;= 7000,"Low",L562&lt;=15000,"Medium",L562&lt;=20000,"High")</f>
        <v>Low</v>
      </c>
      <c r="N562" t="s">
        <v>22</v>
      </c>
      <c r="O562">
        <v>14</v>
      </c>
      <c r="P562">
        <v>3</v>
      </c>
      <c r="Q562">
        <v>3</v>
      </c>
      <c r="R562">
        <v>7</v>
      </c>
      <c r="S562">
        <v>3</v>
      </c>
      <c r="T562">
        <v>0</v>
      </c>
      <c r="U562">
        <v>0</v>
      </c>
    </row>
    <row r="563" spans="1:21" x14ac:dyDescent="0.35">
      <c r="A563">
        <v>52</v>
      </c>
      <c r="B563" t="str" cm="1">
        <f t="array" ref="B563">_xlfn.IFS(A563&gt;40,"Senior",A563&gt;30,"Adult",A563&gt;=18,"Teenager")</f>
        <v>Senior</v>
      </c>
      <c r="C563" t="s">
        <v>22</v>
      </c>
      <c r="D563">
        <f t="shared" si="8"/>
        <v>0</v>
      </c>
      <c r="E563" t="s">
        <v>19</v>
      </c>
      <c r="F563">
        <v>3</v>
      </c>
      <c r="G563" t="s">
        <v>24</v>
      </c>
      <c r="H563">
        <v>2</v>
      </c>
      <c r="I563">
        <v>4</v>
      </c>
      <c r="J563" t="s">
        <v>29</v>
      </c>
      <c r="K563">
        <v>1</v>
      </c>
      <c r="L563">
        <v>16856</v>
      </c>
      <c r="M563" t="str" cm="1">
        <f t="array" ref="M563">_xlfn.IFS(L563&lt;= 7000,"Low",L563&lt;=15000,"Medium",L563&lt;=20000,"High")</f>
        <v>High</v>
      </c>
      <c r="N563" t="s">
        <v>22</v>
      </c>
      <c r="O563">
        <v>11</v>
      </c>
      <c r="P563">
        <v>3</v>
      </c>
      <c r="Q563">
        <v>1</v>
      </c>
      <c r="R563">
        <v>34</v>
      </c>
      <c r="S563">
        <v>4</v>
      </c>
      <c r="T563">
        <v>34</v>
      </c>
      <c r="U563">
        <v>6</v>
      </c>
    </row>
    <row r="564" spans="1:21" x14ac:dyDescent="0.35">
      <c r="A564">
        <v>33</v>
      </c>
      <c r="B564" t="str" cm="1">
        <f t="array" ref="B564">_xlfn.IFS(A564&gt;40,"Senior",A564&gt;30,"Adult",A564&gt;=18,"Teenager")</f>
        <v>Adult</v>
      </c>
      <c r="C564" t="s">
        <v>18</v>
      </c>
      <c r="D564">
        <f t="shared" si="8"/>
        <v>1</v>
      </c>
      <c r="E564" t="s">
        <v>23</v>
      </c>
      <c r="F564">
        <v>4</v>
      </c>
      <c r="G564" t="s">
        <v>24</v>
      </c>
      <c r="H564">
        <v>3</v>
      </c>
      <c r="I564">
        <v>1</v>
      </c>
      <c r="J564" t="s">
        <v>25</v>
      </c>
      <c r="K564">
        <v>4</v>
      </c>
      <c r="L564">
        <v>2686</v>
      </c>
      <c r="M564" t="str" cm="1">
        <f t="array" ref="M564">_xlfn.IFS(L564&lt;= 7000,"Low",L564&lt;=15000,"Medium",L564&lt;=20000,"High")</f>
        <v>Low</v>
      </c>
      <c r="N564" t="s">
        <v>18</v>
      </c>
      <c r="O564">
        <v>13</v>
      </c>
      <c r="P564">
        <v>3</v>
      </c>
      <c r="Q564">
        <v>3</v>
      </c>
      <c r="R564">
        <v>10</v>
      </c>
      <c r="S564">
        <v>2</v>
      </c>
      <c r="T564">
        <v>10</v>
      </c>
      <c r="U564">
        <v>9</v>
      </c>
    </row>
    <row r="565" spans="1:21" x14ac:dyDescent="0.35">
      <c r="A565">
        <v>25</v>
      </c>
      <c r="B565" t="str" cm="1">
        <f t="array" ref="B565">_xlfn.IFS(A565&gt;40,"Senior",A565&gt;30,"Adult",A565&gt;=18,"Teenager")</f>
        <v>Teenager</v>
      </c>
      <c r="C565" t="s">
        <v>22</v>
      </c>
      <c r="D565">
        <f t="shared" si="8"/>
        <v>0</v>
      </c>
      <c r="E565" t="s">
        <v>19</v>
      </c>
      <c r="F565">
        <v>3</v>
      </c>
      <c r="G565" t="s">
        <v>20</v>
      </c>
      <c r="H565">
        <v>3</v>
      </c>
      <c r="I565">
        <v>2</v>
      </c>
      <c r="J565" t="s">
        <v>21</v>
      </c>
      <c r="K565">
        <v>4</v>
      </c>
      <c r="L565">
        <v>6180</v>
      </c>
      <c r="M565" t="str" cm="1">
        <f t="array" ref="M565">_xlfn.IFS(L565&lt;= 7000,"Low",L565&lt;=15000,"Medium",L565&lt;=20000,"High")</f>
        <v>Low</v>
      </c>
      <c r="N565" t="s">
        <v>22</v>
      </c>
      <c r="O565">
        <v>23</v>
      </c>
      <c r="P565">
        <v>4</v>
      </c>
      <c r="Q565">
        <v>2</v>
      </c>
      <c r="R565">
        <v>6</v>
      </c>
      <c r="S565">
        <v>2</v>
      </c>
      <c r="T565">
        <v>6</v>
      </c>
      <c r="U565">
        <v>5</v>
      </c>
    </row>
    <row r="566" spans="1:21" x14ac:dyDescent="0.35">
      <c r="A566">
        <v>45</v>
      </c>
      <c r="B566" t="str" cm="1">
        <f t="array" ref="B566">_xlfn.IFS(A566&gt;40,"Senior",A566&gt;30,"Adult",A566&gt;=18,"Teenager")</f>
        <v>Senior</v>
      </c>
      <c r="C566" t="s">
        <v>22</v>
      </c>
      <c r="D566">
        <f t="shared" si="8"/>
        <v>0</v>
      </c>
      <c r="E566" t="s">
        <v>19</v>
      </c>
      <c r="F566">
        <v>2</v>
      </c>
      <c r="G566" t="s">
        <v>24</v>
      </c>
      <c r="H566">
        <v>1</v>
      </c>
      <c r="I566">
        <v>2</v>
      </c>
      <c r="J566" t="s">
        <v>30</v>
      </c>
      <c r="K566">
        <v>3</v>
      </c>
      <c r="L566">
        <v>6632</v>
      </c>
      <c r="M566" t="str" cm="1">
        <f t="array" ref="M566">_xlfn.IFS(L566&lt;= 7000,"Low",L566&lt;=15000,"Medium",L566&lt;=20000,"High")</f>
        <v>Low</v>
      </c>
      <c r="N566" t="s">
        <v>22</v>
      </c>
      <c r="O566">
        <v>13</v>
      </c>
      <c r="P566">
        <v>3</v>
      </c>
      <c r="Q566">
        <v>1</v>
      </c>
      <c r="R566">
        <v>9</v>
      </c>
      <c r="S566">
        <v>3</v>
      </c>
      <c r="T566">
        <v>8</v>
      </c>
      <c r="U566">
        <v>7</v>
      </c>
    </row>
    <row r="567" spans="1:21" x14ac:dyDescent="0.35">
      <c r="A567">
        <v>23</v>
      </c>
      <c r="B567" t="str" cm="1">
        <f t="array" ref="B567">_xlfn.IFS(A567&gt;40,"Senior",A567&gt;30,"Adult",A567&gt;=18,"Teenager")</f>
        <v>Teenager</v>
      </c>
      <c r="C567" t="s">
        <v>22</v>
      </c>
      <c r="D567">
        <f t="shared" si="8"/>
        <v>0</v>
      </c>
      <c r="E567" t="s">
        <v>23</v>
      </c>
      <c r="F567">
        <v>1</v>
      </c>
      <c r="G567" t="s">
        <v>24</v>
      </c>
      <c r="H567">
        <v>4</v>
      </c>
      <c r="I567">
        <v>1</v>
      </c>
      <c r="J567" t="s">
        <v>25</v>
      </c>
      <c r="K567">
        <v>3</v>
      </c>
      <c r="L567">
        <v>3505</v>
      </c>
      <c r="M567" t="str" cm="1">
        <f t="array" ref="M567">_xlfn.IFS(L567&lt;= 7000,"Low",L567&lt;=15000,"Medium",L567&lt;=20000,"High")</f>
        <v>Low</v>
      </c>
      <c r="N567" t="s">
        <v>22</v>
      </c>
      <c r="O567">
        <v>18</v>
      </c>
      <c r="P567">
        <v>3</v>
      </c>
      <c r="Q567">
        <v>4</v>
      </c>
      <c r="R567">
        <v>2</v>
      </c>
      <c r="S567">
        <v>3</v>
      </c>
      <c r="T567">
        <v>2</v>
      </c>
      <c r="U567">
        <v>2</v>
      </c>
    </row>
    <row r="568" spans="1:21" x14ac:dyDescent="0.35">
      <c r="A568">
        <v>47</v>
      </c>
      <c r="B568" t="str" cm="1">
        <f t="array" ref="B568">_xlfn.IFS(A568&gt;40,"Senior",A568&gt;30,"Adult",A568&gt;=18,"Teenager")</f>
        <v>Senior</v>
      </c>
      <c r="C568" t="s">
        <v>18</v>
      </c>
      <c r="D568">
        <f t="shared" si="8"/>
        <v>1</v>
      </c>
      <c r="E568" t="s">
        <v>19</v>
      </c>
      <c r="F568">
        <v>2</v>
      </c>
      <c r="G568" t="s">
        <v>20</v>
      </c>
      <c r="H568">
        <v>4</v>
      </c>
      <c r="I568">
        <v>2</v>
      </c>
      <c r="J568" t="s">
        <v>21</v>
      </c>
      <c r="K568">
        <v>3</v>
      </c>
      <c r="L568">
        <v>6397</v>
      </c>
      <c r="M568" t="str" cm="1">
        <f t="array" ref="M568">_xlfn.IFS(L568&lt;= 7000,"Low",L568&lt;=15000,"Medium",L568&lt;=20000,"High")</f>
        <v>Low</v>
      </c>
      <c r="N568" t="s">
        <v>18</v>
      </c>
      <c r="O568">
        <v>12</v>
      </c>
      <c r="P568">
        <v>3</v>
      </c>
      <c r="Q568">
        <v>4</v>
      </c>
      <c r="R568">
        <v>8</v>
      </c>
      <c r="S568">
        <v>3</v>
      </c>
      <c r="T568">
        <v>5</v>
      </c>
      <c r="U568">
        <v>4</v>
      </c>
    </row>
    <row r="569" spans="1:21" x14ac:dyDescent="0.35">
      <c r="A569">
        <v>34</v>
      </c>
      <c r="B569" t="str" cm="1">
        <f t="array" ref="B569">_xlfn.IFS(A569&gt;40,"Senior",A569&gt;30,"Adult",A569&gt;=18,"Teenager")</f>
        <v>Adult</v>
      </c>
      <c r="C569" t="s">
        <v>22</v>
      </c>
      <c r="D569">
        <f t="shared" si="8"/>
        <v>0</v>
      </c>
      <c r="E569" t="s">
        <v>19</v>
      </c>
      <c r="F569">
        <v>4</v>
      </c>
      <c r="G569" t="s">
        <v>24</v>
      </c>
      <c r="H569">
        <v>3</v>
      </c>
      <c r="I569">
        <v>2</v>
      </c>
      <c r="J569" t="s">
        <v>21</v>
      </c>
      <c r="K569">
        <v>4</v>
      </c>
      <c r="L569">
        <v>6274</v>
      </c>
      <c r="M569" t="str" cm="1">
        <f t="array" ref="M569">_xlfn.IFS(L569&lt;= 7000,"Low",L569&lt;=15000,"Medium",L569&lt;=20000,"High")</f>
        <v>Low</v>
      </c>
      <c r="N569" t="s">
        <v>22</v>
      </c>
      <c r="O569">
        <v>22</v>
      </c>
      <c r="P569">
        <v>4</v>
      </c>
      <c r="Q569">
        <v>3</v>
      </c>
      <c r="R569">
        <v>6</v>
      </c>
      <c r="S569">
        <v>3</v>
      </c>
      <c r="T569">
        <v>6</v>
      </c>
      <c r="U569">
        <v>5</v>
      </c>
    </row>
    <row r="570" spans="1:21" x14ac:dyDescent="0.35">
      <c r="A570">
        <v>55</v>
      </c>
      <c r="B570" t="str" cm="1">
        <f t="array" ref="B570">_xlfn.IFS(A570&gt;40,"Senior",A570&gt;30,"Adult",A570&gt;=18,"Teenager")</f>
        <v>Senior</v>
      </c>
      <c r="C570" t="s">
        <v>18</v>
      </c>
      <c r="D570">
        <f t="shared" si="8"/>
        <v>1</v>
      </c>
      <c r="E570" t="s">
        <v>23</v>
      </c>
      <c r="F570">
        <v>4</v>
      </c>
      <c r="G570" t="s">
        <v>24</v>
      </c>
      <c r="H570">
        <v>3</v>
      </c>
      <c r="I570">
        <v>5</v>
      </c>
      <c r="J570" t="s">
        <v>29</v>
      </c>
      <c r="K570">
        <v>1</v>
      </c>
      <c r="L570">
        <v>19859</v>
      </c>
      <c r="M570" t="str" cm="1">
        <f t="array" ref="M570">_xlfn.IFS(L570&lt;= 7000,"Low",L570&lt;=15000,"Medium",L570&lt;=20000,"High")</f>
        <v>High</v>
      </c>
      <c r="N570" t="s">
        <v>18</v>
      </c>
      <c r="O570">
        <v>13</v>
      </c>
      <c r="P570">
        <v>3</v>
      </c>
      <c r="Q570">
        <v>4</v>
      </c>
      <c r="R570">
        <v>24</v>
      </c>
      <c r="S570">
        <v>3</v>
      </c>
      <c r="T570">
        <v>5</v>
      </c>
      <c r="U570">
        <v>2</v>
      </c>
    </row>
    <row r="571" spans="1:21" x14ac:dyDescent="0.35">
      <c r="A571">
        <v>36</v>
      </c>
      <c r="B571" t="str" cm="1">
        <f t="array" ref="B571">_xlfn.IFS(A571&gt;40,"Senior",A571&gt;30,"Adult",A571&gt;=18,"Teenager")</f>
        <v>Adult</v>
      </c>
      <c r="C571" t="s">
        <v>22</v>
      </c>
      <c r="D571">
        <f t="shared" si="8"/>
        <v>0</v>
      </c>
      <c r="E571" t="s">
        <v>19</v>
      </c>
      <c r="F571">
        <v>1</v>
      </c>
      <c r="G571" t="s">
        <v>24</v>
      </c>
      <c r="H571">
        <v>2</v>
      </c>
      <c r="I571">
        <v>3</v>
      </c>
      <c r="J571" t="s">
        <v>21</v>
      </c>
      <c r="K571">
        <v>1</v>
      </c>
      <c r="L571">
        <v>7587</v>
      </c>
      <c r="M571" t="str" cm="1">
        <f t="array" ref="M571">_xlfn.IFS(L571&lt;= 7000,"Low",L571&lt;=15000,"Medium",L571&lt;=20000,"High")</f>
        <v>Medium</v>
      </c>
      <c r="N571" t="s">
        <v>22</v>
      </c>
      <c r="O571">
        <v>15</v>
      </c>
      <c r="P571">
        <v>3</v>
      </c>
      <c r="Q571">
        <v>2</v>
      </c>
      <c r="R571">
        <v>10</v>
      </c>
      <c r="S571">
        <v>3</v>
      </c>
      <c r="T571">
        <v>10</v>
      </c>
      <c r="U571">
        <v>7</v>
      </c>
    </row>
    <row r="572" spans="1:21" x14ac:dyDescent="0.35">
      <c r="A572">
        <v>52</v>
      </c>
      <c r="B572" t="str" cm="1">
        <f t="array" ref="B572">_xlfn.IFS(A572&gt;40,"Senior",A572&gt;30,"Adult",A572&gt;=18,"Teenager")</f>
        <v>Senior</v>
      </c>
      <c r="C572" t="s">
        <v>22</v>
      </c>
      <c r="D572">
        <f t="shared" si="8"/>
        <v>0</v>
      </c>
      <c r="E572" t="s">
        <v>23</v>
      </c>
      <c r="F572">
        <v>4</v>
      </c>
      <c r="G572" t="s">
        <v>24</v>
      </c>
      <c r="H572">
        <v>3</v>
      </c>
      <c r="I572">
        <v>1</v>
      </c>
      <c r="J572" t="s">
        <v>25</v>
      </c>
      <c r="K572">
        <v>4</v>
      </c>
      <c r="L572">
        <v>4258</v>
      </c>
      <c r="M572" t="str" cm="1">
        <f t="array" ref="M572">_xlfn.IFS(L572&lt;= 7000,"Low",L572&lt;=15000,"Medium",L572&lt;=20000,"High")</f>
        <v>Low</v>
      </c>
      <c r="N572" t="s">
        <v>22</v>
      </c>
      <c r="O572">
        <v>18</v>
      </c>
      <c r="P572">
        <v>3</v>
      </c>
      <c r="Q572">
        <v>1</v>
      </c>
      <c r="R572">
        <v>5</v>
      </c>
      <c r="S572">
        <v>3</v>
      </c>
      <c r="T572">
        <v>4</v>
      </c>
      <c r="U572">
        <v>3</v>
      </c>
    </row>
    <row r="573" spans="1:21" x14ac:dyDescent="0.35">
      <c r="A573">
        <v>26</v>
      </c>
      <c r="B573" t="str" cm="1">
        <f t="array" ref="B573">_xlfn.IFS(A573&gt;40,"Senior",A573&gt;30,"Adult",A573&gt;=18,"Teenager")</f>
        <v>Teenager</v>
      </c>
      <c r="C573" t="s">
        <v>22</v>
      </c>
      <c r="D573">
        <f t="shared" si="8"/>
        <v>0</v>
      </c>
      <c r="E573" t="s">
        <v>23</v>
      </c>
      <c r="F573">
        <v>1</v>
      </c>
      <c r="G573" t="s">
        <v>20</v>
      </c>
      <c r="H573">
        <v>1</v>
      </c>
      <c r="I573">
        <v>1</v>
      </c>
      <c r="J573" t="s">
        <v>26</v>
      </c>
      <c r="K573">
        <v>4</v>
      </c>
      <c r="L573">
        <v>4364</v>
      </c>
      <c r="M573" t="str" cm="1">
        <f t="array" ref="M573">_xlfn.IFS(L573&lt;= 7000,"Low",L573&lt;=15000,"Medium",L573&lt;=20000,"High")</f>
        <v>Low</v>
      </c>
      <c r="N573" t="s">
        <v>22</v>
      </c>
      <c r="O573">
        <v>14</v>
      </c>
      <c r="P573">
        <v>3</v>
      </c>
      <c r="Q573">
        <v>1</v>
      </c>
      <c r="R573">
        <v>5</v>
      </c>
      <c r="S573">
        <v>3</v>
      </c>
      <c r="T573">
        <v>2</v>
      </c>
      <c r="U573">
        <v>2</v>
      </c>
    </row>
    <row r="574" spans="1:21" x14ac:dyDescent="0.35">
      <c r="A574">
        <v>29</v>
      </c>
      <c r="B574" t="str" cm="1">
        <f t="array" ref="B574">_xlfn.IFS(A574&gt;40,"Senior",A574&gt;30,"Adult",A574&gt;=18,"Teenager")</f>
        <v>Teenager</v>
      </c>
      <c r="C574" t="s">
        <v>22</v>
      </c>
      <c r="D574">
        <f t="shared" si="8"/>
        <v>0</v>
      </c>
      <c r="E574" t="s">
        <v>23</v>
      </c>
      <c r="F574">
        <v>2</v>
      </c>
      <c r="G574" t="s">
        <v>20</v>
      </c>
      <c r="H574">
        <v>3</v>
      </c>
      <c r="I574">
        <v>2</v>
      </c>
      <c r="J574" t="s">
        <v>28</v>
      </c>
      <c r="K574">
        <v>3</v>
      </c>
      <c r="L574">
        <v>4335</v>
      </c>
      <c r="M574" t="str" cm="1">
        <f t="array" ref="M574">_xlfn.IFS(L574&lt;= 7000,"Low",L574&lt;=15000,"Medium",L574&lt;=20000,"High")</f>
        <v>Low</v>
      </c>
      <c r="N574" t="s">
        <v>22</v>
      </c>
      <c r="O574">
        <v>12</v>
      </c>
      <c r="P574">
        <v>3</v>
      </c>
      <c r="Q574">
        <v>1</v>
      </c>
      <c r="R574">
        <v>11</v>
      </c>
      <c r="S574">
        <v>2</v>
      </c>
      <c r="T574">
        <v>8</v>
      </c>
      <c r="U574">
        <v>7</v>
      </c>
    </row>
    <row r="575" spans="1:21" x14ac:dyDescent="0.35">
      <c r="A575">
        <v>26</v>
      </c>
      <c r="B575" t="str" cm="1">
        <f t="array" ref="B575">_xlfn.IFS(A575&gt;40,"Senior",A575&gt;30,"Adult",A575&gt;=18,"Teenager")</f>
        <v>Teenager</v>
      </c>
      <c r="C575" t="s">
        <v>18</v>
      </c>
      <c r="D575">
        <f t="shared" si="8"/>
        <v>1</v>
      </c>
      <c r="E575" t="s">
        <v>19</v>
      </c>
      <c r="F575">
        <v>4</v>
      </c>
      <c r="G575" t="s">
        <v>24</v>
      </c>
      <c r="H575">
        <v>2</v>
      </c>
      <c r="I575">
        <v>2</v>
      </c>
      <c r="J575" t="s">
        <v>21</v>
      </c>
      <c r="K575">
        <v>1</v>
      </c>
      <c r="L575">
        <v>5326</v>
      </c>
      <c r="M575" t="str" cm="1">
        <f t="array" ref="M575">_xlfn.IFS(L575&lt;= 7000,"Low",L575&lt;=15000,"Medium",L575&lt;=20000,"High")</f>
        <v>Low</v>
      </c>
      <c r="N575" t="s">
        <v>22</v>
      </c>
      <c r="O575">
        <v>17</v>
      </c>
      <c r="P575">
        <v>3</v>
      </c>
      <c r="Q575">
        <v>3</v>
      </c>
      <c r="R575">
        <v>6</v>
      </c>
      <c r="S575">
        <v>2</v>
      </c>
      <c r="T575">
        <v>4</v>
      </c>
      <c r="U575">
        <v>3</v>
      </c>
    </row>
    <row r="576" spans="1:21" x14ac:dyDescent="0.35">
      <c r="A576">
        <v>34</v>
      </c>
      <c r="B576" t="str" cm="1">
        <f t="array" ref="B576">_xlfn.IFS(A576&gt;40,"Senior",A576&gt;30,"Adult",A576&gt;=18,"Teenager")</f>
        <v>Adult</v>
      </c>
      <c r="C576" t="s">
        <v>22</v>
      </c>
      <c r="D576">
        <f t="shared" si="8"/>
        <v>0</v>
      </c>
      <c r="E576" t="s">
        <v>23</v>
      </c>
      <c r="F576">
        <v>2</v>
      </c>
      <c r="G576" t="s">
        <v>20</v>
      </c>
      <c r="H576">
        <v>4</v>
      </c>
      <c r="I576">
        <v>1</v>
      </c>
      <c r="J576" t="s">
        <v>25</v>
      </c>
      <c r="K576">
        <v>4</v>
      </c>
      <c r="L576">
        <v>3280</v>
      </c>
      <c r="M576" t="str" cm="1">
        <f t="array" ref="M576">_xlfn.IFS(L576&lt;= 7000,"Low",L576&lt;=15000,"Medium",L576&lt;=20000,"High")</f>
        <v>Low</v>
      </c>
      <c r="N576" t="s">
        <v>22</v>
      </c>
      <c r="O576">
        <v>16</v>
      </c>
      <c r="P576">
        <v>3</v>
      </c>
      <c r="Q576">
        <v>3</v>
      </c>
      <c r="R576">
        <v>10</v>
      </c>
      <c r="S576">
        <v>3</v>
      </c>
      <c r="T576">
        <v>4</v>
      </c>
      <c r="U576">
        <v>2</v>
      </c>
    </row>
    <row r="577" spans="1:21" x14ac:dyDescent="0.35">
      <c r="A577">
        <v>54</v>
      </c>
      <c r="B577" t="str" cm="1">
        <f t="array" ref="B577">_xlfn.IFS(A577&gt;40,"Senior",A577&gt;30,"Adult",A577&gt;=18,"Teenager")</f>
        <v>Senior</v>
      </c>
      <c r="C577" t="s">
        <v>22</v>
      </c>
      <c r="D577">
        <f t="shared" si="8"/>
        <v>0</v>
      </c>
      <c r="E577" t="s">
        <v>23</v>
      </c>
      <c r="F577">
        <v>4</v>
      </c>
      <c r="G577" t="s">
        <v>20</v>
      </c>
      <c r="H577">
        <v>3</v>
      </c>
      <c r="I577">
        <v>2</v>
      </c>
      <c r="J577" t="s">
        <v>27</v>
      </c>
      <c r="K577">
        <v>1</v>
      </c>
      <c r="L577">
        <v>5485</v>
      </c>
      <c r="M577" t="str" cm="1">
        <f t="array" ref="M577">_xlfn.IFS(L577&lt;= 7000,"Low",L577&lt;=15000,"Medium",L577&lt;=20000,"High")</f>
        <v>Low</v>
      </c>
      <c r="N577" t="s">
        <v>18</v>
      </c>
      <c r="O577">
        <v>11</v>
      </c>
      <c r="P577">
        <v>3</v>
      </c>
      <c r="Q577">
        <v>2</v>
      </c>
      <c r="R577">
        <v>9</v>
      </c>
      <c r="S577">
        <v>3</v>
      </c>
      <c r="T577">
        <v>5</v>
      </c>
      <c r="U577">
        <v>3</v>
      </c>
    </row>
    <row r="578" spans="1:21" x14ac:dyDescent="0.35">
      <c r="A578">
        <v>27</v>
      </c>
      <c r="B578" t="str" cm="1">
        <f t="array" ref="B578">_xlfn.IFS(A578&gt;40,"Senior",A578&gt;30,"Adult",A578&gt;=18,"Teenager")</f>
        <v>Teenager</v>
      </c>
      <c r="C578" t="s">
        <v>22</v>
      </c>
      <c r="D578">
        <f t="shared" si="8"/>
        <v>0</v>
      </c>
      <c r="E578" t="s">
        <v>19</v>
      </c>
      <c r="F578">
        <v>3</v>
      </c>
      <c r="G578" t="s">
        <v>24</v>
      </c>
      <c r="H578">
        <v>3</v>
      </c>
      <c r="I578">
        <v>2</v>
      </c>
      <c r="J578" t="s">
        <v>21</v>
      </c>
      <c r="K578">
        <v>4</v>
      </c>
      <c r="L578">
        <v>4342</v>
      </c>
      <c r="M578" t="str" cm="1">
        <f t="array" ref="M578">_xlfn.IFS(L578&lt;= 7000,"Low",L578&lt;=15000,"Medium",L578&lt;=20000,"High")</f>
        <v>Low</v>
      </c>
      <c r="N578" t="s">
        <v>22</v>
      </c>
      <c r="O578">
        <v>19</v>
      </c>
      <c r="P578">
        <v>3</v>
      </c>
      <c r="Q578">
        <v>2</v>
      </c>
      <c r="R578">
        <v>5</v>
      </c>
      <c r="S578">
        <v>3</v>
      </c>
      <c r="T578">
        <v>4</v>
      </c>
      <c r="U578">
        <v>2</v>
      </c>
    </row>
    <row r="579" spans="1:21" x14ac:dyDescent="0.35">
      <c r="A579">
        <v>37</v>
      </c>
      <c r="B579" t="str" cm="1">
        <f t="array" ref="B579">_xlfn.IFS(A579&gt;40,"Senior",A579&gt;30,"Adult",A579&gt;=18,"Teenager")</f>
        <v>Adult</v>
      </c>
      <c r="C579" t="s">
        <v>22</v>
      </c>
      <c r="D579">
        <f t="shared" ref="D579:D642" si="9">IF(C579="Yes",1,0)</f>
        <v>0</v>
      </c>
      <c r="E579" t="s">
        <v>23</v>
      </c>
      <c r="F579">
        <v>4</v>
      </c>
      <c r="G579" t="s">
        <v>20</v>
      </c>
      <c r="H579">
        <v>3</v>
      </c>
      <c r="I579">
        <v>1</v>
      </c>
      <c r="J579" t="s">
        <v>25</v>
      </c>
      <c r="K579">
        <v>1</v>
      </c>
      <c r="L579">
        <v>2782</v>
      </c>
      <c r="M579" t="str" cm="1">
        <f t="array" ref="M579">_xlfn.IFS(L579&lt;= 7000,"Low",L579&lt;=15000,"Medium",L579&lt;=20000,"High")</f>
        <v>Low</v>
      </c>
      <c r="N579" t="s">
        <v>18</v>
      </c>
      <c r="O579">
        <v>13</v>
      </c>
      <c r="P579">
        <v>3</v>
      </c>
      <c r="Q579">
        <v>2</v>
      </c>
      <c r="R579">
        <v>6</v>
      </c>
      <c r="S579">
        <v>2</v>
      </c>
      <c r="T579">
        <v>5</v>
      </c>
      <c r="U579">
        <v>3</v>
      </c>
    </row>
    <row r="580" spans="1:21" x14ac:dyDescent="0.35">
      <c r="A580">
        <v>38</v>
      </c>
      <c r="B580" t="str" cm="1">
        <f t="array" ref="B580">_xlfn.IFS(A580&gt;40,"Senior",A580&gt;30,"Adult",A580&gt;=18,"Teenager")</f>
        <v>Adult</v>
      </c>
      <c r="C580" t="s">
        <v>22</v>
      </c>
      <c r="D580">
        <f t="shared" si="9"/>
        <v>0</v>
      </c>
      <c r="E580" t="s">
        <v>23</v>
      </c>
      <c r="F580">
        <v>1</v>
      </c>
      <c r="G580" t="s">
        <v>20</v>
      </c>
      <c r="H580">
        <v>4</v>
      </c>
      <c r="I580">
        <v>2</v>
      </c>
      <c r="J580" t="s">
        <v>27</v>
      </c>
      <c r="K580">
        <v>1</v>
      </c>
      <c r="L580">
        <v>5980</v>
      </c>
      <c r="M580" t="str" cm="1">
        <f t="array" ref="M580">_xlfn.IFS(L580&lt;= 7000,"Low",L580&lt;=15000,"Medium",L580&lt;=20000,"High")</f>
        <v>Low</v>
      </c>
      <c r="N580" t="s">
        <v>18</v>
      </c>
      <c r="O580">
        <v>12</v>
      </c>
      <c r="P580">
        <v>3</v>
      </c>
      <c r="Q580">
        <v>4</v>
      </c>
      <c r="R580">
        <v>17</v>
      </c>
      <c r="S580">
        <v>3</v>
      </c>
      <c r="T580">
        <v>15</v>
      </c>
      <c r="U580">
        <v>7</v>
      </c>
    </row>
    <row r="581" spans="1:21" x14ac:dyDescent="0.35">
      <c r="A581">
        <v>34</v>
      </c>
      <c r="B581" t="str" cm="1">
        <f t="array" ref="B581">_xlfn.IFS(A581&gt;40,"Senior",A581&gt;30,"Adult",A581&gt;=18,"Teenager")</f>
        <v>Adult</v>
      </c>
      <c r="C581" t="s">
        <v>22</v>
      </c>
      <c r="D581">
        <f t="shared" si="9"/>
        <v>0</v>
      </c>
      <c r="E581" t="s">
        <v>23</v>
      </c>
      <c r="F581">
        <v>3</v>
      </c>
      <c r="G581" t="s">
        <v>20</v>
      </c>
      <c r="H581">
        <v>2</v>
      </c>
      <c r="I581">
        <v>1</v>
      </c>
      <c r="J581" t="s">
        <v>25</v>
      </c>
      <c r="K581">
        <v>1</v>
      </c>
      <c r="L581">
        <v>4381</v>
      </c>
      <c r="M581" t="str" cm="1">
        <f t="array" ref="M581">_xlfn.IFS(L581&lt;= 7000,"Low",L581&lt;=15000,"Medium",L581&lt;=20000,"High")</f>
        <v>Low</v>
      </c>
      <c r="N581" t="s">
        <v>22</v>
      </c>
      <c r="O581">
        <v>11</v>
      </c>
      <c r="P581">
        <v>3</v>
      </c>
      <c r="Q581">
        <v>3</v>
      </c>
      <c r="R581">
        <v>6</v>
      </c>
      <c r="S581">
        <v>3</v>
      </c>
      <c r="T581">
        <v>6</v>
      </c>
      <c r="U581">
        <v>5</v>
      </c>
    </row>
    <row r="582" spans="1:21" x14ac:dyDescent="0.35">
      <c r="A582">
        <v>35</v>
      </c>
      <c r="B582" t="str" cm="1">
        <f t="array" ref="B582">_xlfn.IFS(A582&gt;40,"Senior",A582&gt;30,"Adult",A582&gt;=18,"Teenager")</f>
        <v>Adult</v>
      </c>
      <c r="C582" t="s">
        <v>22</v>
      </c>
      <c r="D582">
        <f t="shared" si="9"/>
        <v>0</v>
      </c>
      <c r="E582" t="s">
        <v>19</v>
      </c>
      <c r="F582">
        <v>1</v>
      </c>
      <c r="G582" t="s">
        <v>20</v>
      </c>
      <c r="H582">
        <v>3</v>
      </c>
      <c r="I582">
        <v>1</v>
      </c>
      <c r="J582" t="s">
        <v>30</v>
      </c>
      <c r="K582">
        <v>4</v>
      </c>
      <c r="L582">
        <v>2572</v>
      </c>
      <c r="M582" t="str" cm="1">
        <f t="array" ref="M582">_xlfn.IFS(L582&lt;= 7000,"Low",L582&lt;=15000,"Medium",L582&lt;=20000,"High")</f>
        <v>Low</v>
      </c>
      <c r="N582" t="s">
        <v>22</v>
      </c>
      <c r="O582">
        <v>16</v>
      </c>
      <c r="P582">
        <v>3</v>
      </c>
      <c r="Q582">
        <v>2</v>
      </c>
      <c r="R582">
        <v>3</v>
      </c>
      <c r="S582">
        <v>2</v>
      </c>
      <c r="T582">
        <v>3</v>
      </c>
      <c r="U582">
        <v>2</v>
      </c>
    </row>
    <row r="583" spans="1:21" x14ac:dyDescent="0.35">
      <c r="A583">
        <v>30</v>
      </c>
      <c r="B583" t="str" cm="1">
        <f t="array" ref="B583">_xlfn.IFS(A583&gt;40,"Senior",A583&gt;30,"Adult",A583&gt;=18,"Teenager")</f>
        <v>Teenager</v>
      </c>
      <c r="C583" t="s">
        <v>22</v>
      </c>
      <c r="D583">
        <f t="shared" si="9"/>
        <v>0</v>
      </c>
      <c r="E583" t="s">
        <v>23</v>
      </c>
      <c r="F583">
        <v>4</v>
      </c>
      <c r="G583" t="s">
        <v>24</v>
      </c>
      <c r="H583">
        <v>1</v>
      </c>
      <c r="I583">
        <v>1</v>
      </c>
      <c r="J583" t="s">
        <v>26</v>
      </c>
      <c r="K583">
        <v>3</v>
      </c>
      <c r="L583">
        <v>3833</v>
      </c>
      <c r="M583" t="str" cm="1">
        <f t="array" ref="M583">_xlfn.IFS(L583&lt;= 7000,"Low",L583&lt;=15000,"Medium",L583&lt;=20000,"High")</f>
        <v>Low</v>
      </c>
      <c r="N583" t="s">
        <v>22</v>
      </c>
      <c r="O583">
        <v>21</v>
      </c>
      <c r="P583">
        <v>4</v>
      </c>
      <c r="Q583">
        <v>3</v>
      </c>
      <c r="R583">
        <v>7</v>
      </c>
      <c r="S583">
        <v>3</v>
      </c>
      <c r="T583">
        <v>2</v>
      </c>
      <c r="U583">
        <v>2</v>
      </c>
    </row>
    <row r="584" spans="1:21" x14ac:dyDescent="0.35">
      <c r="A584">
        <v>40</v>
      </c>
      <c r="B584" t="str" cm="1">
        <f t="array" ref="B584">_xlfn.IFS(A584&gt;40,"Senior",A584&gt;30,"Adult",A584&gt;=18,"Teenager")</f>
        <v>Adult</v>
      </c>
      <c r="C584" t="s">
        <v>22</v>
      </c>
      <c r="D584">
        <f t="shared" si="9"/>
        <v>0</v>
      </c>
      <c r="E584" t="s">
        <v>23</v>
      </c>
      <c r="F584">
        <v>3</v>
      </c>
      <c r="G584" t="s">
        <v>20</v>
      </c>
      <c r="H584">
        <v>4</v>
      </c>
      <c r="I584">
        <v>2</v>
      </c>
      <c r="J584" t="s">
        <v>28</v>
      </c>
      <c r="K584">
        <v>2</v>
      </c>
      <c r="L584">
        <v>4244</v>
      </c>
      <c r="M584" t="str" cm="1">
        <f t="array" ref="M584">_xlfn.IFS(L584&lt;= 7000,"Low",L584&lt;=15000,"Medium",L584&lt;=20000,"High")</f>
        <v>Low</v>
      </c>
      <c r="N584" t="s">
        <v>22</v>
      </c>
      <c r="O584">
        <v>24</v>
      </c>
      <c r="P584">
        <v>4</v>
      </c>
      <c r="Q584">
        <v>4</v>
      </c>
      <c r="R584">
        <v>8</v>
      </c>
      <c r="S584">
        <v>3</v>
      </c>
      <c r="T584">
        <v>8</v>
      </c>
      <c r="U584">
        <v>7</v>
      </c>
    </row>
    <row r="585" spans="1:21" x14ac:dyDescent="0.35">
      <c r="A585">
        <v>34</v>
      </c>
      <c r="B585" t="str" cm="1">
        <f t="array" ref="B585">_xlfn.IFS(A585&gt;40,"Senior",A585&gt;30,"Adult",A585&gt;=18,"Teenager")</f>
        <v>Adult</v>
      </c>
      <c r="C585" t="s">
        <v>22</v>
      </c>
      <c r="D585">
        <f t="shared" si="9"/>
        <v>0</v>
      </c>
      <c r="E585" t="s">
        <v>19</v>
      </c>
      <c r="F585">
        <v>3</v>
      </c>
      <c r="G585" t="s">
        <v>20</v>
      </c>
      <c r="H585">
        <v>3</v>
      </c>
      <c r="I585">
        <v>2</v>
      </c>
      <c r="J585" t="s">
        <v>21</v>
      </c>
      <c r="K585">
        <v>1</v>
      </c>
      <c r="L585">
        <v>6500</v>
      </c>
      <c r="M585" t="str" cm="1">
        <f t="array" ref="M585">_xlfn.IFS(L585&lt;= 7000,"Low",L585&lt;=15000,"Medium",L585&lt;=20000,"High")</f>
        <v>Low</v>
      </c>
      <c r="N585" t="s">
        <v>22</v>
      </c>
      <c r="O585">
        <v>17</v>
      </c>
      <c r="P585">
        <v>3</v>
      </c>
      <c r="Q585">
        <v>2</v>
      </c>
      <c r="R585">
        <v>6</v>
      </c>
      <c r="S585">
        <v>3</v>
      </c>
      <c r="T585">
        <v>3</v>
      </c>
      <c r="U585">
        <v>2</v>
      </c>
    </row>
    <row r="586" spans="1:21" x14ac:dyDescent="0.35">
      <c r="A586">
        <v>42</v>
      </c>
      <c r="B586" t="str" cm="1">
        <f t="array" ref="B586">_xlfn.IFS(A586&gt;40,"Senior",A586&gt;30,"Adult",A586&gt;=18,"Teenager")</f>
        <v>Senior</v>
      </c>
      <c r="C586" t="s">
        <v>22</v>
      </c>
      <c r="D586">
        <f t="shared" si="9"/>
        <v>0</v>
      </c>
      <c r="E586" t="s">
        <v>23</v>
      </c>
      <c r="F586">
        <v>2</v>
      </c>
      <c r="G586" t="s">
        <v>24</v>
      </c>
      <c r="H586">
        <v>3</v>
      </c>
      <c r="I586">
        <v>5</v>
      </c>
      <c r="J586" t="s">
        <v>29</v>
      </c>
      <c r="K586">
        <v>4</v>
      </c>
      <c r="L586">
        <v>18430</v>
      </c>
      <c r="M586" t="str" cm="1">
        <f t="array" ref="M586">_xlfn.IFS(L586&lt;= 7000,"Low",L586&lt;=15000,"Medium",L586&lt;=20000,"High")</f>
        <v>High</v>
      </c>
      <c r="N586" t="s">
        <v>22</v>
      </c>
      <c r="O586">
        <v>13</v>
      </c>
      <c r="P586">
        <v>3</v>
      </c>
      <c r="Q586">
        <v>2</v>
      </c>
      <c r="R586">
        <v>24</v>
      </c>
      <c r="S586">
        <v>2</v>
      </c>
      <c r="T586">
        <v>24</v>
      </c>
      <c r="U586">
        <v>7</v>
      </c>
    </row>
    <row r="587" spans="1:21" x14ac:dyDescent="0.35">
      <c r="A587">
        <v>23</v>
      </c>
      <c r="B587" t="str" cm="1">
        <f t="array" ref="B587">_xlfn.IFS(A587&gt;40,"Senior",A587&gt;30,"Adult",A587&gt;=18,"Teenager")</f>
        <v>Teenager</v>
      </c>
      <c r="C587" t="s">
        <v>18</v>
      </c>
      <c r="D587">
        <f t="shared" si="9"/>
        <v>1</v>
      </c>
      <c r="E587" t="s">
        <v>23</v>
      </c>
      <c r="F587">
        <v>3</v>
      </c>
      <c r="G587" t="s">
        <v>24</v>
      </c>
      <c r="H587">
        <v>4</v>
      </c>
      <c r="I587">
        <v>1</v>
      </c>
      <c r="J587" t="s">
        <v>26</v>
      </c>
      <c r="K587">
        <v>1</v>
      </c>
      <c r="L587">
        <v>1601</v>
      </c>
      <c r="M587" t="str" cm="1">
        <f t="array" ref="M587">_xlfn.IFS(L587&lt;= 7000,"Low",L587&lt;=15000,"Medium",L587&lt;=20000,"High")</f>
        <v>Low</v>
      </c>
      <c r="N587" t="s">
        <v>18</v>
      </c>
      <c r="O587">
        <v>21</v>
      </c>
      <c r="P587">
        <v>4</v>
      </c>
      <c r="Q587">
        <v>3</v>
      </c>
      <c r="R587">
        <v>1</v>
      </c>
      <c r="S587">
        <v>3</v>
      </c>
      <c r="T587">
        <v>0</v>
      </c>
      <c r="U587">
        <v>0</v>
      </c>
    </row>
    <row r="588" spans="1:21" x14ac:dyDescent="0.35">
      <c r="A588">
        <v>24</v>
      </c>
      <c r="B588" t="str" cm="1">
        <f t="array" ref="B588">_xlfn.IFS(A588&gt;40,"Senior",A588&gt;30,"Adult",A588&gt;=18,"Teenager")</f>
        <v>Teenager</v>
      </c>
      <c r="C588" t="s">
        <v>22</v>
      </c>
      <c r="D588">
        <f t="shared" si="9"/>
        <v>0</v>
      </c>
      <c r="E588" t="s">
        <v>23</v>
      </c>
      <c r="F588">
        <v>3</v>
      </c>
      <c r="G588" t="s">
        <v>24</v>
      </c>
      <c r="H588">
        <v>2</v>
      </c>
      <c r="I588">
        <v>1</v>
      </c>
      <c r="J588" t="s">
        <v>26</v>
      </c>
      <c r="K588">
        <v>2</v>
      </c>
      <c r="L588">
        <v>2694</v>
      </c>
      <c r="M588" t="str" cm="1">
        <f t="array" ref="M588">_xlfn.IFS(L588&lt;= 7000,"Low",L588&lt;=15000,"Medium",L588&lt;=20000,"High")</f>
        <v>Low</v>
      </c>
      <c r="N588" t="s">
        <v>22</v>
      </c>
      <c r="O588">
        <v>11</v>
      </c>
      <c r="P588">
        <v>3</v>
      </c>
      <c r="Q588">
        <v>3</v>
      </c>
      <c r="R588">
        <v>1</v>
      </c>
      <c r="S588">
        <v>3</v>
      </c>
      <c r="T588">
        <v>1</v>
      </c>
      <c r="U588">
        <v>0</v>
      </c>
    </row>
    <row r="589" spans="1:21" x14ac:dyDescent="0.35">
      <c r="A589">
        <v>52</v>
      </c>
      <c r="B589" t="str" cm="1">
        <f t="array" ref="B589">_xlfn.IFS(A589&gt;40,"Senior",A589&gt;30,"Adult",A589&gt;=18,"Teenager")</f>
        <v>Senior</v>
      </c>
      <c r="C589" t="s">
        <v>22</v>
      </c>
      <c r="D589">
        <f t="shared" si="9"/>
        <v>0</v>
      </c>
      <c r="E589" t="s">
        <v>23</v>
      </c>
      <c r="F589">
        <v>4</v>
      </c>
      <c r="G589" t="s">
        <v>20</v>
      </c>
      <c r="H589">
        <v>3</v>
      </c>
      <c r="I589">
        <v>2</v>
      </c>
      <c r="J589" t="s">
        <v>26</v>
      </c>
      <c r="K589">
        <v>3</v>
      </c>
      <c r="L589">
        <v>3149</v>
      </c>
      <c r="M589" t="str" cm="1">
        <f t="array" ref="M589">_xlfn.IFS(L589&lt;= 7000,"Low",L589&lt;=15000,"Medium",L589&lt;=20000,"High")</f>
        <v>Low</v>
      </c>
      <c r="N589" t="s">
        <v>22</v>
      </c>
      <c r="O589">
        <v>20</v>
      </c>
      <c r="P589">
        <v>4</v>
      </c>
      <c r="Q589">
        <v>2</v>
      </c>
      <c r="R589">
        <v>9</v>
      </c>
      <c r="S589">
        <v>3</v>
      </c>
      <c r="T589">
        <v>5</v>
      </c>
      <c r="U589">
        <v>2</v>
      </c>
    </row>
    <row r="590" spans="1:21" x14ac:dyDescent="0.35">
      <c r="A590">
        <v>50</v>
      </c>
      <c r="B590" t="str" cm="1">
        <f t="array" ref="B590">_xlfn.IFS(A590&gt;40,"Senior",A590&gt;30,"Adult",A590&gt;=18,"Teenager")</f>
        <v>Senior</v>
      </c>
      <c r="C590" t="s">
        <v>22</v>
      </c>
      <c r="D590">
        <f t="shared" si="9"/>
        <v>0</v>
      </c>
      <c r="E590" t="s">
        <v>23</v>
      </c>
      <c r="F590">
        <v>3</v>
      </c>
      <c r="G590" t="s">
        <v>24</v>
      </c>
      <c r="H590">
        <v>3</v>
      </c>
      <c r="I590">
        <v>4</v>
      </c>
      <c r="J590" t="s">
        <v>31</v>
      </c>
      <c r="K590">
        <v>3</v>
      </c>
      <c r="L590">
        <v>17639</v>
      </c>
      <c r="M590" t="str" cm="1">
        <f t="array" ref="M590">_xlfn.IFS(L590&lt;= 7000,"Low",L590&lt;=15000,"Medium",L590&lt;=20000,"High")</f>
        <v>High</v>
      </c>
      <c r="N590" t="s">
        <v>22</v>
      </c>
      <c r="O590">
        <v>16</v>
      </c>
      <c r="P590">
        <v>3</v>
      </c>
      <c r="Q590">
        <v>4</v>
      </c>
      <c r="R590">
        <v>30</v>
      </c>
      <c r="S590">
        <v>3</v>
      </c>
      <c r="T590">
        <v>4</v>
      </c>
      <c r="U590">
        <v>3</v>
      </c>
    </row>
    <row r="591" spans="1:21" x14ac:dyDescent="0.35">
      <c r="A591">
        <v>29</v>
      </c>
      <c r="B591" t="str" cm="1">
        <f t="array" ref="B591">_xlfn.IFS(A591&gt;40,"Senior",A591&gt;30,"Adult",A591&gt;=18,"Teenager")</f>
        <v>Teenager</v>
      </c>
      <c r="C591" t="s">
        <v>18</v>
      </c>
      <c r="D591">
        <f t="shared" si="9"/>
        <v>1</v>
      </c>
      <c r="E591" t="s">
        <v>23</v>
      </c>
      <c r="F591">
        <v>2</v>
      </c>
      <c r="G591" t="s">
        <v>20</v>
      </c>
      <c r="H591">
        <v>2</v>
      </c>
      <c r="I591">
        <v>1</v>
      </c>
      <c r="J591" t="s">
        <v>26</v>
      </c>
      <c r="K591">
        <v>1</v>
      </c>
      <c r="L591">
        <v>2319</v>
      </c>
      <c r="M591" t="str" cm="1">
        <f t="array" ref="M591">_xlfn.IFS(L591&lt;= 7000,"Low",L591&lt;=15000,"Medium",L591&lt;=20000,"High")</f>
        <v>Low</v>
      </c>
      <c r="N591" t="s">
        <v>18</v>
      </c>
      <c r="O591">
        <v>11</v>
      </c>
      <c r="P591">
        <v>3</v>
      </c>
      <c r="Q591">
        <v>4</v>
      </c>
      <c r="R591">
        <v>1</v>
      </c>
      <c r="S591">
        <v>3</v>
      </c>
      <c r="T591">
        <v>1</v>
      </c>
      <c r="U591">
        <v>0</v>
      </c>
    </row>
    <row r="592" spans="1:21" x14ac:dyDescent="0.35">
      <c r="A592">
        <v>33</v>
      </c>
      <c r="B592" t="str" cm="1">
        <f t="array" ref="B592">_xlfn.IFS(A592&gt;40,"Senior",A592&gt;30,"Adult",A592&gt;=18,"Teenager")</f>
        <v>Adult</v>
      </c>
      <c r="C592" t="s">
        <v>22</v>
      </c>
      <c r="D592">
        <f t="shared" si="9"/>
        <v>0</v>
      </c>
      <c r="E592" t="s">
        <v>23</v>
      </c>
      <c r="F592">
        <v>3</v>
      </c>
      <c r="G592" t="s">
        <v>24</v>
      </c>
      <c r="H592">
        <v>3</v>
      </c>
      <c r="I592">
        <v>3</v>
      </c>
      <c r="J592" t="s">
        <v>31</v>
      </c>
      <c r="K592">
        <v>3</v>
      </c>
      <c r="L592">
        <v>11691</v>
      </c>
      <c r="M592" t="str" cm="1">
        <f t="array" ref="M592">_xlfn.IFS(L592&lt;= 7000,"Low",L592&lt;=15000,"Medium",L592&lt;=20000,"High")</f>
        <v>Medium</v>
      </c>
      <c r="N592" t="s">
        <v>22</v>
      </c>
      <c r="O592">
        <v>11</v>
      </c>
      <c r="P592">
        <v>3</v>
      </c>
      <c r="Q592">
        <v>4</v>
      </c>
      <c r="R592">
        <v>14</v>
      </c>
      <c r="S592">
        <v>4</v>
      </c>
      <c r="T592">
        <v>13</v>
      </c>
      <c r="U592">
        <v>9</v>
      </c>
    </row>
    <row r="593" spans="1:21" x14ac:dyDescent="0.35">
      <c r="A593">
        <v>33</v>
      </c>
      <c r="B593" t="str" cm="1">
        <f t="array" ref="B593">_xlfn.IFS(A593&gt;40,"Senior",A593&gt;30,"Adult",A593&gt;=18,"Teenager")</f>
        <v>Adult</v>
      </c>
      <c r="C593" t="s">
        <v>18</v>
      </c>
      <c r="D593">
        <f t="shared" si="9"/>
        <v>1</v>
      </c>
      <c r="E593" t="s">
        <v>19</v>
      </c>
      <c r="F593">
        <v>1</v>
      </c>
      <c r="G593" t="s">
        <v>20</v>
      </c>
      <c r="H593">
        <v>3</v>
      </c>
      <c r="I593">
        <v>2</v>
      </c>
      <c r="J593" t="s">
        <v>21</v>
      </c>
      <c r="K593">
        <v>1</v>
      </c>
      <c r="L593">
        <v>5324</v>
      </c>
      <c r="M593" t="str" cm="1">
        <f t="array" ref="M593">_xlfn.IFS(L593&lt;= 7000,"Low",L593&lt;=15000,"Medium",L593&lt;=20000,"High")</f>
        <v>Low</v>
      </c>
      <c r="N593" t="s">
        <v>22</v>
      </c>
      <c r="O593">
        <v>15</v>
      </c>
      <c r="P593">
        <v>3</v>
      </c>
      <c r="Q593">
        <v>3</v>
      </c>
      <c r="R593">
        <v>6</v>
      </c>
      <c r="S593">
        <v>3</v>
      </c>
      <c r="T593">
        <v>3</v>
      </c>
      <c r="U593">
        <v>2</v>
      </c>
    </row>
    <row r="594" spans="1:21" x14ac:dyDescent="0.35">
      <c r="A594">
        <v>47</v>
      </c>
      <c r="B594" t="str" cm="1">
        <f t="array" ref="B594">_xlfn.IFS(A594&gt;40,"Senior",A594&gt;30,"Adult",A594&gt;=18,"Teenager")</f>
        <v>Senior</v>
      </c>
      <c r="C594" t="s">
        <v>22</v>
      </c>
      <c r="D594">
        <f t="shared" si="9"/>
        <v>0</v>
      </c>
      <c r="E594" t="s">
        <v>23</v>
      </c>
      <c r="F594">
        <v>3</v>
      </c>
      <c r="G594" t="s">
        <v>20</v>
      </c>
      <c r="H594">
        <v>3</v>
      </c>
      <c r="I594">
        <v>4</v>
      </c>
      <c r="J594" t="s">
        <v>29</v>
      </c>
      <c r="K594">
        <v>4</v>
      </c>
      <c r="L594">
        <v>16752</v>
      </c>
      <c r="M594" t="str" cm="1">
        <f t="array" ref="M594">_xlfn.IFS(L594&lt;= 7000,"Low",L594&lt;=15000,"Medium",L594&lt;=20000,"High")</f>
        <v>High</v>
      </c>
      <c r="N594" t="s">
        <v>18</v>
      </c>
      <c r="O594">
        <v>11</v>
      </c>
      <c r="P594">
        <v>3</v>
      </c>
      <c r="Q594">
        <v>3</v>
      </c>
      <c r="R594">
        <v>26</v>
      </c>
      <c r="S594">
        <v>2</v>
      </c>
      <c r="T594">
        <v>26</v>
      </c>
      <c r="U594">
        <v>14</v>
      </c>
    </row>
    <row r="595" spans="1:21" x14ac:dyDescent="0.35">
      <c r="A595">
        <v>36</v>
      </c>
      <c r="B595" t="str" cm="1">
        <f t="array" ref="B595">_xlfn.IFS(A595&gt;40,"Senior",A595&gt;30,"Adult",A595&gt;=18,"Teenager")</f>
        <v>Adult</v>
      </c>
      <c r="C595" t="s">
        <v>22</v>
      </c>
      <c r="D595">
        <f t="shared" si="9"/>
        <v>0</v>
      </c>
      <c r="E595" t="s">
        <v>23</v>
      </c>
      <c r="F595">
        <v>3</v>
      </c>
      <c r="G595" t="s">
        <v>20</v>
      </c>
      <c r="H595">
        <v>3</v>
      </c>
      <c r="I595">
        <v>2</v>
      </c>
      <c r="J595" t="s">
        <v>27</v>
      </c>
      <c r="K595">
        <v>2</v>
      </c>
      <c r="L595">
        <v>5228</v>
      </c>
      <c r="M595" t="str" cm="1">
        <f t="array" ref="M595">_xlfn.IFS(L595&lt;= 7000,"Low",L595&lt;=15000,"Medium",L595&lt;=20000,"High")</f>
        <v>Low</v>
      </c>
      <c r="N595" t="s">
        <v>22</v>
      </c>
      <c r="O595">
        <v>15</v>
      </c>
      <c r="P595">
        <v>3</v>
      </c>
      <c r="Q595">
        <v>1</v>
      </c>
      <c r="R595">
        <v>10</v>
      </c>
      <c r="S595">
        <v>3</v>
      </c>
      <c r="T595">
        <v>9</v>
      </c>
      <c r="U595">
        <v>7</v>
      </c>
    </row>
    <row r="596" spans="1:21" x14ac:dyDescent="0.35">
      <c r="A596">
        <v>29</v>
      </c>
      <c r="B596" t="str" cm="1">
        <f t="array" ref="B596">_xlfn.IFS(A596&gt;40,"Senior",A596&gt;30,"Adult",A596&gt;=18,"Teenager")</f>
        <v>Teenager</v>
      </c>
      <c r="C596" t="s">
        <v>22</v>
      </c>
      <c r="D596">
        <f t="shared" si="9"/>
        <v>0</v>
      </c>
      <c r="E596" t="s">
        <v>23</v>
      </c>
      <c r="F596">
        <v>3</v>
      </c>
      <c r="G596" t="s">
        <v>24</v>
      </c>
      <c r="H596">
        <v>4</v>
      </c>
      <c r="I596">
        <v>1</v>
      </c>
      <c r="J596" t="s">
        <v>25</v>
      </c>
      <c r="K596">
        <v>3</v>
      </c>
      <c r="L596">
        <v>2700</v>
      </c>
      <c r="M596" t="str" cm="1">
        <f t="array" ref="M596">_xlfn.IFS(L596&lt;= 7000,"Low",L596&lt;=15000,"Medium",L596&lt;=20000,"High")</f>
        <v>Low</v>
      </c>
      <c r="N596" t="s">
        <v>22</v>
      </c>
      <c r="O596">
        <v>24</v>
      </c>
      <c r="P596">
        <v>4</v>
      </c>
      <c r="Q596">
        <v>3</v>
      </c>
      <c r="R596">
        <v>10</v>
      </c>
      <c r="S596">
        <v>3</v>
      </c>
      <c r="T596">
        <v>10</v>
      </c>
      <c r="U596">
        <v>7</v>
      </c>
    </row>
    <row r="597" spans="1:21" x14ac:dyDescent="0.35">
      <c r="A597">
        <v>58</v>
      </c>
      <c r="B597" t="str" cm="1">
        <f t="array" ref="B597">_xlfn.IFS(A597&gt;40,"Senior",A597&gt;30,"Adult",A597&gt;=18,"Teenager")</f>
        <v>Senior</v>
      </c>
      <c r="C597" t="s">
        <v>18</v>
      </c>
      <c r="D597">
        <f t="shared" si="9"/>
        <v>1</v>
      </c>
      <c r="E597" t="s">
        <v>23</v>
      </c>
      <c r="F597">
        <v>4</v>
      </c>
      <c r="G597" t="s">
        <v>24</v>
      </c>
      <c r="H597">
        <v>3</v>
      </c>
      <c r="I597">
        <v>5</v>
      </c>
      <c r="J597" t="s">
        <v>31</v>
      </c>
      <c r="K597">
        <v>2</v>
      </c>
      <c r="L597">
        <v>19246</v>
      </c>
      <c r="M597" t="str" cm="1">
        <f t="array" ref="M597">_xlfn.IFS(L597&lt;= 7000,"Low",L597&lt;=15000,"Medium",L597&lt;=20000,"High")</f>
        <v>High</v>
      </c>
      <c r="N597" t="s">
        <v>18</v>
      </c>
      <c r="O597">
        <v>12</v>
      </c>
      <c r="P597">
        <v>3</v>
      </c>
      <c r="Q597">
        <v>4</v>
      </c>
      <c r="R597">
        <v>40</v>
      </c>
      <c r="S597">
        <v>3</v>
      </c>
      <c r="T597">
        <v>31</v>
      </c>
      <c r="U597">
        <v>15</v>
      </c>
    </row>
    <row r="598" spans="1:21" x14ac:dyDescent="0.35">
      <c r="A598">
        <v>35</v>
      </c>
      <c r="B598" t="str" cm="1">
        <f t="array" ref="B598">_xlfn.IFS(A598&gt;40,"Senior",A598&gt;30,"Adult",A598&gt;=18,"Teenager")</f>
        <v>Adult</v>
      </c>
      <c r="C598" t="s">
        <v>22</v>
      </c>
      <c r="D598">
        <f t="shared" si="9"/>
        <v>0</v>
      </c>
      <c r="E598" t="s">
        <v>23</v>
      </c>
      <c r="F598">
        <v>4</v>
      </c>
      <c r="G598" t="s">
        <v>20</v>
      </c>
      <c r="H598">
        <v>4</v>
      </c>
      <c r="I598">
        <v>1</v>
      </c>
      <c r="J598" t="s">
        <v>25</v>
      </c>
      <c r="K598">
        <v>3</v>
      </c>
      <c r="L598">
        <v>2506</v>
      </c>
      <c r="M598" t="str" cm="1">
        <f t="array" ref="M598">_xlfn.IFS(L598&lt;= 7000,"Low",L598&lt;=15000,"Medium",L598&lt;=20000,"High")</f>
        <v>Low</v>
      </c>
      <c r="N598" t="s">
        <v>22</v>
      </c>
      <c r="O598">
        <v>13</v>
      </c>
      <c r="P598">
        <v>3</v>
      </c>
      <c r="Q598">
        <v>3</v>
      </c>
      <c r="R598">
        <v>7</v>
      </c>
      <c r="S598">
        <v>3</v>
      </c>
      <c r="T598">
        <v>2</v>
      </c>
      <c r="U598">
        <v>2</v>
      </c>
    </row>
    <row r="599" spans="1:21" x14ac:dyDescent="0.35">
      <c r="A599">
        <v>42</v>
      </c>
      <c r="B599" t="str" cm="1">
        <f t="array" ref="B599">_xlfn.IFS(A599&gt;40,"Senior",A599&gt;30,"Adult",A599&gt;=18,"Teenager")</f>
        <v>Senior</v>
      </c>
      <c r="C599" t="s">
        <v>22</v>
      </c>
      <c r="D599">
        <f t="shared" si="9"/>
        <v>0</v>
      </c>
      <c r="E599" t="s">
        <v>23</v>
      </c>
      <c r="F599">
        <v>4</v>
      </c>
      <c r="G599" t="s">
        <v>20</v>
      </c>
      <c r="H599">
        <v>2</v>
      </c>
      <c r="I599">
        <v>2</v>
      </c>
      <c r="J599" t="s">
        <v>27</v>
      </c>
      <c r="K599">
        <v>4</v>
      </c>
      <c r="L599">
        <v>6062</v>
      </c>
      <c r="M599" t="str" cm="1">
        <f t="array" ref="M599">_xlfn.IFS(L599&lt;= 7000,"Low",L599&lt;=15000,"Medium",L599&lt;=20000,"High")</f>
        <v>Low</v>
      </c>
      <c r="N599" t="s">
        <v>18</v>
      </c>
      <c r="O599">
        <v>13</v>
      </c>
      <c r="P599">
        <v>3</v>
      </c>
      <c r="Q599">
        <v>4</v>
      </c>
      <c r="R599">
        <v>8</v>
      </c>
      <c r="S599">
        <v>3</v>
      </c>
      <c r="T599">
        <v>4</v>
      </c>
      <c r="U599">
        <v>3</v>
      </c>
    </row>
    <row r="600" spans="1:21" x14ac:dyDescent="0.35">
      <c r="A600">
        <v>28</v>
      </c>
      <c r="B600" t="str" cm="1">
        <f t="array" ref="B600">_xlfn.IFS(A600&gt;40,"Senior",A600&gt;30,"Adult",A600&gt;=18,"Teenager")</f>
        <v>Teenager</v>
      </c>
      <c r="C600" t="s">
        <v>18</v>
      </c>
      <c r="D600">
        <f t="shared" si="9"/>
        <v>1</v>
      </c>
      <c r="E600" t="s">
        <v>23</v>
      </c>
      <c r="F600">
        <v>3</v>
      </c>
      <c r="G600" t="s">
        <v>24</v>
      </c>
      <c r="H600">
        <v>3</v>
      </c>
      <c r="I600">
        <v>1</v>
      </c>
      <c r="J600" t="s">
        <v>25</v>
      </c>
      <c r="K600">
        <v>3</v>
      </c>
      <c r="L600">
        <v>4382</v>
      </c>
      <c r="M600" t="str" cm="1">
        <f t="array" ref="M600">_xlfn.IFS(L600&lt;= 7000,"Low",L600&lt;=15000,"Medium",L600&lt;=20000,"High")</f>
        <v>Low</v>
      </c>
      <c r="N600" t="s">
        <v>22</v>
      </c>
      <c r="O600">
        <v>17</v>
      </c>
      <c r="P600">
        <v>3</v>
      </c>
      <c r="Q600">
        <v>4</v>
      </c>
      <c r="R600">
        <v>5</v>
      </c>
      <c r="S600">
        <v>2</v>
      </c>
      <c r="T600">
        <v>2</v>
      </c>
      <c r="U600">
        <v>2</v>
      </c>
    </row>
    <row r="601" spans="1:21" x14ac:dyDescent="0.35">
      <c r="A601">
        <v>36</v>
      </c>
      <c r="B601" t="str" cm="1">
        <f t="array" ref="B601">_xlfn.IFS(A601&gt;40,"Senior",A601&gt;30,"Adult",A601&gt;=18,"Teenager")</f>
        <v>Adult</v>
      </c>
      <c r="C601" t="s">
        <v>22</v>
      </c>
      <c r="D601">
        <f t="shared" si="9"/>
        <v>0</v>
      </c>
      <c r="E601" t="s">
        <v>32</v>
      </c>
      <c r="F601">
        <v>3</v>
      </c>
      <c r="G601" t="s">
        <v>24</v>
      </c>
      <c r="H601">
        <v>3</v>
      </c>
      <c r="I601">
        <v>1</v>
      </c>
      <c r="J601" t="s">
        <v>32</v>
      </c>
      <c r="K601">
        <v>2</v>
      </c>
      <c r="L601">
        <v>2143</v>
      </c>
      <c r="M601" t="str" cm="1">
        <f t="array" ref="M601">_xlfn.IFS(L601&lt;= 7000,"Low",L601&lt;=15000,"Medium",L601&lt;=20000,"High")</f>
        <v>Low</v>
      </c>
      <c r="N601" t="s">
        <v>22</v>
      </c>
      <c r="O601">
        <v>13</v>
      </c>
      <c r="P601">
        <v>3</v>
      </c>
      <c r="Q601">
        <v>2</v>
      </c>
      <c r="R601">
        <v>8</v>
      </c>
      <c r="S601">
        <v>3</v>
      </c>
      <c r="T601">
        <v>5</v>
      </c>
      <c r="U601">
        <v>2</v>
      </c>
    </row>
    <row r="602" spans="1:21" x14ac:dyDescent="0.35">
      <c r="A602">
        <v>32</v>
      </c>
      <c r="B602" t="str" cm="1">
        <f t="array" ref="B602">_xlfn.IFS(A602&gt;40,"Senior",A602&gt;30,"Adult",A602&gt;=18,"Teenager")</f>
        <v>Adult</v>
      </c>
      <c r="C602" t="s">
        <v>22</v>
      </c>
      <c r="D602">
        <f t="shared" si="9"/>
        <v>0</v>
      </c>
      <c r="E602" t="s">
        <v>23</v>
      </c>
      <c r="F602">
        <v>3</v>
      </c>
      <c r="G602" t="s">
        <v>20</v>
      </c>
      <c r="H602">
        <v>2</v>
      </c>
      <c r="I602">
        <v>2</v>
      </c>
      <c r="J602" t="s">
        <v>27</v>
      </c>
      <c r="K602">
        <v>3</v>
      </c>
      <c r="L602">
        <v>6162</v>
      </c>
      <c r="M602" t="str" cm="1">
        <f t="array" ref="M602">_xlfn.IFS(L602&lt;= 7000,"Low",L602&lt;=15000,"Medium",L602&lt;=20000,"High")</f>
        <v>Low</v>
      </c>
      <c r="N602" t="s">
        <v>22</v>
      </c>
      <c r="O602">
        <v>12</v>
      </c>
      <c r="P602">
        <v>3</v>
      </c>
      <c r="Q602">
        <v>3</v>
      </c>
      <c r="R602">
        <v>14</v>
      </c>
      <c r="S602">
        <v>3</v>
      </c>
      <c r="T602">
        <v>14</v>
      </c>
      <c r="U602">
        <v>13</v>
      </c>
    </row>
    <row r="603" spans="1:21" x14ac:dyDescent="0.35">
      <c r="A603">
        <v>40</v>
      </c>
      <c r="B603" t="str" cm="1">
        <f t="array" ref="B603">_xlfn.IFS(A603&gt;40,"Senior",A603&gt;30,"Adult",A603&gt;=18,"Teenager")</f>
        <v>Adult</v>
      </c>
      <c r="C603" t="s">
        <v>22</v>
      </c>
      <c r="D603">
        <f t="shared" si="9"/>
        <v>0</v>
      </c>
      <c r="E603" t="s">
        <v>23</v>
      </c>
      <c r="F603">
        <v>1</v>
      </c>
      <c r="G603" t="s">
        <v>24</v>
      </c>
      <c r="H603">
        <v>2</v>
      </c>
      <c r="I603">
        <v>2</v>
      </c>
      <c r="J603" t="s">
        <v>26</v>
      </c>
      <c r="K603">
        <v>3</v>
      </c>
      <c r="L603">
        <v>5094</v>
      </c>
      <c r="M603" t="str" cm="1">
        <f t="array" ref="M603">_xlfn.IFS(L603&lt;= 7000,"Low",L603&lt;=15000,"Medium",L603&lt;=20000,"High")</f>
        <v>Low</v>
      </c>
      <c r="N603" t="s">
        <v>22</v>
      </c>
      <c r="O603">
        <v>14</v>
      </c>
      <c r="P603">
        <v>3</v>
      </c>
      <c r="Q603">
        <v>4</v>
      </c>
      <c r="R603">
        <v>10</v>
      </c>
      <c r="S603">
        <v>3</v>
      </c>
      <c r="T603">
        <v>1</v>
      </c>
      <c r="U603">
        <v>0</v>
      </c>
    </row>
    <row r="604" spans="1:21" x14ac:dyDescent="0.35">
      <c r="A604">
        <v>30</v>
      </c>
      <c r="B604" t="str" cm="1">
        <f t="array" ref="B604">_xlfn.IFS(A604&gt;40,"Senior",A604&gt;30,"Adult",A604&gt;=18,"Teenager")</f>
        <v>Teenager</v>
      </c>
      <c r="C604" t="s">
        <v>22</v>
      </c>
      <c r="D604">
        <f t="shared" si="9"/>
        <v>0</v>
      </c>
      <c r="E604" t="s">
        <v>23</v>
      </c>
      <c r="F604">
        <v>3</v>
      </c>
      <c r="G604" t="s">
        <v>20</v>
      </c>
      <c r="H604">
        <v>2</v>
      </c>
      <c r="I604">
        <v>2</v>
      </c>
      <c r="J604" t="s">
        <v>27</v>
      </c>
      <c r="K604">
        <v>4</v>
      </c>
      <c r="L604">
        <v>6877</v>
      </c>
      <c r="M604" t="str" cm="1">
        <f t="array" ref="M604">_xlfn.IFS(L604&lt;= 7000,"Low",L604&lt;=15000,"Medium",L604&lt;=20000,"High")</f>
        <v>Low</v>
      </c>
      <c r="N604" t="s">
        <v>18</v>
      </c>
      <c r="O604">
        <v>24</v>
      </c>
      <c r="P604">
        <v>4</v>
      </c>
      <c r="Q604">
        <v>2</v>
      </c>
      <c r="R604">
        <v>12</v>
      </c>
      <c r="S604">
        <v>2</v>
      </c>
      <c r="T604">
        <v>0</v>
      </c>
      <c r="U604">
        <v>0</v>
      </c>
    </row>
    <row r="605" spans="1:21" x14ac:dyDescent="0.35">
      <c r="A605">
        <v>45</v>
      </c>
      <c r="B605" t="str" cm="1">
        <f t="array" ref="B605">_xlfn.IFS(A605&gt;40,"Senior",A605&gt;30,"Adult",A605&gt;=18,"Teenager")</f>
        <v>Senior</v>
      </c>
      <c r="C605" t="s">
        <v>22</v>
      </c>
      <c r="D605">
        <f t="shared" si="9"/>
        <v>0</v>
      </c>
      <c r="E605" t="s">
        <v>23</v>
      </c>
      <c r="F605">
        <v>2</v>
      </c>
      <c r="G605" t="s">
        <v>20</v>
      </c>
      <c r="H605">
        <v>2</v>
      </c>
      <c r="I605">
        <v>1</v>
      </c>
      <c r="J605" t="s">
        <v>25</v>
      </c>
      <c r="K605">
        <v>3</v>
      </c>
      <c r="L605">
        <v>2274</v>
      </c>
      <c r="M605" t="str" cm="1">
        <f t="array" ref="M605">_xlfn.IFS(L605&lt;= 7000,"Low",L605&lt;=15000,"Medium",L605&lt;=20000,"High")</f>
        <v>Low</v>
      </c>
      <c r="N605" t="s">
        <v>22</v>
      </c>
      <c r="O605">
        <v>14</v>
      </c>
      <c r="P605">
        <v>3</v>
      </c>
      <c r="Q605">
        <v>4</v>
      </c>
      <c r="R605">
        <v>1</v>
      </c>
      <c r="S605">
        <v>3</v>
      </c>
      <c r="T605">
        <v>1</v>
      </c>
      <c r="U605">
        <v>0</v>
      </c>
    </row>
    <row r="606" spans="1:21" x14ac:dyDescent="0.35">
      <c r="A606">
        <v>42</v>
      </c>
      <c r="B606" t="str" cm="1">
        <f t="array" ref="B606">_xlfn.IFS(A606&gt;40,"Senior",A606&gt;30,"Adult",A606&gt;=18,"Teenager")</f>
        <v>Senior</v>
      </c>
      <c r="C606" t="s">
        <v>22</v>
      </c>
      <c r="D606">
        <f t="shared" si="9"/>
        <v>0</v>
      </c>
      <c r="E606" t="s">
        <v>23</v>
      </c>
      <c r="F606">
        <v>2</v>
      </c>
      <c r="G606" t="s">
        <v>24</v>
      </c>
      <c r="H606">
        <v>3</v>
      </c>
      <c r="I606">
        <v>2</v>
      </c>
      <c r="J606" t="s">
        <v>27</v>
      </c>
      <c r="K606">
        <v>2</v>
      </c>
      <c r="L606">
        <v>4434</v>
      </c>
      <c r="M606" t="str" cm="1">
        <f t="array" ref="M606">_xlfn.IFS(L606&lt;= 7000,"Low",L606&lt;=15000,"Medium",L606&lt;=20000,"High")</f>
        <v>Low</v>
      </c>
      <c r="N606" t="s">
        <v>22</v>
      </c>
      <c r="O606">
        <v>13</v>
      </c>
      <c r="P606">
        <v>3</v>
      </c>
      <c r="Q606">
        <v>4</v>
      </c>
      <c r="R606">
        <v>10</v>
      </c>
      <c r="S606">
        <v>2</v>
      </c>
      <c r="T606">
        <v>9</v>
      </c>
      <c r="U606">
        <v>8</v>
      </c>
    </row>
    <row r="607" spans="1:21" x14ac:dyDescent="0.35">
      <c r="A607">
        <v>38</v>
      </c>
      <c r="B607" t="str" cm="1">
        <f t="array" ref="B607">_xlfn.IFS(A607&gt;40,"Senior",A607&gt;30,"Adult",A607&gt;=18,"Teenager")</f>
        <v>Adult</v>
      </c>
      <c r="C607" t="s">
        <v>22</v>
      </c>
      <c r="D607">
        <f t="shared" si="9"/>
        <v>0</v>
      </c>
      <c r="E607" t="s">
        <v>23</v>
      </c>
      <c r="F607">
        <v>1</v>
      </c>
      <c r="G607" t="s">
        <v>24</v>
      </c>
      <c r="H607">
        <v>2</v>
      </c>
      <c r="I607">
        <v>2</v>
      </c>
      <c r="J607" t="s">
        <v>28</v>
      </c>
      <c r="K607">
        <v>1</v>
      </c>
      <c r="L607">
        <v>6288</v>
      </c>
      <c r="M607" t="str" cm="1">
        <f t="array" ref="M607">_xlfn.IFS(L607&lt;= 7000,"Low",L607&lt;=15000,"Medium",L607&lt;=20000,"High")</f>
        <v>Low</v>
      </c>
      <c r="N607" t="s">
        <v>22</v>
      </c>
      <c r="O607">
        <v>15</v>
      </c>
      <c r="P607">
        <v>3</v>
      </c>
      <c r="Q607">
        <v>3</v>
      </c>
      <c r="R607">
        <v>13</v>
      </c>
      <c r="S607">
        <v>2</v>
      </c>
      <c r="T607">
        <v>4</v>
      </c>
      <c r="U607">
        <v>3</v>
      </c>
    </row>
    <row r="608" spans="1:21" x14ac:dyDescent="0.35">
      <c r="A608">
        <v>34</v>
      </c>
      <c r="B608" t="str" cm="1">
        <f t="array" ref="B608">_xlfn.IFS(A608&gt;40,"Senior",A608&gt;30,"Adult",A608&gt;=18,"Teenager")</f>
        <v>Adult</v>
      </c>
      <c r="C608" t="s">
        <v>22</v>
      </c>
      <c r="D608">
        <f t="shared" si="9"/>
        <v>0</v>
      </c>
      <c r="E608" t="s">
        <v>23</v>
      </c>
      <c r="F608">
        <v>3</v>
      </c>
      <c r="G608" t="s">
        <v>20</v>
      </c>
      <c r="H608">
        <v>2</v>
      </c>
      <c r="I608">
        <v>1</v>
      </c>
      <c r="J608" t="s">
        <v>25</v>
      </c>
      <c r="K608">
        <v>4</v>
      </c>
      <c r="L608">
        <v>2553</v>
      </c>
      <c r="M608" t="str" cm="1">
        <f t="array" ref="M608">_xlfn.IFS(L608&lt;= 7000,"Low",L608&lt;=15000,"Medium",L608&lt;=20000,"High")</f>
        <v>Low</v>
      </c>
      <c r="N608" t="s">
        <v>22</v>
      </c>
      <c r="O608">
        <v>16</v>
      </c>
      <c r="P608">
        <v>3</v>
      </c>
      <c r="Q608">
        <v>3</v>
      </c>
      <c r="R608">
        <v>6</v>
      </c>
      <c r="S608">
        <v>3</v>
      </c>
      <c r="T608">
        <v>5</v>
      </c>
      <c r="U608">
        <v>2</v>
      </c>
    </row>
    <row r="609" spans="1:21" x14ac:dyDescent="0.35">
      <c r="A609">
        <v>49</v>
      </c>
      <c r="B609" t="str" cm="1">
        <f t="array" ref="B609">_xlfn.IFS(A609&gt;40,"Senior",A609&gt;30,"Adult",A609&gt;=18,"Teenager")</f>
        <v>Senior</v>
      </c>
      <c r="C609" t="s">
        <v>18</v>
      </c>
      <c r="D609">
        <f t="shared" si="9"/>
        <v>1</v>
      </c>
      <c r="E609" t="s">
        <v>19</v>
      </c>
      <c r="F609">
        <v>3</v>
      </c>
      <c r="G609" t="s">
        <v>20</v>
      </c>
      <c r="H609">
        <v>3</v>
      </c>
      <c r="I609">
        <v>3</v>
      </c>
      <c r="J609" t="s">
        <v>21</v>
      </c>
      <c r="K609">
        <v>4</v>
      </c>
      <c r="L609">
        <v>7654</v>
      </c>
      <c r="M609" t="str" cm="1">
        <f t="array" ref="M609">_xlfn.IFS(L609&lt;= 7000,"Low",L609&lt;=15000,"Medium",L609&lt;=20000,"High")</f>
        <v>Medium</v>
      </c>
      <c r="N609" t="s">
        <v>22</v>
      </c>
      <c r="O609">
        <v>18</v>
      </c>
      <c r="P609">
        <v>3</v>
      </c>
      <c r="Q609">
        <v>1</v>
      </c>
      <c r="R609">
        <v>9</v>
      </c>
      <c r="S609">
        <v>4</v>
      </c>
      <c r="T609">
        <v>9</v>
      </c>
      <c r="U609">
        <v>8</v>
      </c>
    </row>
    <row r="610" spans="1:21" x14ac:dyDescent="0.35">
      <c r="A610">
        <v>55</v>
      </c>
      <c r="B610" t="str" cm="1">
        <f t="array" ref="B610">_xlfn.IFS(A610&gt;40,"Senior",A610&gt;30,"Adult",A610&gt;=18,"Teenager")</f>
        <v>Senior</v>
      </c>
      <c r="C610" t="s">
        <v>18</v>
      </c>
      <c r="D610">
        <f t="shared" si="9"/>
        <v>1</v>
      </c>
      <c r="E610" t="s">
        <v>19</v>
      </c>
      <c r="F610">
        <v>3</v>
      </c>
      <c r="G610" t="s">
        <v>24</v>
      </c>
      <c r="H610">
        <v>3</v>
      </c>
      <c r="I610">
        <v>2</v>
      </c>
      <c r="J610" t="s">
        <v>21</v>
      </c>
      <c r="K610">
        <v>4</v>
      </c>
      <c r="L610">
        <v>5160</v>
      </c>
      <c r="M610" t="str" cm="1">
        <f t="array" ref="M610">_xlfn.IFS(L610&lt;= 7000,"Low",L610&lt;=15000,"Medium",L610&lt;=20000,"High")</f>
        <v>Low</v>
      </c>
      <c r="N610" t="s">
        <v>22</v>
      </c>
      <c r="O610">
        <v>16</v>
      </c>
      <c r="P610">
        <v>3</v>
      </c>
      <c r="Q610">
        <v>3</v>
      </c>
      <c r="R610">
        <v>12</v>
      </c>
      <c r="S610">
        <v>2</v>
      </c>
      <c r="T610">
        <v>9</v>
      </c>
      <c r="U610">
        <v>7</v>
      </c>
    </row>
    <row r="611" spans="1:21" x14ac:dyDescent="0.35">
      <c r="A611">
        <v>43</v>
      </c>
      <c r="B611" t="str" cm="1">
        <f t="array" ref="B611">_xlfn.IFS(A611&gt;40,"Senior",A611&gt;30,"Adult",A611&gt;=18,"Teenager")</f>
        <v>Senior</v>
      </c>
      <c r="C611" t="s">
        <v>22</v>
      </c>
      <c r="D611">
        <f t="shared" si="9"/>
        <v>0</v>
      </c>
      <c r="E611" t="s">
        <v>23</v>
      </c>
      <c r="F611">
        <v>2</v>
      </c>
      <c r="G611" t="s">
        <v>24</v>
      </c>
      <c r="H611">
        <v>3</v>
      </c>
      <c r="I611">
        <v>4</v>
      </c>
      <c r="J611" t="s">
        <v>31</v>
      </c>
      <c r="K611">
        <v>1</v>
      </c>
      <c r="L611">
        <v>17159</v>
      </c>
      <c r="M611" t="str" cm="1">
        <f t="array" ref="M611">_xlfn.IFS(L611&lt;= 7000,"Low",L611&lt;=15000,"Medium",L611&lt;=20000,"High")</f>
        <v>High</v>
      </c>
      <c r="N611" t="s">
        <v>22</v>
      </c>
      <c r="O611">
        <v>24</v>
      </c>
      <c r="P611">
        <v>4</v>
      </c>
      <c r="Q611">
        <v>3</v>
      </c>
      <c r="R611">
        <v>22</v>
      </c>
      <c r="S611">
        <v>3</v>
      </c>
      <c r="T611">
        <v>4</v>
      </c>
      <c r="U611">
        <v>1</v>
      </c>
    </row>
    <row r="612" spans="1:21" x14ac:dyDescent="0.35">
      <c r="A612">
        <v>27</v>
      </c>
      <c r="B612" t="str" cm="1">
        <f t="array" ref="B612">_xlfn.IFS(A612&gt;40,"Senior",A612&gt;30,"Adult",A612&gt;=18,"Teenager")</f>
        <v>Teenager</v>
      </c>
      <c r="C612" t="s">
        <v>22</v>
      </c>
      <c r="D612">
        <f t="shared" si="9"/>
        <v>0</v>
      </c>
      <c r="E612" t="s">
        <v>23</v>
      </c>
      <c r="F612">
        <v>3</v>
      </c>
      <c r="G612" t="s">
        <v>24</v>
      </c>
      <c r="H612">
        <v>2</v>
      </c>
      <c r="I612">
        <v>3</v>
      </c>
      <c r="J612" t="s">
        <v>31</v>
      </c>
      <c r="K612">
        <v>4</v>
      </c>
      <c r="L612">
        <v>12808</v>
      </c>
      <c r="M612" t="str" cm="1">
        <f t="array" ref="M612">_xlfn.IFS(L612&lt;= 7000,"Low",L612&lt;=15000,"Medium",L612&lt;=20000,"High")</f>
        <v>Medium</v>
      </c>
      <c r="N612" t="s">
        <v>18</v>
      </c>
      <c r="O612">
        <v>16</v>
      </c>
      <c r="P612">
        <v>3</v>
      </c>
      <c r="Q612">
        <v>2</v>
      </c>
      <c r="R612">
        <v>9</v>
      </c>
      <c r="S612">
        <v>3</v>
      </c>
      <c r="T612">
        <v>9</v>
      </c>
      <c r="U612">
        <v>8</v>
      </c>
    </row>
    <row r="613" spans="1:21" x14ac:dyDescent="0.35">
      <c r="A613">
        <v>35</v>
      </c>
      <c r="B613" t="str" cm="1">
        <f t="array" ref="B613">_xlfn.IFS(A613&gt;40,"Senior",A613&gt;30,"Adult",A613&gt;=18,"Teenager")</f>
        <v>Adult</v>
      </c>
      <c r="C613" t="s">
        <v>22</v>
      </c>
      <c r="D613">
        <f t="shared" si="9"/>
        <v>0</v>
      </c>
      <c r="E613" t="s">
        <v>23</v>
      </c>
      <c r="F613">
        <v>3</v>
      </c>
      <c r="G613" t="s">
        <v>24</v>
      </c>
      <c r="H613">
        <v>3</v>
      </c>
      <c r="I613">
        <v>3</v>
      </c>
      <c r="J613" t="s">
        <v>27</v>
      </c>
      <c r="K613">
        <v>3</v>
      </c>
      <c r="L613">
        <v>10221</v>
      </c>
      <c r="M613" t="str" cm="1">
        <f t="array" ref="M613">_xlfn.IFS(L613&lt;= 7000,"Low",L613&lt;=15000,"Medium",L613&lt;=20000,"High")</f>
        <v>Medium</v>
      </c>
      <c r="N613" t="s">
        <v>22</v>
      </c>
      <c r="O613">
        <v>21</v>
      </c>
      <c r="P613">
        <v>4</v>
      </c>
      <c r="Q613">
        <v>2</v>
      </c>
      <c r="R613">
        <v>17</v>
      </c>
      <c r="S613">
        <v>4</v>
      </c>
      <c r="T613">
        <v>8</v>
      </c>
      <c r="U613">
        <v>5</v>
      </c>
    </row>
    <row r="614" spans="1:21" x14ac:dyDescent="0.35">
      <c r="A614">
        <v>28</v>
      </c>
      <c r="B614" t="str" cm="1">
        <f t="array" ref="B614">_xlfn.IFS(A614&gt;40,"Senior",A614&gt;30,"Adult",A614&gt;=18,"Teenager")</f>
        <v>Teenager</v>
      </c>
      <c r="C614" t="s">
        <v>22</v>
      </c>
      <c r="D614">
        <f t="shared" si="9"/>
        <v>0</v>
      </c>
      <c r="E614" t="s">
        <v>19</v>
      </c>
      <c r="F614">
        <v>2</v>
      </c>
      <c r="G614" t="s">
        <v>20</v>
      </c>
      <c r="H614">
        <v>3</v>
      </c>
      <c r="I614">
        <v>2</v>
      </c>
      <c r="J614" t="s">
        <v>21</v>
      </c>
      <c r="K614">
        <v>2</v>
      </c>
      <c r="L614">
        <v>4779</v>
      </c>
      <c r="M614" t="str" cm="1">
        <f t="array" ref="M614">_xlfn.IFS(L614&lt;= 7000,"Low",L614&lt;=15000,"Medium",L614&lt;=20000,"High")</f>
        <v>Low</v>
      </c>
      <c r="N614" t="s">
        <v>18</v>
      </c>
      <c r="O614">
        <v>20</v>
      </c>
      <c r="P614">
        <v>4</v>
      </c>
      <c r="Q614">
        <v>1</v>
      </c>
      <c r="R614">
        <v>8</v>
      </c>
      <c r="S614">
        <v>3</v>
      </c>
      <c r="T614">
        <v>8</v>
      </c>
      <c r="U614">
        <v>7</v>
      </c>
    </row>
    <row r="615" spans="1:21" x14ac:dyDescent="0.35">
      <c r="A615">
        <v>34</v>
      </c>
      <c r="B615" t="str" cm="1">
        <f t="array" ref="B615">_xlfn.IFS(A615&gt;40,"Senior",A615&gt;30,"Adult",A615&gt;=18,"Teenager")</f>
        <v>Adult</v>
      </c>
      <c r="C615" t="s">
        <v>22</v>
      </c>
      <c r="D615">
        <f t="shared" si="9"/>
        <v>0</v>
      </c>
      <c r="E615" t="s">
        <v>32</v>
      </c>
      <c r="F615">
        <v>3</v>
      </c>
      <c r="G615" t="s">
        <v>24</v>
      </c>
      <c r="H615">
        <v>3</v>
      </c>
      <c r="I615">
        <v>1</v>
      </c>
      <c r="J615" t="s">
        <v>32</v>
      </c>
      <c r="K615">
        <v>4</v>
      </c>
      <c r="L615">
        <v>3737</v>
      </c>
      <c r="M615" t="str" cm="1">
        <f t="array" ref="M615">_xlfn.IFS(L615&lt;= 7000,"Low",L615&lt;=15000,"Medium",L615&lt;=20000,"High")</f>
        <v>Low</v>
      </c>
      <c r="N615" t="s">
        <v>22</v>
      </c>
      <c r="O615">
        <v>19</v>
      </c>
      <c r="P615">
        <v>3</v>
      </c>
      <c r="Q615">
        <v>3</v>
      </c>
      <c r="R615">
        <v>4</v>
      </c>
      <c r="S615">
        <v>1</v>
      </c>
      <c r="T615">
        <v>3</v>
      </c>
      <c r="U615">
        <v>2</v>
      </c>
    </row>
    <row r="616" spans="1:21" x14ac:dyDescent="0.35">
      <c r="A616">
        <v>26</v>
      </c>
      <c r="B616" t="str" cm="1">
        <f t="array" ref="B616">_xlfn.IFS(A616&gt;40,"Senior",A616&gt;30,"Adult",A616&gt;=18,"Teenager")</f>
        <v>Teenager</v>
      </c>
      <c r="C616" t="s">
        <v>18</v>
      </c>
      <c r="D616">
        <f t="shared" si="9"/>
        <v>1</v>
      </c>
      <c r="E616" t="s">
        <v>23</v>
      </c>
      <c r="F616">
        <v>3</v>
      </c>
      <c r="G616" t="s">
        <v>20</v>
      </c>
      <c r="H616">
        <v>2</v>
      </c>
      <c r="I616">
        <v>1</v>
      </c>
      <c r="J616" t="s">
        <v>25</v>
      </c>
      <c r="K616">
        <v>3</v>
      </c>
      <c r="L616">
        <v>2366</v>
      </c>
      <c r="M616" t="str" cm="1">
        <f t="array" ref="M616">_xlfn.IFS(L616&lt;= 7000,"Low",L616&lt;=15000,"Medium",L616&lt;=20000,"High")</f>
        <v>Low</v>
      </c>
      <c r="N616" t="s">
        <v>18</v>
      </c>
      <c r="O616">
        <v>14</v>
      </c>
      <c r="P616">
        <v>3</v>
      </c>
      <c r="Q616">
        <v>1</v>
      </c>
      <c r="R616">
        <v>8</v>
      </c>
      <c r="S616">
        <v>3</v>
      </c>
      <c r="T616">
        <v>8</v>
      </c>
      <c r="U616">
        <v>7</v>
      </c>
    </row>
    <row r="617" spans="1:21" x14ac:dyDescent="0.35">
      <c r="A617">
        <v>27</v>
      </c>
      <c r="B617" t="str" cm="1">
        <f t="array" ref="B617">_xlfn.IFS(A617&gt;40,"Senior",A617&gt;30,"Adult",A617&gt;=18,"Teenager")</f>
        <v>Teenager</v>
      </c>
      <c r="C617" t="s">
        <v>22</v>
      </c>
      <c r="D617">
        <f t="shared" si="9"/>
        <v>0</v>
      </c>
      <c r="E617" t="s">
        <v>23</v>
      </c>
      <c r="F617">
        <v>4</v>
      </c>
      <c r="G617" t="s">
        <v>24</v>
      </c>
      <c r="H617">
        <v>3</v>
      </c>
      <c r="I617">
        <v>1</v>
      </c>
      <c r="J617" t="s">
        <v>25</v>
      </c>
      <c r="K617">
        <v>4</v>
      </c>
      <c r="L617">
        <v>1706</v>
      </c>
      <c r="M617" t="str" cm="1">
        <f t="array" ref="M617">_xlfn.IFS(L617&lt;= 7000,"Low",L617&lt;=15000,"Medium",L617&lt;=20000,"High")</f>
        <v>Low</v>
      </c>
      <c r="N617" t="s">
        <v>22</v>
      </c>
      <c r="O617">
        <v>11</v>
      </c>
      <c r="P617">
        <v>3</v>
      </c>
      <c r="Q617">
        <v>3</v>
      </c>
      <c r="R617">
        <v>0</v>
      </c>
      <c r="S617">
        <v>2</v>
      </c>
      <c r="T617">
        <v>0</v>
      </c>
      <c r="U617">
        <v>0</v>
      </c>
    </row>
    <row r="618" spans="1:21" x14ac:dyDescent="0.35">
      <c r="A618">
        <v>51</v>
      </c>
      <c r="B618" t="str" cm="1">
        <f t="array" ref="B618">_xlfn.IFS(A618&gt;40,"Senior",A618&gt;30,"Adult",A618&gt;=18,"Teenager")</f>
        <v>Senior</v>
      </c>
      <c r="C618" t="s">
        <v>22</v>
      </c>
      <c r="D618">
        <f t="shared" si="9"/>
        <v>0</v>
      </c>
      <c r="E618" t="s">
        <v>19</v>
      </c>
      <c r="F618">
        <v>1</v>
      </c>
      <c r="G618" t="s">
        <v>20</v>
      </c>
      <c r="H618">
        <v>3</v>
      </c>
      <c r="I618">
        <v>4</v>
      </c>
      <c r="J618" t="s">
        <v>29</v>
      </c>
      <c r="K618">
        <v>3</v>
      </c>
      <c r="L618">
        <v>16307</v>
      </c>
      <c r="M618" t="str" cm="1">
        <f t="array" ref="M618">_xlfn.IFS(L618&lt;= 7000,"Low",L618&lt;=15000,"Medium",L618&lt;=20000,"High")</f>
        <v>High</v>
      </c>
      <c r="N618" t="s">
        <v>22</v>
      </c>
      <c r="O618">
        <v>14</v>
      </c>
      <c r="P618">
        <v>3</v>
      </c>
      <c r="Q618">
        <v>3</v>
      </c>
      <c r="R618">
        <v>29</v>
      </c>
      <c r="S618">
        <v>2</v>
      </c>
      <c r="T618">
        <v>20</v>
      </c>
      <c r="U618">
        <v>6</v>
      </c>
    </row>
    <row r="619" spans="1:21" x14ac:dyDescent="0.35">
      <c r="A619">
        <v>44</v>
      </c>
      <c r="B619" t="str" cm="1">
        <f t="array" ref="B619">_xlfn.IFS(A619&gt;40,"Senior",A619&gt;30,"Adult",A619&gt;=18,"Teenager")</f>
        <v>Senior</v>
      </c>
      <c r="C619" t="s">
        <v>22</v>
      </c>
      <c r="D619">
        <f t="shared" si="9"/>
        <v>0</v>
      </c>
      <c r="E619" t="s">
        <v>23</v>
      </c>
      <c r="F619">
        <v>4</v>
      </c>
      <c r="G619" t="s">
        <v>24</v>
      </c>
      <c r="H619">
        <v>3</v>
      </c>
      <c r="I619">
        <v>2</v>
      </c>
      <c r="J619" t="s">
        <v>28</v>
      </c>
      <c r="K619">
        <v>2</v>
      </c>
      <c r="L619">
        <v>5933</v>
      </c>
      <c r="M619" t="str" cm="1">
        <f t="array" ref="M619">_xlfn.IFS(L619&lt;= 7000,"Low",L619&lt;=15000,"Medium",L619&lt;=20000,"High")</f>
        <v>Low</v>
      </c>
      <c r="N619" t="s">
        <v>22</v>
      </c>
      <c r="O619">
        <v>12</v>
      </c>
      <c r="P619">
        <v>3</v>
      </c>
      <c r="Q619">
        <v>4</v>
      </c>
      <c r="R619">
        <v>10</v>
      </c>
      <c r="S619">
        <v>2</v>
      </c>
      <c r="T619">
        <v>5</v>
      </c>
      <c r="U619">
        <v>2</v>
      </c>
    </row>
    <row r="620" spans="1:21" x14ac:dyDescent="0.35">
      <c r="A620">
        <v>25</v>
      </c>
      <c r="B620" t="str" cm="1">
        <f t="array" ref="B620">_xlfn.IFS(A620&gt;40,"Senior",A620&gt;30,"Adult",A620&gt;=18,"Teenager")</f>
        <v>Teenager</v>
      </c>
      <c r="C620" t="s">
        <v>22</v>
      </c>
      <c r="D620">
        <f t="shared" si="9"/>
        <v>0</v>
      </c>
      <c r="E620" t="s">
        <v>23</v>
      </c>
      <c r="F620">
        <v>1</v>
      </c>
      <c r="G620" t="s">
        <v>24</v>
      </c>
      <c r="H620">
        <v>4</v>
      </c>
      <c r="I620">
        <v>1</v>
      </c>
      <c r="J620" t="s">
        <v>25</v>
      </c>
      <c r="K620">
        <v>1</v>
      </c>
      <c r="L620">
        <v>3424</v>
      </c>
      <c r="M620" t="str" cm="1">
        <f t="array" ref="M620">_xlfn.IFS(L620&lt;= 7000,"Low",L620&lt;=15000,"Medium",L620&lt;=20000,"High")</f>
        <v>Low</v>
      </c>
      <c r="N620" t="s">
        <v>22</v>
      </c>
      <c r="O620">
        <v>13</v>
      </c>
      <c r="P620">
        <v>3</v>
      </c>
      <c r="Q620">
        <v>3</v>
      </c>
      <c r="R620">
        <v>6</v>
      </c>
      <c r="S620">
        <v>2</v>
      </c>
      <c r="T620">
        <v>4</v>
      </c>
      <c r="U620">
        <v>3</v>
      </c>
    </row>
    <row r="621" spans="1:21" x14ac:dyDescent="0.35">
      <c r="A621">
        <v>33</v>
      </c>
      <c r="B621" t="str" cm="1">
        <f t="array" ref="B621">_xlfn.IFS(A621&gt;40,"Senior",A621&gt;30,"Adult",A621&gt;=18,"Teenager")</f>
        <v>Adult</v>
      </c>
      <c r="C621" t="s">
        <v>22</v>
      </c>
      <c r="D621">
        <f t="shared" si="9"/>
        <v>0</v>
      </c>
      <c r="E621" t="s">
        <v>19</v>
      </c>
      <c r="F621">
        <v>1</v>
      </c>
      <c r="G621" t="s">
        <v>24</v>
      </c>
      <c r="H621">
        <v>4</v>
      </c>
      <c r="I621">
        <v>2</v>
      </c>
      <c r="J621" t="s">
        <v>21</v>
      </c>
      <c r="K621">
        <v>1</v>
      </c>
      <c r="L621">
        <v>4037</v>
      </c>
      <c r="M621" t="str" cm="1">
        <f t="array" ref="M621">_xlfn.IFS(L621&lt;= 7000,"Low",L621&lt;=15000,"Medium",L621&lt;=20000,"High")</f>
        <v>Low</v>
      </c>
      <c r="N621" t="s">
        <v>22</v>
      </c>
      <c r="O621">
        <v>22</v>
      </c>
      <c r="P621">
        <v>4</v>
      </c>
      <c r="Q621">
        <v>1</v>
      </c>
      <c r="R621">
        <v>9</v>
      </c>
      <c r="S621">
        <v>3</v>
      </c>
      <c r="T621">
        <v>9</v>
      </c>
      <c r="U621">
        <v>8</v>
      </c>
    </row>
    <row r="622" spans="1:21" x14ac:dyDescent="0.35">
      <c r="A622">
        <v>35</v>
      </c>
      <c r="B622" t="str" cm="1">
        <f t="array" ref="B622">_xlfn.IFS(A622&gt;40,"Senior",A622&gt;30,"Adult",A622&gt;=18,"Teenager")</f>
        <v>Adult</v>
      </c>
      <c r="C622" t="s">
        <v>22</v>
      </c>
      <c r="D622">
        <f t="shared" si="9"/>
        <v>0</v>
      </c>
      <c r="E622" t="s">
        <v>23</v>
      </c>
      <c r="F622">
        <v>3</v>
      </c>
      <c r="G622" t="s">
        <v>20</v>
      </c>
      <c r="H622">
        <v>2</v>
      </c>
      <c r="I622">
        <v>1</v>
      </c>
      <c r="J622" t="s">
        <v>25</v>
      </c>
      <c r="K622">
        <v>1</v>
      </c>
      <c r="L622">
        <v>2559</v>
      </c>
      <c r="M622" t="str" cm="1">
        <f t="array" ref="M622">_xlfn.IFS(L622&lt;= 7000,"Low",L622&lt;=15000,"Medium",L622&lt;=20000,"High")</f>
        <v>Low</v>
      </c>
      <c r="N622" t="s">
        <v>22</v>
      </c>
      <c r="O622">
        <v>11</v>
      </c>
      <c r="P622">
        <v>3</v>
      </c>
      <c r="Q622">
        <v>4</v>
      </c>
      <c r="R622">
        <v>6</v>
      </c>
      <c r="S622">
        <v>2</v>
      </c>
      <c r="T622">
        <v>6</v>
      </c>
      <c r="U622">
        <v>5</v>
      </c>
    </row>
    <row r="623" spans="1:21" x14ac:dyDescent="0.35">
      <c r="A623">
        <v>36</v>
      </c>
      <c r="B623" t="str" cm="1">
        <f t="array" ref="B623">_xlfn.IFS(A623&gt;40,"Senior",A623&gt;30,"Adult",A623&gt;=18,"Teenager")</f>
        <v>Adult</v>
      </c>
      <c r="C623" t="s">
        <v>22</v>
      </c>
      <c r="D623">
        <f t="shared" si="9"/>
        <v>0</v>
      </c>
      <c r="E623" t="s">
        <v>19</v>
      </c>
      <c r="F623">
        <v>2</v>
      </c>
      <c r="G623" t="s">
        <v>24</v>
      </c>
      <c r="H623">
        <v>3</v>
      </c>
      <c r="I623">
        <v>2</v>
      </c>
      <c r="J623" t="s">
        <v>21</v>
      </c>
      <c r="K623">
        <v>4</v>
      </c>
      <c r="L623">
        <v>6201</v>
      </c>
      <c r="M623" t="str" cm="1">
        <f t="array" ref="M623">_xlfn.IFS(L623&lt;= 7000,"Low",L623&lt;=15000,"Medium",L623&lt;=20000,"High")</f>
        <v>Low</v>
      </c>
      <c r="N623" t="s">
        <v>18</v>
      </c>
      <c r="O623">
        <v>14</v>
      </c>
      <c r="P623">
        <v>3</v>
      </c>
      <c r="Q623">
        <v>4</v>
      </c>
      <c r="R623">
        <v>18</v>
      </c>
      <c r="S623">
        <v>2</v>
      </c>
      <c r="T623">
        <v>18</v>
      </c>
      <c r="U623">
        <v>14</v>
      </c>
    </row>
    <row r="624" spans="1:21" x14ac:dyDescent="0.35">
      <c r="A624">
        <v>32</v>
      </c>
      <c r="B624" t="str" cm="1">
        <f t="array" ref="B624">_xlfn.IFS(A624&gt;40,"Senior",A624&gt;30,"Adult",A624&gt;=18,"Teenager")</f>
        <v>Adult</v>
      </c>
      <c r="C624" t="s">
        <v>22</v>
      </c>
      <c r="D624">
        <f t="shared" si="9"/>
        <v>0</v>
      </c>
      <c r="E624" t="s">
        <v>19</v>
      </c>
      <c r="F624">
        <v>2</v>
      </c>
      <c r="G624" t="s">
        <v>24</v>
      </c>
      <c r="H624">
        <v>3</v>
      </c>
      <c r="I624">
        <v>2</v>
      </c>
      <c r="J624" t="s">
        <v>21</v>
      </c>
      <c r="K624">
        <v>4</v>
      </c>
      <c r="L624">
        <v>4403</v>
      </c>
      <c r="M624" t="str" cm="1">
        <f t="array" ref="M624">_xlfn.IFS(L624&lt;= 7000,"Low",L624&lt;=15000,"Medium",L624&lt;=20000,"High")</f>
        <v>Low</v>
      </c>
      <c r="N624" t="s">
        <v>22</v>
      </c>
      <c r="O624">
        <v>11</v>
      </c>
      <c r="P624">
        <v>3</v>
      </c>
      <c r="Q624">
        <v>3</v>
      </c>
      <c r="R624">
        <v>8</v>
      </c>
      <c r="S624">
        <v>2</v>
      </c>
      <c r="T624">
        <v>5</v>
      </c>
      <c r="U624">
        <v>2</v>
      </c>
    </row>
    <row r="625" spans="1:21" x14ac:dyDescent="0.35">
      <c r="A625">
        <v>30</v>
      </c>
      <c r="B625" t="str" cm="1">
        <f t="array" ref="B625">_xlfn.IFS(A625&gt;40,"Senior",A625&gt;30,"Adult",A625&gt;=18,"Teenager")</f>
        <v>Teenager</v>
      </c>
      <c r="C625" t="s">
        <v>22</v>
      </c>
      <c r="D625">
        <f t="shared" si="9"/>
        <v>0</v>
      </c>
      <c r="E625" t="s">
        <v>23</v>
      </c>
      <c r="F625">
        <v>2</v>
      </c>
      <c r="G625" t="s">
        <v>24</v>
      </c>
      <c r="H625">
        <v>2</v>
      </c>
      <c r="I625">
        <v>1</v>
      </c>
      <c r="J625" t="s">
        <v>25</v>
      </c>
      <c r="K625">
        <v>4</v>
      </c>
      <c r="L625">
        <v>3761</v>
      </c>
      <c r="M625" t="str" cm="1">
        <f t="array" ref="M625">_xlfn.IFS(L625&lt;= 7000,"Low",L625&lt;=15000,"Medium",L625&lt;=20000,"High")</f>
        <v>Low</v>
      </c>
      <c r="N625" t="s">
        <v>22</v>
      </c>
      <c r="O625">
        <v>12</v>
      </c>
      <c r="P625">
        <v>3</v>
      </c>
      <c r="Q625">
        <v>2</v>
      </c>
      <c r="R625">
        <v>10</v>
      </c>
      <c r="S625">
        <v>2</v>
      </c>
      <c r="T625">
        <v>5</v>
      </c>
      <c r="U625">
        <v>4</v>
      </c>
    </row>
    <row r="626" spans="1:21" x14ac:dyDescent="0.35">
      <c r="A626">
        <v>53</v>
      </c>
      <c r="B626" t="str" cm="1">
        <f t="array" ref="B626">_xlfn.IFS(A626&gt;40,"Senior",A626&gt;30,"Adult",A626&gt;=18,"Teenager")</f>
        <v>Senior</v>
      </c>
      <c r="C626" t="s">
        <v>22</v>
      </c>
      <c r="D626">
        <f t="shared" si="9"/>
        <v>0</v>
      </c>
      <c r="E626" t="s">
        <v>19</v>
      </c>
      <c r="F626">
        <v>1</v>
      </c>
      <c r="G626" t="s">
        <v>20</v>
      </c>
      <c r="H626">
        <v>2</v>
      </c>
      <c r="I626">
        <v>3</v>
      </c>
      <c r="J626" t="s">
        <v>21</v>
      </c>
      <c r="K626">
        <v>4</v>
      </c>
      <c r="L626">
        <v>10934</v>
      </c>
      <c r="M626" t="str" cm="1">
        <f t="array" ref="M626">_xlfn.IFS(L626&lt;= 7000,"Low",L626&lt;=15000,"Medium",L626&lt;=20000,"High")</f>
        <v>Medium</v>
      </c>
      <c r="N626" t="s">
        <v>18</v>
      </c>
      <c r="O626">
        <v>18</v>
      </c>
      <c r="P626">
        <v>3</v>
      </c>
      <c r="Q626">
        <v>4</v>
      </c>
      <c r="R626">
        <v>35</v>
      </c>
      <c r="S626">
        <v>3</v>
      </c>
      <c r="T626">
        <v>5</v>
      </c>
      <c r="U626">
        <v>2</v>
      </c>
    </row>
    <row r="627" spans="1:21" x14ac:dyDescent="0.35">
      <c r="A627">
        <v>45</v>
      </c>
      <c r="B627" t="str" cm="1">
        <f t="array" ref="B627">_xlfn.IFS(A627&gt;40,"Senior",A627&gt;30,"Adult",A627&gt;=18,"Teenager")</f>
        <v>Senior</v>
      </c>
      <c r="C627" t="s">
        <v>22</v>
      </c>
      <c r="D627">
        <f t="shared" si="9"/>
        <v>0</v>
      </c>
      <c r="E627" t="s">
        <v>19</v>
      </c>
      <c r="F627">
        <v>4</v>
      </c>
      <c r="G627" t="s">
        <v>24</v>
      </c>
      <c r="H627">
        <v>3</v>
      </c>
      <c r="I627">
        <v>3</v>
      </c>
      <c r="J627" t="s">
        <v>21</v>
      </c>
      <c r="K627">
        <v>1</v>
      </c>
      <c r="L627">
        <v>10761</v>
      </c>
      <c r="M627" t="str" cm="1">
        <f t="array" ref="M627">_xlfn.IFS(L627&lt;= 7000,"Low",L627&lt;=15000,"Medium",L627&lt;=20000,"High")</f>
        <v>Medium</v>
      </c>
      <c r="N627" t="s">
        <v>18</v>
      </c>
      <c r="O627">
        <v>12</v>
      </c>
      <c r="P627">
        <v>3</v>
      </c>
      <c r="Q627">
        <v>3</v>
      </c>
      <c r="R627">
        <v>18</v>
      </c>
      <c r="S627">
        <v>3</v>
      </c>
      <c r="T627">
        <v>5</v>
      </c>
      <c r="U627">
        <v>4</v>
      </c>
    </row>
    <row r="628" spans="1:21" x14ac:dyDescent="0.35">
      <c r="A628">
        <v>32</v>
      </c>
      <c r="B628" t="str" cm="1">
        <f t="array" ref="B628">_xlfn.IFS(A628&gt;40,"Senior",A628&gt;30,"Adult",A628&gt;=18,"Teenager")</f>
        <v>Adult</v>
      </c>
      <c r="C628" t="s">
        <v>22</v>
      </c>
      <c r="D628">
        <f t="shared" si="9"/>
        <v>0</v>
      </c>
      <c r="E628" t="s">
        <v>23</v>
      </c>
      <c r="F628">
        <v>3</v>
      </c>
      <c r="G628" t="s">
        <v>20</v>
      </c>
      <c r="H628">
        <v>4</v>
      </c>
      <c r="I628">
        <v>2</v>
      </c>
      <c r="J628" t="s">
        <v>25</v>
      </c>
      <c r="K628">
        <v>3</v>
      </c>
      <c r="L628">
        <v>5175</v>
      </c>
      <c r="M628" t="str" cm="1">
        <f t="array" ref="M628">_xlfn.IFS(L628&lt;= 7000,"Low",L628&lt;=15000,"Medium",L628&lt;=20000,"High")</f>
        <v>Low</v>
      </c>
      <c r="N628" t="s">
        <v>22</v>
      </c>
      <c r="O628">
        <v>12</v>
      </c>
      <c r="P628">
        <v>3</v>
      </c>
      <c r="Q628">
        <v>3</v>
      </c>
      <c r="R628">
        <v>9</v>
      </c>
      <c r="S628">
        <v>2</v>
      </c>
      <c r="T628">
        <v>5</v>
      </c>
      <c r="U628">
        <v>3</v>
      </c>
    </row>
    <row r="629" spans="1:21" x14ac:dyDescent="0.35">
      <c r="A629">
        <v>52</v>
      </c>
      <c r="B629" t="str" cm="1">
        <f t="array" ref="B629">_xlfn.IFS(A629&gt;40,"Senior",A629&gt;30,"Adult",A629&gt;=18,"Teenager")</f>
        <v>Senior</v>
      </c>
      <c r="C629" t="s">
        <v>22</v>
      </c>
      <c r="D629">
        <f t="shared" si="9"/>
        <v>0</v>
      </c>
      <c r="E629" t="s">
        <v>23</v>
      </c>
      <c r="F629">
        <v>3</v>
      </c>
      <c r="G629" t="s">
        <v>20</v>
      </c>
      <c r="H629">
        <v>2</v>
      </c>
      <c r="I629">
        <v>4</v>
      </c>
      <c r="J629" t="s">
        <v>27</v>
      </c>
      <c r="K629">
        <v>4</v>
      </c>
      <c r="L629">
        <v>13826</v>
      </c>
      <c r="M629" t="str" cm="1">
        <f t="array" ref="M629">_xlfn.IFS(L629&lt;= 7000,"Low",L629&lt;=15000,"Medium",L629&lt;=20000,"High")</f>
        <v>Medium</v>
      </c>
      <c r="N629" t="s">
        <v>22</v>
      </c>
      <c r="O629">
        <v>22</v>
      </c>
      <c r="P629">
        <v>4</v>
      </c>
      <c r="Q629">
        <v>3</v>
      </c>
      <c r="R629">
        <v>31</v>
      </c>
      <c r="S629">
        <v>3</v>
      </c>
      <c r="T629">
        <v>9</v>
      </c>
      <c r="U629">
        <v>8</v>
      </c>
    </row>
    <row r="630" spans="1:21" x14ac:dyDescent="0.35">
      <c r="A630">
        <v>37</v>
      </c>
      <c r="B630" t="str" cm="1">
        <f t="array" ref="B630">_xlfn.IFS(A630&gt;40,"Senior",A630&gt;30,"Adult",A630&gt;=18,"Teenager")</f>
        <v>Adult</v>
      </c>
      <c r="C630" t="s">
        <v>22</v>
      </c>
      <c r="D630">
        <f t="shared" si="9"/>
        <v>0</v>
      </c>
      <c r="E630" t="s">
        <v>19</v>
      </c>
      <c r="F630">
        <v>4</v>
      </c>
      <c r="G630" t="s">
        <v>24</v>
      </c>
      <c r="H630">
        <v>2</v>
      </c>
      <c r="I630">
        <v>2</v>
      </c>
      <c r="J630" t="s">
        <v>21</v>
      </c>
      <c r="K630">
        <v>3</v>
      </c>
      <c r="L630">
        <v>6334</v>
      </c>
      <c r="M630" t="str" cm="1">
        <f t="array" ref="M630">_xlfn.IFS(L630&lt;= 7000,"Low",L630&lt;=15000,"Medium",L630&lt;=20000,"High")</f>
        <v>Low</v>
      </c>
      <c r="N630" t="s">
        <v>22</v>
      </c>
      <c r="O630">
        <v>19</v>
      </c>
      <c r="P630">
        <v>3</v>
      </c>
      <c r="Q630">
        <v>4</v>
      </c>
      <c r="R630">
        <v>9</v>
      </c>
      <c r="S630">
        <v>3</v>
      </c>
      <c r="T630">
        <v>1</v>
      </c>
      <c r="U630">
        <v>0</v>
      </c>
    </row>
    <row r="631" spans="1:21" x14ac:dyDescent="0.35">
      <c r="A631">
        <v>28</v>
      </c>
      <c r="B631" t="str" cm="1">
        <f t="array" ref="B631">_xlfn.IFS(A631&gt;40,"Senior",A631&gt;30,"Adult",A631&gt;=18,"Teenager")</f>
        <v>Teenager</v>
      </c>
      <c r="C631" t="s">
        <v>22</v>
      </c>
      <c r="D631">
        <f t="shared" si="9"/>
        <v>0</v>
      </c>
      <c r="E631" t="s">
        <v>32</v>
      </c>
      <c r="F631">
        <v>2</v>
      </c>
      <c r="G631" t="s">
        <v>24</v>
      </c>
      <c r="H631">
        <v>2</v>
      </c>
      <c r="I631">
        <v>1</v>
      </c>
      <c r="J631" t="s">
        <v>32</v>
      </c>
      <c r="K631">
        <v>4</v>
      </c>
      <c r="L631">
        <v>4936</v>
      </c>
      <c r="M631" t="str" cm="1">
        <f t="array" ref="M631">_xlfn.IFS(L631&lt;= 7000,"Low",L631&lt;=15000,"Medium",L631&lt;=20000,"High")</f>
        <v>Low</v>
      </c>
      <c r="N631" t="s">
        <v>22</v>
      </c>
      <c r="O631">
        <v>13</v>
      </c>
      <c r="P631">
        <v>3</v>
      </c>
      <c r="Q631">
        <v>4</v>
      </c>
      <c r="R631">
        <v>6</v>
      </c>
      <c r="S631">
        <v>3</v>
      </c>
      <c r="T631">
        <v>5</v>
      </c>
      <c r="U631">
        <v>1</v>
      </c>
    </row>
    <row r="632" spans="1:21" x14ac:dyDescent="0.35">
      <c r="A632">
        <v>22</v>
      </c>
      <c r="B632" t="str" cm="1">
        <f t="array" ref="B632">_xlfn.IFS(A632&gt;40,"Senior",A632&gt;30,"Adult",A632&gt;=18,"Teenager")</f>
        <v>Teenager</v>
      </c>
      <c r="C632" t="s">
        <v>22</v>
      </c>
      <c r="D632">
        <f t="shared" si="9"/>
        <v>0</v>
      </c>
      <c r="E632" t="s">
        <v>23</v>
      </c>
      <c r="F632">
        <v>4</v>
      </c>
      <c r="G632" t="s">
        <v>24</v>
      </c>
      <c r="H632">
        <v>2</v>
      </c>
      <c r="I632">
        <v>2</v>
      </c>
      <c r="J632" t="s">
        <v>27</v>
      </c>
      <c r="K632">
        <v>4</v>
      </c>
      <c r="L632">
        <v>4775</v>
      </c>
      <c r="M632" t="str" cm="1">
        <f t="array" ref="M632">_xlfn.IFS(L632&lt;= 7000,"Low",L632&lt;=15000,"Medium",L632&lt;=20000,"High")</f>
        <v>Low</v>
      </c>
      <c r="N632" t="s">
        <v>22</v>
      </c>
      <c r="O632">
        <v>22</v>
      </c>
      <c r="P632">
        <v>4</v>
      </c>
      <c r="Q632">
        <v>1</v>
      </c>
      <c r="R632">
        <v>4</v>
      </c>
      <c r="S632">
        <v>1</v>
      </c>
      <c r="T632">
        <v>2</v>
      </c>
      <c r="U632">
        <v>2</v>
      </c>
    </row>
    <row r="633" spans="1:21" x14ac:dyDescent="0.35">
      <c r="A633">
        <v>44</v>
      </c>
      <c r="B633" t="str" cm="1">
        <f t="array" ref="B633">_xlfn.IFS(A633&gt;40,"Senior",A633&gt;30,"Adult",A633&gt;=18,"Teenager")</f>
        <v>Senior</v>
      </c>
      <c r="C633" t="s">
        <v>22</v>
      </c>
      <c r="D633">
        <f t="shared" si="9"/>
        <v>0</v>
      </c>
      <c r="E633" t="s">
        <v>23</v>
      </c>
      <c r="F633">
        <v>1</v>
      </c>
      <c r="G633" t="s">
        <v>24</v>
      </c>
      <c r="H633">
        <v>4</v>
      </c>
      <c r="I633">
        <v>1</v>
      </c>
      <c r="J633" t="s">
        <v>26</v>
      </c>
      <c r="K633">
        <v>4</v>
      </c>
      <c r="L633">
        <v>2818</v>
      </c>
      <c r="M633" t="str" cm="1">
        <f t="array" ref="M633">_xlfn.IFS(L633&lt;= 7000,"Low",L633&lt;=15000,"Medium",L633&lt;=20000,"High")</f>
        <v>Low</v>
      </c>
      <c r="N633" t="s">
        <v>18</v>
      </c>
      <c r="O633">
        <v>24</v>
      </c>
      <c r="P633">
        <v>4</v>
      </c>
      <c r="Q633">
        <v>3</v>
      </c>
      <c r="R633">
        <v>10</v>
      </c>
      <c r="S633">
        <v>2</v>
      </c>
      <c r="T633">
        <v>3</v>
      </c>
      <c r="U633">
        <v>2</v>
      </c>
    </row>
    <row r="634" spans="1:21" x14ac:dyDescent="0.35">
      <c r="A634">
        <v>42</v>
      </c>
      <c r="B634" t="str" cm="1">
        <f t="array" ref="B634">_xlfn.IFS(A634&gt;40,"Senior",A634&gt;30,"Adult",A634&gt;=18,"Teenager")</f>
        <v>Senior</v>
      </c>
      <c r="C634" t="s">
        <v>22</v>
      </c>
      <c r="D634">
        <f t="shared" si="9"/>
        <v>0</v>
      </c>
      <c r="E634" t="s">
        <v>23</v>
      </c>
      <c r="F634">
        <v>2</v>
      </c>
      <c r="G634" t="s">
        <v>24</v>
      </c>
      <c r="H634">
        <v>3</v>
      </c>
      <c r="I634">
        <v>1</v>
      </c>
      <c r="J634" t="s">
        <v>25</v>
      </c>
      <c r="K634">
        <v>4</v>
      </c>
      <c r="L634">
        <v>2515</v>
      </c>
      <c r="M634" t="str" cm="1">
        <f t="array" ref="M634">_xlfn.IFS(L634&lt;= 7000,"Low",L634&lt;=15000,"Medium",L634&lt;=20000,"High")</f>
        <v>Low</v>
      </c>
      <c r="N634" t="s">
        <v>18</v>
      </c>
      <c r="O634">
        <v>14</v>
      </c>
      <c r="P634">
        <v>3</v>
      </c>
      <c r="Q634">
        <v>4</v>
      </c>
      <c r="R634">
        <v>8</v>
      </c>
      <c r="S634">
        <v>3</v>
      </c>
      <c r="T634">
        <v>2</v>
      </c>
      <c r="U634">
        <v>1</v>
      </c>
    </row>
    <row r="635" spans="1:21" x14ac:dyDescent="0.35">
      <c r="A635">
        <v>36</v>
      </c>
      <c r="B635" t="str" cm="1">
        <f t="array" ref="B635">_xlfn.IFS(A635&gt;40,"Senior",A635&gt;30,"Adult",A635&gt;=18,"Teenager")</f>
        <v>Adult</v>
      </c>
      <c r="C635" t="s">
        <v>22</v>
      </c>
      <c r="D635">
        <f t="shared" si="9"/>
        <v>0</v>
      </c>
      <c r="E635" t="s">
        <v>32</v>
      </c>
      <c r="F635">
        <v>1</v>
      </c>
      <c r="G635" t="s">
        <v>24</v>
      </c>
      <c r="H635">
        <v>2</v>
      </c>
      <c r="I635">
        <v>1</v>
      </c>
      <c r="J635" t="s">
        <v>32</v>
      </c>
      <c r="K635">
        <v>1</v>
      </c>
      <c r="L635">
        <v>2342</v>
      </c>
      <c r="M635" t="str" cm="1">
        <f t="array" ref="M635">_xlfn.IFS(L635&lt;= 7000,"Low",L635&lt;=15000,"Medium",L635&lt;=20000,"High")</f>
        <v>Low</v>
      </c>
      <c r="N635" t="s">
        <v>22</v>
      </c>
      <c r="O635">
        <v>21</v>
      </c>
      <c r="P635">
        <v>4</v>
      </c>
      <c r="Q635">
        <v>3</v>
      </c>
      <c r="R635">
        <v>6</v>
      </c>
      <c r="S635">
        <v>3</v>
      </c>
      <c r="T635">
        <v>5</v>
      </c>
      <c r="U635">
        <v>4</v>
      </c>
    </row>
    <row r="636" spans="1:21" x14ac:dyDescent="0.35">
      <c r="A636">
        <v>25</v>
      </c>
      <c r="B636" t="str" cm="1">
        <f t="array" ref="B636">_xlfn.IFS(A636&gt;40,"Senior",A636&gt;30,"Adult",A636&gt;=18,"Teenager")</f>
        <v>Teenager</v>
      </c>
      <c r="C636" t="s">
        <v>22</v>
      </c>
      <c r="D636">
        <f t="shared" si="9"/>
        <v>0</v>
      </c>
      <c r="E636" t="s">
        <v>19</v>
      </c>
      <c r="F636">
        <v>3</v>
      </c>
      <c r="G636" t="s">
        <v>24</v>
      </c>
      <c r="H636">
        <v>3</v>
      </c>
      <c r="I636">
        <v>2</v>
      </c>
      <c r="J636" t="s">
        <v>21</v>
      </c>
      <c r="K636">
        <v>1</v>
      </c>
      <c r="L636">
        <v>4194</v>
      </c>
      <c r="M636" t="str" cm="1">
        <f t="array" ref="M636">_xlfn.IFS(L636&lt;= 7000,"Low",L636&lt;=15000,"Medium",L636&lt;=20000,"High")</f>
        <v>Low</v>
      </c>
      <c r="N636" t="s">
        <v>18</v>
      </c>
      <c r="O636">
        <v>18</v>
      </c>
      <c r="P636">
        <v>3</v>
      </c>
      <c r="Q636">
        <v>4</v>
      </c>
      <c r="R636">
        <v>5</v>
      </c>
      <c r="S636">
        <v>3</v>
      </c>
      <c r="T636">
        <v>5</v>
      </c>
      <c r="U636">
        <v>3</v>
      </c>
    </row>
    <row r="637" spans="1:21" x14ac:dyDescent="0.35">
      <c r="A637">
        <v>35</v>
      </c>
      <c r="B637" t="str" cm="1">
        <f t="array" ref="B637">_xlfn.IFS(A637&gt;40,"Senior",A637&gt;30,"Adult",A637&gt;=18,"Teenager")</f>
        <v>Adult</v>
      </c>
      <c r="C637" t="s">
        <v>22</v>
      </c>
      <c r="D637">
        <f t="shared" si="9"/>
        <v>0</v>
      </c>
      <c r="E637" t="s">
        <v>23</v>
      </c>
      <c r="F637">
        <v>4</v>
      </c>
      <c r="G637" t="s">
        <v>20</v>
      </c>
      <c r="H637">
        <v>2</v>
      </c>
      <c r="I637">
        <v>3</v>
      </c>
      <c r="J637" t="s">
        <v>27</v>
      </c>
      <c r="K637">
        <v>3</v>
      </c>
      <c r="L637">
        <v>10685</v>
      </c>
      <c r="M637" t="str" cm="1">
        <f t="array" ref="M637">_xlfn.IFS(L637&lt;= 7000,"Low",L637&lt;=15000,"Medium",L637&lt;=20000,"High")</f>
        <v>Medium</v>
      </c>
      <c r="N637" t="s">
        <v>18</v>
      </c>
      <c r="O637">
        <v>20</v>
      </c>
      <c r="P637">
        <v>4</v>
      </c>
      <c r="Q637">
        <v>2</v>
      </c>
      <c r="R637">
        <v>17</v>
      </c>
      <c r="S637">
        <v>3</v>
      </c>
      <c r="T637">
        <v>17</v>
      </c>
      <c r="U637">
        <v>14</v>
      </c>
    </row>
    <row r="638" spans="1:21" x14ac:dyDescent="0.35">
      <c r="A638">
        <v>35</v>
      </c>
      <c r="B638" t="str" cm="1">
        <f t="array" ref="B638">_xlfn.IFS(A638&gt;40,"Senior",A638&gt;30,"Adult",A638&gt;=18,"Teenager")</f>
        <v>Adult</v>
      </c>
      <c r="C638" t="s">
        <v>18</v>
      </c>
      <c r="D638">
        <f t="shared" si="9"/>
        <v>1</v>
      </c>
      <c r="E638" t="s">
        <v>23</v>
      </c>
      <c r="F638">
        <v>4</v>
      </c>
      <c r="G638" t="s">
        <v>20</v>
      </c>
      <c r="H638">
        <v>3</v>
      </c>
      <c r="I638">
        <v>1</v>
      </c>
      <c r="J638" t="s">
        <v>25</v>
      </c>
      <c r="K638">
        <v>2</v>
      </c>
      <c r="L638">
        <v>2022</v>
      </c>
      <c r="M638" t="str" cm="1">
        <f t="array" ref="M638">_xlfn.IFS(L638&lt;= 7000,"Low",L638&lt;=15000,"Medium",L638&lt;=20000,"High")</f>
        <v>Low</v>
      </c>
      <c r="N638" t="s">
        <v>18</v>
      </c>
      <c r="O638">
        <v>19</v>
      </c>
      <c r="P638">
        <v>3</v>
      </c>
      <c r="Q638">
        <v>1</v>
      </c>
      <c r="R638">
        <v>10</v>
      </c>
      <c r="S638">
        <v>2</v>
      </c>
      <c r="T638">
        <v>10</v>
      </c>
      <c r="U638">
        <v>2</v>
      </c>
    </row>
    <row r="639" spans="1:21" x14ac:dyDescent="0.35">
      <c r="A639">
        <v>32</v>
      </c>
      <c r="B639" t="str" cm="1">
        <f t="array" ref="B639">_xlfn.IFS(A639&gt;40,"Senior",A639&gt;30,"Adult",A639&gt;=18,"Teenager")</f>
        <v>Adult</v>
      </c>
      <c r="C639" t="s">
        <v>22</v>
      </c>
      <c r="D639">
        <f t="shared" si="9"/>
        <v>0</v>
      </c>
      <c r="E639" t="s">
        <v>23</v>
      </c>
      <c r="F639">
        <v>4</v>
      </c>
      <c r="G639" t="s">
        <v>24</v>
      </c>
      <c r="H639">
        <v>3</v>
      </c>
      <c r="I639">
        <v>1</v>
      </c>
      <c r="J639" t="s">
        <v>26</v>
      </c>
      <c r="K639">
        <v>4</v>
      </c>
      <c r="L639">
        <v>2314</v>
      </c>
      <c r="M639" t="str" cm="1">
        <f t="array" ref="M639">_xlfn.IFS(L639&lt;= 7000,"Low",L639&lt;=15000,"Medium",L639&lt;=20000,"High")</f>
        <v>Low</v>
      </c>
      <c r="N639" t="s">
        <v>22</v>
      </c>
      <c r="O639">
        <v>12</v>
      </c>
      <c r="P639">
        <v>3</v>
      </c>
      <c r="Q639">
        <v>2</v>
      </c>
      <c r="R639">
        <v>4</v>
      </c>
      <c r="S639">
        <v>3</v>
      </c>
      <c r="T639">
        <v>3</v>
      </c>
      <c r="U639">
        <v>0</v>
      </c>
    </row>
    <row r="640" spans="1:21" x14ac:dyDescent="0.35">
      <c r="A640">
        <v>25</v>
      </c>
      <c r="B640" t="str" cm="1">
        <f t="array" ref="B640">_xlfn.IFS(A640&gt;40,"Senior",A640&gt;30,"Adult",A640&gt;=18,"Teenager")</f>
        <v>Teenager</v>
      </c>
      <c r="C640" t="s">
        <v>22</v>
      </c>
      <c r="D640">
        <f t="shared" si="9"/>
        <v>0</v>
      </c>
      <c r="E640" t="s">
        <v>19</v>
      </c>
      <c r="F640">
        <v>3</v>
      </c>
      <c r="G640" t="s">
        <v>24</v>
      </c>
      <c r="H640">
        <v>2</v>
      </c>
      <c r="I640">
        <v>2</v>
      </c>
      <c r="J640" t="s">
        <v>21</v>
      </c>
      <c r="K640">
        <v>1</v>
      </c>
      <c r="L640">
        <v>4256</v>
      </c>
      <c r="M640" t="str" cm="1">
        <f t="array" ref="M640">_xlfn.IFS(L640&lt;= 7000,"Low",L640&lt;=15000,"Medium",L640&lt;=20000,"High")</f>
        <v>Low</v>
      </c>
      <c r="N640" t="s">
        <v>22</v>
      </c>
      <c r="O640">
        <v>12</v>
      </c>
      <c r="P640">
        <v>3</v>
      </c>
      <c r="Q640">
        <v>1</v>
      </c>
      <c r="R640">
        <v>5</v>
      </c>
      <c r="S640">
        <v>4</v>
      </c>
      <c r="T640">
        <v>5</v>
      </c>
      <c r="U640">
        <v>2</v>
      </c>
    </row>
    <row r="641" spans="1:21" x14ac:dyDescent="0.35">
      <c r="A641">
        <v>49</v>
      </c>
      <c r="B641" t="str" cm="1">
        <f t="array" ref="B641">_xlfn.IFS(A641&gt;40,"Senior",A641&gt;30,"Adult",A641&gt;=18,"Teenager")</f>
        <v>Senior</v>
      </c>
      <c r="C641" t="s">
        <v>22</v>
      </c>
      <c r="D641">
        <f t="shared" si="9"/>
        <v>0</v>
      </c>
      <c r="E641" t="s">
        <v>23</v>
      </c>
      <c r="F641">
        <v>3</v>
      </c>
      <c r="G641" t="s">
        <v>20</v>
      </c>
      <c r="H641">
        <v>3</v>
      </c>
      <c r="I641">
        <v>1</v>
      </c>
      <c r="J641" t="s">
        <v>25</v>
      </c>
      <c r="K641">
        <v>1</v>
      </c>
      <c r="L641">
        <v>3580</v>
      </c>
      <c r="M641" t="str" cm="1">
        <f t="array" ref="M641">_xlfn.IFS(L641&lt;= 7000,"Low",L641&lt;=15000,"Medium",L641&lt;=20000,"High")</f>
        <v>Low</v>
      </c>
      <c r="N641" t="s">
        <v>22</v>
      </c>
      <c r="O641">
        <v>16</v>
      </c>
      <c r="P641">
        <v>3</v>
      </c>
      <c r="Q641">
        <v>2</v>
      </c>
      <c r="R641">
        <v>7</v>
      </c>
      <c r="S641">
        <v>3</v>
      </c>
      <c r="T641">
        <v>4</v>
      </c>
      <c r="U641">
        <v>2</v>
      </c>
    </row>
    <row r="642" spans="1:21" x14ac:dyDescent="0.35">
      <c r="A642">
        <v>24</v>
      </c>
      <c r="B642" t="str" cm="1">
        <f t="array" ref="B642">_xlfn.IFS(A642&gt;40,"Senior",A642&gt;30,"Adult",A642&gt;=18,"Teenager")</f>
        <v>Teenager</v>
      </c>
      <c r="C642" t="s">
        <v>22</v>
      </c>
      <c r="D642">
        <f t="shared" si="9"/>
        <v>0</v>
      </c>
      <c r="E642" t="s">
        <v>23</v>
      </c>
      <c r="F642">
        <v>1</v>
      </c>
      <c r="G642" t="s">
        <v>24</v>
      </c>
      <c r="H642">
        <v>2</v>
      </c>
      <c r="I642">
        <v>1</v>
      </c>
      <c r="J642" t="s">
        <v>26</v>
      </c>
      <c r="K642">
        <v>4</v>
      </c>
      <c r="L642">
        <v>3162</v>
      </c>
      <c r="M642" t="str" cm="1">
        <f t="array" ref="M642">_xlfn.IFS(L642&lt;= 7000,"Low",L642&lt;=15000,"Medium",L642&lt;=20000,"High")</f>
        <v>Low</v>
      </c>
      <c r="N642" t="s">
        <v>22</v>
      </c>
      <c r="O642">
        <v>17</v>
      </c>
      <c r="P642">
        <v>3</v>
      </c>
      <c r="Q642">
        <v>4</v>
      </c>
      <c r="R642">
        <v>6</v>
      </c>
      <c r="S642">
        <v>2</v>
      </c>
      <c r="T642">
        <v>5</v>
      </c>
      <c r="U642">
        <v>2</v>
      </c>
    </row>
    <row r="643" spans="1:21" x14ac:dyDescent="0.35">
      <c r="A643">
        <v>32</v>
      </c>
      <c r="B643" t="str" cm="1">
        <f t="array" ref="B643">_xlfn.IFS(A643&gt;40,"Senior",A643&gt;30,"Adult",A643&gt;=18,"Teenager")</f>
        <v>Adult</v>
      </c>
      <c r="C643" t="s">
        <v>22</v>
      </c>
      <c r="D643">
        <f t="shared" ref="D643:D706" si="10">IF(C643="Yes",1,0)</f>
        <v>0</v>
      </c>
      <c r="E643" t="s">
        <v>19</v>
      </c>
      <c r="F643">
        <v>2</v>
      </c>
      <c r="G643" t="s">
        <v>24</v>
      </c>
      <c r="H643">
        <v>3</v>
      </c>
      <c r="I643">
        <v>2</v>
      </c>
      <c r="J643" t="s">
        <v>21</v>
      </c>
      <c r="K643">
        <v>2</v>
      </c>
      <c r="L643">
        <v>6524</v>
      </c>
      <c r="M643" t="str" cm="1">
        <f t="array" ref="M643">_xlfn.IFS(L643&lt;= 7000,"Low",L643&lt;=15000,"Medium",L643&lt;=20000,"High")</f>
        <v>Low</v>
      </c>
      <c r="N643" t="s">
        <v>22</v>
      </c>
      <c r="O643">
        <v>14</v>
      </c>
      <c r="P643">
        <v>3</v>
      </c>
      <c r="Q643">
        <v>4</v>
      </c>
      <c r="R643">
        <v>10</v>
      </c>
      <c r="S643">
        <v>3</v>
      </c>
      <c r="T643">
        <v>10</v>
      </c>
      <c r="U643">
        <v>8</v>
      </c>
    </row>
    <row r="644" spans="1:21" x14ac:dyDescent="0.35">
      <c r="A644">
        <v>38</v>
      </c>
      <c r="B644" t="str" cm="1">
        <f t="array" ref="B644">_xlfn.IFS(A644&gt;40,"Senior",A644&gt;30,"Adult",A644&gt;=18,"Teenager")</f>
        <v>Adult</v>
      </c>
      <c r="C644" t="s">
        <v>22</v>
      </c>
      <c r="D644">
        <f t="shared" si="10"/>
        <v>0</v>
      </c>
      <c r="E644" t="s">
        <v>19</v>
      </c>
      <c r="F644">
        <v>2</v>
      </c>
      <c r="G644" t="s">
        <v>24</v>
      </c>
      <c r="H644">
        <v>2</v>
      </c>
      <c r="I644">
        <v>1</v>
      </c>
      <c r="J644" t="s">
        <v>30</v>
      </c>
      <c r="K644">
        <v>2</v>
      </c>
      <c r="L644">
        <v>2899</v>
      </c>
      <c r="M644" t="str" cm="1">
        <f t="array" ref="M644">_xlfn.IFS(L644&lt;= 7000,"Low",L644&lt;=15000,"Medium",L644&lt;=20000,"High")</f>
        <v>Low</v>
      </c>
      <c r="N644" t="s">
        <v>22</v>
      </c>
      <c r="O644">
        <v>19</v>
      </c>
      <c r="P644">
        <v>3</v>
      </c>
      <c r="Q644">
        <v>4</v>
      </c>
      <c r="R644">
        <v>3</v>
      </c>
      <c r="S644">
        <v>3</v>
      </c>
      <c r="T644">
        <v>2</v>
      </c>
      <c r="U644">
        <v>2</v>
      </c>
    </row>
    <row r="645" spans="1:21" x14ac:dyDescent="0.35">
      <c r="A645">
        <v>42</v>
      </c>
      <c r="B645" t="str" cm="1">
        <f t="array" ref="B645">_xlfn.IFS(A645&gt;40,"Senior",A645&gt;30,"Adult",A645&gt;=18,"Teenager")</f>
        <v>Senior</v>
      </c>
      <c r="C645" t="s">
        <v>22</v>
      </c>
      <c r="D645">
        <f t="shared" si="10"/>
        <v>0</v>
      </c>
      <c r="E645" t="s">
        <v>23</v>
      </c>
      <c r="F645">
        <v>3</v>
      </c>
      <c r="G645" t="s">
        <v>20</v>
      </c>
      <c r="H645">
        <v>4</v>
      </c>
      <c r="I645">
        <v>2</v>
      </c>
      <c r="J645" t="s">
        <v>26</v>
      </c>
      <c r="K645">
        <v>4</v>
      </c>
      <c r="L645">
        <v>5231</v>
      </c>
      <c r="M645" t="str" cm="1">
        <f t="array" ref="M645">_xlfn.IFS(L645&lt;= 7000,"Low",L645&lt;=15000,"Medium",L645&lt;=20000,"High")</f>
        <v>Low</v>
      </c>
      <c r="N645" t="s">
        <v>18</v>
      </c>
      <c r="O645">
        <v>13</v>
      </c>
      <c r="P645">
        <v>3</v>
      </c>
      <c r="Q645">
        <v>2</v>
      </c>
      <c r="R645">
        <v>17</v>
      </c>
      <c r="S645">
        <v>2</v>
      </c>
      <c r="T645">
        <v>5</v>
      </c>
      <c r="U645">
        <v>3</v>
      </c>
    </row>
    <row r="646" spans="1:21" x14ac:dyDescent="0.35">
      <c r="A646">
        <v>31</v>
      </c>
      <c r="B646" t="str" cm="1">
        <f t="array" ref="B646">_xlfn.IFS(A646&gt;40,"Senior",A646&gt;30,"Adult",A646&gt;=18,"Teenager")</f>
        <v>Adult</v>
      </c>
      <c r="C646" t="s">
        <v>22</v>
      </c>
      <c r="D646">
        <f t="shared" si="10"/>
        <v>0</v>
      </c>
      <c r="E646" t="s">
        <v>23</v>
      </c>
      <c r="F646">
        <v>4</v>
      </c>
      <c r="G646" t="s">
        <v>24</v>
      </c>
      <c r="H646">
        <v>3</v>
      </c>
      <c r="I646">
        <v>1</v>
      </c>
      <c r="J646" t="s">
        <v>25</v>
      </c>
      <c r="K646">
        <v>4</v>
      </c>
      <c r="L646">
        <v>2356</v>
      </c>
      <c r="M646" t="str" cm="1">
        <f t="array" ref="M646">_xlfn.IFS(L646&lt;= 7000,"Low",L646&lt;=15000,"Medium",L646&lt;=20000,"High")</f>
        <v>Low</v>
      </c>
      <c r="N646" t="s">
        <v>18</v>
      </c>
      <c r="O646">
        <v>19</v>
      </c>
      <c r="P646">
        <v>3</v>
      </c>
      <c r="Q646">
        <v>2</v>
      </c>
      <c r="R646">
        <v>8</v>
      </c>
      <c r="S646">
        <v>3</v>
      </c>
      <c r="T646">
        <v>6</v>
      </c>
      <c r="U646">
        <v>4</v>
      </c>
    </row>
    <row r="647" spans="1:21" x14ac:dyDescent="0.35">
      <c r="A647">
        <v>29</v>
      </c>
      <c r="B647" t="str" cm="1">
        <f t="array" ref="B647">_xlfn.IFS(A647&gt;40,"Senior",A647&gt;30,"Adult",A647&gt;=18,"Teenager")</f>
        <v>Teenager</v>
      </c>
      <c r="C647" t="s">
        <v>18</v>
      </c>
      <c r="D647">
        <f t="shared" si="10"/>
        <v>1</v>
      </c>
      <c r="E647" t="s">
        <v>19</v>
      </c>
      <c r="F647">
        <v>2</v>
      </c>
      <c r="G647" t="s">
        <v>20</v>
      </c>
      <c r="H647">
        <v>2</v>
      </c>
      <c r="I647">
        <v>1</v>
      </c>
      <c r="J647" t="s">
        <v>30</v>
      </c>
      <c r="K647">
        <v>3</v>
      </c>
      <c r="L647">
        <v>2800</v>
      </c>
      <c r="M647" t="str" cm="1">
        <f t="array" ref="M647">_xlfn.IFS(L647&lt;= 7000,"Low",L647&lt;=15000,"Medium",L647&lt;=20000,"High")</f>
        <v>Low</v>
      </c>
      <c r="N647" t="s">
        <v>18</v>
      </c>
      <c r="O647">
        <v>19</v>
      </c>
      <c r="P647">
        <v>3</v>
      </c>
      <c r="Q647">
        <v>3</v>
      </c>
      <c r="R647">
        <v>5</v>
      </c>
      <c r="S647">
        <v>3</v>
      </c>
      <c r="T647">
        <v>3</v>
      </c>
      <c r="U647">
        <v>2</v>
      </c>
    </row>
    <row r="648" spans="1:21" x14ac:dyDescent="0.35">
      <c r="A648">
        <v>53</v>
      </c>
      <c r="B648" t="str" cm="1">
        <f t="array" ref="B648">_xlfn.IFS(A648&gt;40,"Senior",A648&gt;30,"Adult",A648&gt;=18,"Teenager")</f>
        <v>Senior</v>
      </c>
      <c r="C648" t="s">
        <v>22</v>
      </c>
      <c r="D648">
        <f t="shared" si="10"/>
        <v>0</v>
      </c>
      <c r="E648" t="s">
        <v>19</v>
      </c>
      <c r="F648">
        <v>1</v>
      </c>
      <c r="G648" t="s">
        <v>24</v>
      </c>
      <c r="H648">
        <v>3</v>
      </c>
      <c r="I648">
        <v>4</v>
      </c>
      <c r="J648" t="s">
        <v>21</v>
      </c>
      <c r="K648">
        <v>4</v>
      </c>
      <c r="L648">
        <v>11836</v>
      </c>
      <c r="M648" t="str" cm="1">
        <f t="array" ref="M648">_xlfn.IFS(L648&lt;= 7000,"Low",L648&lt;=15000,"Medium",L648&lt;=20000,"High")</f>
        <v>Medium</v>
      </c>
      <c r="N648" t="s">
        <v>22</v>
      </c>
      <c r="O648">
        <v>14</v>
      </c>
      <c r="P648">
        <v>3</v>
      </c>
      <c r="Q648">
        <v>3</v>
      </c>
      <c r="R648">
        <v>28</v>
      </c>
      <c r="S648">
        <v>3</v>
      </c>
      <c r="T648">
        <v>2</v>
      </c>
      <c r="U648">
        <v>0</v>
      </c>
    </row>
    <row r="649" spans="1:21" x14ac:dyDescent="0.35">
      <c r="A649">
        <v>35</v>
      </c>
      <c r="B649" t="str" cm="1">
        <f t="array" ref="B649">_xlfn.IFS(A649&gt;40,"Senior",A649&gt;30,"Adult",A649&gt;=18,"Teenager")</f>
        <v>Adult</v>
      </c>
      <c r="C649" t="s">
        <v>22</v>
      </c>
      <c r="D649">
        <f t="shared" si="10"/>
        <v>0</v>
      </c>
      <c r="E649" t="s">
        <v>23</v>
      </c>
      <c r="F649">
        <v>4</v>
      </c>
      <c r="G649" t="s">
        <v>24</v>
      </c>
      <c r="H649">
        <v>2</v>
      </c>
      <c r="I649">
        <v>3</v>
      </c>
      <c r="J649" t="s">
        <v>27</v>
      </c>
      <c r="K649">
        <v>2</v>
      </c>
      <c r="L649">
        <v>10903</v>
      </c>
      <c r="M649" t="str" cm="1">
        <f t="array" ref="M649">_xlfn.IFS(L649&lt;= 7000,"Low",L649&lt;=15000,"Medium",L649&lt;=20000,"High")</f>
        <v>Medium</v>
      </c>
      <c r="N649" t="s">
        <v>22</v>
      </c>
      <c r="O649">
        <v>16</v>
      </c>
      <c r="P649">
        <v>3</v>
      </c>
      <c r="Q649">
        <v>1</v>
      </c>
      <c r="R649">
        <v>16</v>
      </c>
      <c r="S649">
        <v>3</v>
      </c>
      <c r="T649">
        <v>13</v>
      </c>
      <c r="U649">
        <v>10</v>
      </c>
    </row>
    <row r="650" spans="1:21" x14ac:dyDescent="0.35">
      <c r="A650">
        <v>37</v>
      </c>
      <c r="B650" t="str" cm="1">
        <f t="array" ref="B650">_xlfn.IFS(A650&gt;40,"Senior",A650&gt;30,"Adult",A650&gt;=18,"Teenager")</f>
        <v>Adult</v>
      </c>
      <c r="C650" t="s">
        <v>22</v>
      </c>
      <c r="D650">
        <f t="shared" si="10"/>
        <v>0</v>
      </c>
      <c r="E650" t="s">
        <v>19</v>
      </c>
      <c r="F650">
        <v>3</v>
      </c>
      <c r="G650" t="s">
        <v>20</v>
      </c>
      <c r="H650">
        <v>3</v>
      </c>
      <c r="I650">
        <v>1</v>
      </c>
      <c r="J650" t="s">
        <v>30</v>
      </c>
      <c r="K650">
        <v>4</v>
      </c>
      <c r="L650">
        <v>2973</v>
      </c>
      <c r="M650" t="str" cm="1">
        <f t="array" ref="M650">_xlfn.IFS(L650&lt;= 7000,"Low",L650&lt;=15000,"Medium",L650&lt;=20000,"High")</f>
        <v>Low</v>
      </c>
      <c r="N650" t="s">
        <v>22</v>
      </c>
      <c r="O650">
        <v>15</v>
      </c>
      <c r="P650">
        <v>3</v>
      </c>
      <c r="Q650">
        <v>2</v>
      </c>
      <c r="R650">
        <v>10</v>
      </c>
      <c r="S650">
        <v>3</v>
      </c>
      <c r="T650">
        <v>5</v>
      </c>
      <c r="U650">
        <v>4</v>
      </c>
    </row>
    <row r="651" spans="1:21" x14ac:dyDescent="0.35">
      <c r="A651">
        <v>53</v>
      </c>
      <c r="B651" t="str" cm="1">
        <f t="array" ref="B651">_xlfn.IFS(A651&gt;40,"Senior",A651&gt;30,"Adult",A651&gt;=18,"Teenager")</f>
        <v>Senior</v>
      </c>
      <c r="C651" t="s">
        <v>22</v>
      </c>
      <c r="D651">
        <f t="shared" si="10"/>
        <v>0</v>
      </c>
      <c r="E651" t="s">
        <v>23</v>
      </c>
      <c r="F651">
        <v>4</v>
      </c>
      <c r="G651" t="s">
        <v>20</v>
      </c>
      <c r="H651">
        <v>3</v>
      </c>
      <c r="I651">
        <v>4</v>
      </c>
      <c r="J651" t="s">
        <v>31</v>
      </c>
      <c r="K651">
        <v>4</v>
      </c>
      <c r="L651">
        <v>14275</v>
      </c>
      <c r="M651" t="str" cm="1">
        <f t="array" ref="M651">_xlfn.IFS(L651&lt;= 7000,"Low",L651&lt;=15000,"Medium",L651&lt;=20000,"High")</f>
        <v>Medium</v>
      </c>
      <c r="N651" t="s">
        <v>22</v>
      </c>
      <c r="O651">
        <v>18</v>
      </c>
      <c r="P651">
        <v>3</v>
      </c>
      <c r="Q651">
        <v>3</v>
      </c>
      <c r="R651">
        <v>33</v>
      </c>
      <c r="S651">
        <v>3</v>
      </c>
      <c r="T651">
        <v>12</v>
      </c>
      <c r="U651">
        <v>9</v>
      </c>
    </row>
    <row r="652" spans="1:21" x14ac:dyDescent="0.35">
      <c r="A652">
        <v>43</v>
      </c>
      <c r="B652" t="str" cm="1">
        <f t="array" ref="B652">_xlfn.IFS(A652&gt;40,"Senior",A652&gt;30,"Adult",A652&gt;=18,"Teenager")</f>
        <v>Senior</v>
      </c>
      <c r="C652" t="s">
        <v>22</v>
      </c>
      <c r="D652">
        <f t="shared" si="10"/>
        <v>0</v>
      </c>
      <c r="E652" t="s">
        <v>23</v>
      </c>
      <c r="F652">
        <v>4</v>
      </c>
      <c r="G652" t="s">
        <v>20</v>
      </c>
      <c r="H652">
        <v>3</v>
      </c>
      <c r="I652">
        <v>2</v>
      </c>
      <c r="J652" t="s">
        <v>28</v>
      </c>
      <c r="K652">
        <v>4</v>
      </c>
      <c r="L652">
        <v>5562</v>
      </c>
      <c r="M652" t="str" cm="1">
        <f t="array" ref="M652">_xlfn.IFS(L652&lt;= 7000,"Low",L652&lt;=15000,"Medium",L652&lt;=20000,"High")</f>
        <v>Low</v>
      </c>
      <c r="N652" t="s">
        <v>22</v>
      </c>
      <c r="O652">
        <v>13</v>
      </c>
      <c r="P652">
        <v>3</v>
      </c>
      <c r="Q652">
        <v>2</v>
      </c>
      <c r="R652">
        <v>12</v>
      </c>
      <c r="S652">
        <v>2</v>
      </c>
      <c r="T652">
        <v>5</v>
      </c>
      <c r="U652">
        <v>2</v>
      </c>
    </row>
    <row r="653" spans="1:21" x14ac:dyDescent="0.35">
      <c r="A653">
        <v>47</v>
      </c>
      <c r="B653" t="str" cm="1">
        <f t="array" ref="B653">_xlfn.IFS(A653&gt;40,"Senior",A653&gt;30,"Adult",A653&gt;=18,"Teenager")</f>
        <v>Senior</v>
      </c>
      <c r="C653" t="s">
        <v>22</v>
      </c>
      <c r="D653">
        <f t="shared" si="10"/>
        <v>0</v>
      </c>
      <c r="E653" t="s">
        <v>19</v>
      </c>
      <c r="F653">
        <v>3</v>
      </c>
      <c r="G653" t="s">
        <v>20</v>
      </c>
      <c r="H653">
        <v>3</v>
      </c>
      <c r="I653">
        <v>2</v>
      </c>
      <c r="J653" t="s">
        <v>21</v>
      </c>
      <c r="K653">
        <v>4</v>
      </c>
      <c r="L653">
        <v>4537</v>
      </c>
      <c r="M653" t="str" cm="1">
        <f t="array" ref="M653">_xlfn.IFS(L653&lt;= 7000,"Low",L653&lt;=15000,"Medium",L653&lt;=20000,"High")</f>
        <v>Low</v>
      </c>
      <c r="N653" t="s">
        <v>18</v>
      </c>
      <c r="O653">
        <v>22</v>
      </c>
      <c r="P653">
        <v>4</v>
      </c>
      <c r="Q653">
        <v>1</v>
      </c>
      <c r="R653">
        <v>8</v>
      </c>
      <c r="S653">
        <v>3</v>
      </c>
      <c r="T653">
        <v>7</v>
      </c>
      <c r="U653">
        <v>6</v>
      </c>
    </row>
    <row r="654" spans="1:21" x14ac:dyDescent="0.35">
      <c r="A654">
        <v>37</v>
      </c>
      <c r="B654" t="str" cm="1">
        <f t="array" ref="B654">_xlfn.IFS(A654&gt;40,"Senior",A654&gt;30,"Adult",A654&gt;=18,"Teenager")</f>
        <v>Adult</v>
      </c>
      <c r="C654" t="s">
        <v>22</v>
      </c>
      <c r="D654">
        <f t="shared" si="10"/>
        <v>0</v>
      </c>
      <c r="E654" t="s">
        <v>19</v>
      </c>
      <c r="F654">
        <v>1</v>
      </c>
      <c r="G654" t="s">
        <v>24</v>
      </c>
      <c r="H654">
        <v>3</v>
      </c>
      <c r="I654">
        <v>3</v>
      </c>
      <c r="J654" t="s">
        <v>21</v>
      </c>
      <c r="K654">
        <v>2</v>
      </c>
      <c r="L654">
        <v>7642</v>
      </c>
      <c r="M654" t="str" cm="1">
        <f t="array" ref="M654">_xlfn.IFS(L654&lt;= 7000,"Low",L654&lt;=15000,"Medium",L654&lt;=20000,"High")</f>
        <v>Medium</v>
      </c>
      <c r="N654" t="s">
        <v>18</v>
      </c>
      <c r="O654">
        <v>13</v>
      </c>
      <c r="P654">
        <v>3</v>
      </c>
      <c r="Q654">
        <v>4</v>
      </c>
      <c r="R654">
        <v>10</v>
      </c>
      <c r="S654">
        <v>3</v>
      </c>
      <c r="T654">
        <v>10</v>
      </c>
      <c r="U654">
        <v>0</v>
      </c>
    </row>
    <row r="655" spans="1:21" x14ac:dyDescent="0.35">
      <c r="A655">
        <v>50</v>
      </c>
      <c r="B655" t="str" cm="1">
        <f t="array" ref="B655">_xlfn.IFS(A655&gt;40,"Senior",A655&gt;30,"Adult",A655&gt;=18,"Teenager")</f>
        <v>Senior</v>
      </c>
      <c r="C655" t="s">
        <v>22</v>
      </c>
      <c r="D655">
        <f t="shared" si="10"/>
        <v>0</v>
      </c>
      <c r="E655" t="s">
        <v>23</v>
      </c>
      <c r="F655">
        <v>1</v>
      </c>
      <c r="G655" t="s">
        <v>24</v>
      </c>
      <c r="H655">
        <v>3</v>
      </c>
      <c r="I655">
        <v>4</v>
      </c>
      <c r="J655" t="s">
        <v>29</v>
      </c>
      <c r="K655">
        <v>1</v>
      </c>
      <c r="L655">
        <v>17924</v>
      </c>
      <c r="M655" t="str" cm="1">
        <f t="array" ref="M655">_xlfn.IFS(L655&lt;= 7000,"Low",L655&lt;=15000,"Medium",L655&lt;=20000,"High")</f>
        <v>High</v>
      </c>
      <c r="N655" t="s">
        <v>22</v>
      </c>
      <c r="O655">
        <v>11</v>
      </c>
      <c r="P655">
        <v>3</v>
      </c>
      <c r="Q655">
        <v>4</v>
      </c>
      <c r="R655">
        <v>31</v>
      </c>
      <c r="S655">
        <v>3</v>
      </c>
      <c r="T655">
        <v>31</v>
      </c>
      <c r="U655">
        <v>6</v>
      </c>
    </row>
    <row r="656" spans="1:21" x14ac:dyDescent="0.35">
      <c r="A656">
        <v>39</v>
      </c>
      <c r="B656" t="str" cm="1">
        <f t="array" ref="B656">_xlfn.IFS(A656&gt;40,"Senior",A656&gt;30,"Adult",A656&gt;=18,"Teenager")</f>
        <v>Adult</v>
      </c>
      <c r="C656" t="s">
        <v>22</v>
      </c>
      <c r="D656">
        <f t="shared" si="10"/>
        <v>0</v>
      </c>
      <c r="E656" t="s">
        <v>32</v>
      </c>
      <c r="F656">
        <v>4</v>
      </c>
      <c r="G656" t="s">
        <v>20</v>
      </c>
      <c r="H656">
        <v>2</v>
      </c>
      <c r="I656">
        <v>2</v>
      </c>
      <c r="J656" t="s">
        <v>32</v>
      </c>
      <c r="K656">
        <v>4</v>
      </c>
      <c r="L656">
        <v>5204</v>
      </c>
      <c r="M656" t="str" cm="1">
        <f t="array" ref="M656">_xlfn.IFS(L656&lt;= 7000,"Low",L656&lt;=15000,"Medium",L656&lt;=20000,"High")</f>
        <v>Low</v>
      </c>
      <c r="N656" t="s">
        <v>22</v>
      </c>
      <c r="O656">
        <v>11</v>
      </c>
      <c r="P656">
        <v>3</v>
      </c>
      <c r="Q656">
        <v>3</v>
      </c>
      <c r="R656">
        <v>13</v>
      </c>
      <c r="S656">
        <v>3</v>
      </c>
      <c r="T656">
        <v>5</v>
      </c>
      <c r="U656">
        <v>4</v>
      </c>
    </row>
    <row r="657" spans="1:21" x14ac:dyDescent="0.35">
      <c r="A657">
        <v>33</v>
      </c>
      <c r="B657" t="str" cm="1">
        <f t="array" ref="B657">_xlfn.IFS(A657&gt;40,"Senior",A657&gt;30,"Adult",A657&gt;=18,"Teenager")</f>
        <v>Adult</v>
      </c>
      <c r="C657" t="s">
        <v>22</v>
      </c>
      <c r="D657">
        <f t="shared" si="10"/>
        <v>0</v>
      </c>
      <c r="E657" t="s">
        <v>32</v>
      </c>
      <c r="F657">
        <v>4</v>
      </c>
      <c r="G657" t="s">
        <v>24</v>
      </c>
      <c r="H657">
        <v>3</v>
      </c>
      <c r="I657">
        <v>1</v>
      </c>
      <c r="J657" t="s">
        <v>32</v>
      </c>
      <c r="K657">
        <v>2</v>
      </c>
      <c r="L657">
        <v>2277</v>
      </c>
      <c r="M657" t="str" cm="1">
        <f t="array" ref="M657">_xlfn.IFS(L657&lt;= 7000,"Low",L657&lt;=15000,"Medium",L657&lt;=20000,"High")</f>
        <v>Low</v>
      </c>
      <c r="N657" t="s">
        <v>18</v>
      </c>
      <c r="O657">
        <v>11</v>
      </c>
      <c r="P657">
        <v>3</v>
      </c>
      <c r="Q657">
        <v>3</v>
      </c>
      <c r="R657">
        <v>7</v>
      </c>
      <c r="S657">
        <v>4</v>
      </c>
      <c r="T657">
        <v>4</v>
      </c>
      <c r="U657">
        <v>3</v>
      </c>
    </row>
    <row r="658" spans="1:21" x14ac:dyDescent="0.35">
      <c r="A658">
        <v>32</v>
      </c>
      <c r="B658" t="str" cm="1">
        <f t="array" ref="B658">_xlfn.IFS(A658&gt;40,"Senior",A658&gt;30,"Adult",A658&gt;=18,"Teenager")</f>
        <v>Adult</v>
      </c>
      <c r="C658" t="s">
        <v>18</v>
      </c>
      <c r="D658">
        <f t="shared" si="10"/>
        <v>1</v>
      </c>
      <c r="E658" t="s">
        <v>23</v>
      </c>
      <c r="F658">
        <v>1</v>
      </c>
      <c r="G658" t="s">
        <v>24</v>
      </c>
      <c r="H658">
        <v>3</v>
      </c>
      <c r="I658">
        <v>1</v>
      </c>
      <c r="J658" t="s">
        <v>26</v>
      </c>
      <c r="K658">
        <v>4</v>
      </c>
      <c r="L658">
        <v>2795</v>
      </c>
      <c r="M658" t="str" cm="1">
        <f t="array" ref="M658">_xlfn.IFS(L658&lt;= 7000,"Low",L658&lt;=15000,"Medium",L658&lt;=20000,"High")</f>
        <v>Low</v>
      </c>
      <c r="N658" t="s">
        <v>18</v>
      </c>
      <c r="O658">
        <v>24</v>
      </c>
      <c r="P658">
        <v>4</v>
      </c>
      <c r="Q658">
        <v>3</v>
      </c>
      <c r="R658">
        <v>1</v>
      </c>
      <c r="S658">
        <v>1</v>
      </c>
      <c r="T658">
        <v>1</v>
      </c>
      <c r="U658">
        <v>0</v>
      </c>
    </row>
    <row r="659" spans="1:21" x14ac:dyDescent="0.35">
      <c r="A659">
        <v>29</v>
      </c>
      <c r="B659" t="str" cm="1">
        <f t="array" ref="B659">_xlfn.IFS(A659&gt;40,"Senior",A659&gt;30,"Adult",A659&gt;=18,"Teenager")</f>
        <v>Teenager</v>
      </c>
      <c r="C659" t="s">
        <v>22</v>
      </c>
      <c r="D659">
        <f t="shared" si="10"/>
        <v>0</v>
      </c>
      <c r="E659" t="s">
        <v>23</v>
      </c>
      <c r="F659">
        <v>1</v>
      </c>
      <c r="G659" t="s">
        <v>20</v>
      </c>
      <c r="H659">
        <v>2</v>
      </c>
      <c r="I659">
        <v>1</v>
      </c>
      <c r="J659" t="s">
        <v>26</v>
      </c>
      <c r="K659">
        <v>4</v>
      </c>
      <c r="L659">
        <v>2532</v>
      </c>
      <c r="M659" t="str" cm="1">
        <f t="array" ref="M659">_xlfn.IFS(L659&lt;= 7000,"Low",L659&lt;=15000,"Medium",L659&lt;=20000,"High")</f>
        <v>Low</v>
      </c>
      <c r="N659" t="s">
        <v>22</v>
      </c>
      <c r="O659">
        <v>14</v>
      </c>
      <c r="P659">
        <v>3</v>
      </c>
      <c r="Q659">
        <v>3</v>
      </c>
      <c r="R659">
        <v>8</v>
      </c>
      <c r="S659">
        <v>3</v>
      </c>
      <c r="T659">
        <v>4</v>
      </c>
      <c r="U659">
        <v>3</v>
      </c>
    </row>
    <row r="660" spans="1:21" x14ac:dyDescent="0.35">
      <c r="A660">
        <v>44</v>
      </c>
      <c r="B660" t="str" cm="1">
        <f t="array" ref="B660">_xlfn.IFS(A660&gt;40,"Senior",A660&gt;30,"Adult",A660&gt;=18,"Teenager")</f>
        <v>Senior</v>
      </c>
      <c r="C660" t="s">
        <v>22</v>
      </c>
      <c r="D660">
        <f t="shared" si="10"/>
        <v>0</v>
      </c>
      <c r="E660" t="s">
        <v>23</v>
      </c>
      <c r="F660">
        <v>2</v>
      </c>
      <c r="G660" t="s">
        <v>24</v>
      </c>
      <c r="H660">
        <v>3</v>
      </c>
      <c r="I660">
        <v>1</v>
      </c>
      <c r="J660" t="s">
        <v>25</v>
      </c>
      <c r="K660">
        <v>1</v>
      </c>
      <c r="L660">
        <v>2559</v>
      </c>
      <c r="M660" t="str" cm="1">
        <f t="array" ref="M660">_xlfn.IFS(L660&lt;= 7000,"Low",L660&lt;=15000,"Medium",L660&lt;=20000,"High")</f>
        <v>Low</v>
      </c>
      <c r="N660" t="s">
        <v>18</v>
      </c>
      <c r="O660">
        <v>13</v>
      </c>
      <c r="P660">
        <v>3</v>
      </c>
      <c r="Q660">
        <v>4</v>
      </c>
      <c r="R660">
        <v>8</v>
      </c>
      <c r="S660">
        <v>3</v>
      </c>
      <c r="T660">
        <v>8</v>
      </c>
      <c r="U660">
        <v>7</v>
      </c>
    </row>
    <row r="661" spans="1:21" x14ac:dyDescent="0.35">
      <c r="A661">
        <v>28</v>
      </c>
      <c r="B661" t="str" cm="1">
        <f t="array" ref="B661">_xlfn.IFS(A661&gt;40,"Senior",A661&gt;30,"Adult",A661&gt;=18,"Teenager")</f>
        <v>Teenager</v>
      </c>
      <c r="C661" t="s">
        <v>22</v>
      </c>
      <c r="D661">
        <f t="shared" si="10"/>
        <v>0</v>
      </c>
      <c r="E661" t="s">
        <v>19</v>
      </c>
      <c r="F661">
        <v>1</v>
      </c>
      <c r="G661" t="s">
        <v>24</v>
      </c>
      <c r="H661">
        <v>3</v>
      </c>
      <c r="I661">
        <v>2</v>
      </c>
      <c r="J661" t="s">
        <v>21</v>
      </c>
      <c r="K661">
        <v>4</v>
      </c>
      <c r="L661">
        <v>4908</v>
      </c>
      <c r="M661" t="str" cm="1">
        <f t="array" ref="M661">_xlfn.IFS(L661&lt;= 7000,"Low",L661&lt;=15000,"Medium",L661&lt;=20000,"High")</f>
        <v>Low</v>
      </c>
      <c r="N661" t="s">
        <v>22</v>
      </c>
      <c r="O661">
        <v>14</v>
      </c>
      <c r="P661">
        <v>3</v>
      </c>
      <c r="Q661">
        <v>2</v>
      </c>
      <c r="R661">
        <v>4</v>
      </c>
      <c r="S661">
        <v>3</v>
      </c>
      <c r="T661">
        <v>4</v>
      </c>
      <c r="U661">
        <v>2</v>
      </c>
    </row>
    <row r="662" spans="1:21" x14ac:dyDescent="0.35">
      <c r="A662">
        <v>58</v>
      </c>
      <c r="B662" t="str" cm="1">
        <f t="array" ref="B662">_xlfn.IFS(A662&gt;40,"Senior",A662&gt;30,"Adult",A662&gt;=18,"Teenager")</f>
        <v>Senior</v>
      </c>
      <c r="C662" t="s">
        <v>18</v>
      </c>
      <c r="D662">
        <f t="shared" si="10"/>
        <v>1</v>
      </c>
      <c r="E662" t="s">
        <v>23</v>
      </c>
      <c r="F662">
        <v>4</v>
      </c>
      <c r="G662" t="s">
        <v>24</v>
      </c>
      <c r="H662">
        <v>2</v>
      </c>
      <c r="I662">
        <v>1</v>
      </c>
      <c r="J662" t="s">
        <v>26</v>
      </c>
      <c r="K662">
        <v>4</v>
      </c>
      <c r="L662">
        <v>2380</v>
      </c>
      <c r="M662" t="str" cm="1">
        <f t="array" ref="M662">_xlfn.IFS(L662&lt;= 7000,"Low",L662&lt;=15000,"Medium",L662&lt;=20000,"High")</f>
        <v>Low</v>
      </c>
      <c r="N662" t="s">
        <v>18</v>
      </c>
      <c r="O662">
        <v>14</v>
      </c>
      <c r="P662">
        <v>3</v>
      </c>
      <c r="Q662">
        <v>4</v>
      </c>
      <c r="R662">
        <v>3</v>
      </c>
      <c r="S662">
        <v>2</v>
      </c>
      <c r="T662">
        <v>1</v>
      </c>
      <c r="U662">
        <v>0</v>
      </c>
    </row>
    <row r="663" spans="1:21" x14ac:dyDescent="0.35">
      <c r="A663">
        <v>43</v>
      </c>
      <c r="B663" t="str" cm="1">
        <f t="array" ref="B663">_xlfn.IFS(A663&gt;40,"Senior",A663&gt;30,"Adult",A663&gt;=18,"Teenager")</f>
        <v>Senior</v>
      </c>
      <c r="C663" t="s">
        <v>22</v>
      </c>
      <c r="D663">
        <f t="shared" si="10"/>
        <v>0</v>
      </c>
      <c r="E663" t="s">
        <v>23</v>
      </c>
      <c r="F663">
        <v>1</v>
      </c>
      <c r="G663" t="s">
        <v>20</v>
      </c>
      <c r="H663">
        <v>3</v>
      </c>
      <c r="I663">
        <v>2</v>
      </c>
      <c r="J663" t="s">
        <v>27</v>
      </c>
      <c r="K663">
        <v>2</v>
      </c>
      <c r="L663">
        <v>4765</v>
      </c>
      <c r="M663" t="str" cm="1">
        <f t="array" ref="M663">_xlfn.IFS(L663&lt;= 7000,"Low",L663&lt;=15000,"Medium",L663&lt;=20000,"High")</f>
        <v>Low</v>
      </c>
      <c r="N663" t="s">
        <v>22</v>
      </c>
      <c r="O663">
        <v>21</v>
      </c>
      <c r="P663">
        <v>4</v>
      </c>
      <c r="Q663">
        <v>3</v>
      </c>
      <c r="R663">
        <v>4</v>
      </c>
      <c r="S663">
        <v>4</v>
      </c>
      <c r="T663">
        <v>1</v>
      </c>
      <c r="U663">
        <v>0</v>
      </c>
    </row>
    <row r="664" spans="1:21" x14ac:dyDescent="0.35">
      <c r="A664">
        <v>20</v>
      </c>
      <c r="B664" t="str" cm="1">
        <f t="array" ref="B664">_xlfn.IFS(A664&gt;40,"Senior",A664&gt;30,"Adult",A664&gt;=18,"Teenager")</f>
        <v>Teenager</v>
      </c>
      <c r="C664" t="s">
        <v>18</v>
      </c>
      <c r="D664">
        <f t="shared" si="10"/>
        <v>1</v>
      </c>
      <c r="E664" t="s">
        <v>19</v>
      </c>
      <c r="F664">
        <v>3</v>
      </c>
      <c r="G664" t="s">
        <v>20</v>
      </c>
      <c r="H664">
        <v>2</v>
      </c>
      <c r="I664">
        <v>1</v>
      </c>
      <c r="J664" t="s">
        <v>30</v>
      </c>
      <c r="K664">
        <v>3</v>
      </c>
      <c r="L664">
        <v>2044</v>
      </c>
      <c r="M664" t="str" cm="1">
        <f t="array" ref="M664">_xlfn.IFS(L664&lt;= 7000,"Low",L664&lt;=15000,"Medium",L664&lt;=20000,"High")</f>
        <v>Low</v>
      </c>
      <c r="N664" t="s">
        <v>22</v>
      </c>
      <c r="O664">
        <v>13</v>
      </c>
      <c r="P664">
        <v>3</v>
      </c>
      <c r="Q664">
        <v>4</v>
      </c>
      <c r="R664">
        <v>2</v>
      </c>
      <c r="S664">
        <v>2</v>
      </c>
      <c r="T664">
        <v>2</v>
      </c>
      <c r="U664">
        <v>2</v>
      </c>
    </row>
    <row r="665" spans="1:21" x14ac:dyDescent="0.35">
      <c r="A665">
        <v>21</v>
      </c>
      <c r="B665" t="str" cm="1">
        <f t="array" ref="B665">_xlfn.IFS(A665&gt;40,"Senior",A665&gt;30,"Adult",A665&gt;=18,"Teenager")</f>
        <v>Teenager</v>
      </c>
      <c r="C665" t="s">
        <v>18</v>
      </c>
      <c r="D665">
        <f t="shared" si="10"/>
        <v>1</v>
      </c>
      <c r="E665" t="s">
        <v>23</v>
      </c>
      <c r="F665">
        <v>4</v>
      </c>
      <c r="G665" t="s">
        <v>20</v>
      </c>
      <c r="H665">
        <v>3</v>
      </c>
      <c r="I665">
        <v>1</v>
      </c>
      <c r="J665" t="s">
        <v>25</v>
      </c>
      <c r="K665">
        <v>4</v>
      </c>
      <c r="L665">
        <v>2693</v>
      </c>
      <c r="M665" t="str" cm="1">
        <f t="array" ref="M665">_xlfn.IFS(L665&lt;= 7000,"Low",L665&lt;=15000,"Medium",L665&lt;=20000,"High")</f>
        <v>Low</v>
      </c>
      <c r="N665" t="s">
        <v>22</v>
      </c>
      <c r="O665">
        <v>19</v>
      </c>
      <c r="P665">
        <v>3</v>
      </c>
      <c r="Q665">
        <v>1</v>
      </c>
      <c r="R665">
        <v>1</v>
      </c>
      <c r="S665">
        <v>2</v>
      </c>
      <c r="T665">
        <v>1</v>
      </c>
      <c r="U665">
        <v>0</v>
      </c>
    </row>
    <row r="666" spans="1:21" x14ac:dyDescent="0.35">
      <c r="A666">
        <v>36</v>
      </c>
      <c r="B666" t="str" cm="1">
        <f t="array" ref="B666">_xlfn.IFS(A666&gt;40,"Senior",A666&gt;30,"Adult",A666&gt;=18,"Teenager")</f>
        <v>Adult</v>
      </c>
      <c r="C666" t="s">
        <v>22</v>
      </c>
      <c r="D666">
        <f t="shared" si="10"/>
        <v>0</v>
      </c>
      <c r="E666" t="s">
        <v>23</v>
      </c>
      <c r="F666">
        <v>3</v>
      </c>
      <c r="G666" t="s">
        <v>24</v>
      </c>
      <c r="H666">
        <v>3</v>
      </c>
      <c r="I666">
        <v>2</v>
      </c>
      <c r="J666" t="s">
        <v>28</v>
      </c>
      <c r="K666">
        <v>4</v>
      </c>
      <c r="L666">
        <v>6586</v>
      </c>
      <c r="M666" t="str" cm="1">
        <f t="array" ref="M666">_xlfn.IFS(L666&lt;= 7000,"Low",L666&lt;=15000,"Medium",L666&lt;=20000,"High")</f>
        <v>Low</v>
      </c>
      <c r="N666" t="s">
        <v>18</v>
      </c>
      <c r="O666">
        <v>17</v>
      </c>
      <c r="P666">
        <v>3</v>
      </c>
      <c r="Q666">
        <v>1</v>
      </c>
      <c r="R666">
        <v>17</v>
      </c>
      <c r="S666">
        <v>2</v>
      </c>
      <c r="T666">
        <v>16</v>
      </c>
      <c r="U666">
        <v>8</v>
      </c>
    </row>
    <row r="667" spans="1:21" x14ac:dyDescent="0.35">
      <c r="A667">
        <v>47</v>
      </c>
      <c r="B667" t="str" cm="1">
        <f t="array" ref="B667">_xlfn.IFS(A667&gt;40,"Senior",A667&gt;30,"Adult",A667&gt;=18,"Teenager")</f>
        <v>Senior</v>
      </c>
      <c r="C667" t="s">
        <v>22</v>
      </c>
      <c r="D667">
        <f t="shared" si="10"/>
        <v>0</v>
      </c>
      <c r="E667" t="s">
        <v>19</v>
      </c>
      <c r="F667">
        <v>4</v>
      </c>
      <c r="G667" t="s">
        <v>20</v>
      </c>
      <c r="H667">
        <v>2</v>
      </c>
      <c r="I667">
        <v>1</v>
      </c>
      <c r="J667" t="s">
        <v>30</v>
      </c>
      <c r="K667">
        <v>4</v>
      </c>
      <c r="L667">
        <v>3294</v>
      </c>
      <c r="M667" t="str" cm="1">
        <f t="array" ref="M667">_xlfn.IFS(L667&lt;= 7000,"Low",L667&lt;=15000,"Medium",L667&lt;=20000,"High")</f>
        <v>Low</v>
      </c>
      <c r="N667" t="s">
        <v>18</v>
      </c>
      <c r="O667">
        <v>18</v>
      </c>
      <c r="P667">
        <v>3</v>
      </c>
      <c r="Q667">
        <v>1</v>
      </c>
      <c r="R667">
        <v>3</v>
      </c>
      <c r="S667">
        <v>2</v>
      </c>
      <c r="T667">
        <v>3</v>
      </c>
      <c r="U667">
        <v>2</v>
      </c>
    </row>
    <row r="668" spans="1:21" x14ac:dyDescent="0.35">
      <c r="A668">
        <v>22</v>
      </c>
      <c r="B668" t="str" cm="1">
        <f t="array" ref="B668">_xlfn.IFS(A668&gt;40,"Senior",A668&gt;30,"Adult",A668&gt;=18,"Teenager")</f>
        <v>Teenager</v>
      </c>
      <c r="C668" t="s">
        <v>18</v>
      </c>
      <c r="D668">
        <f t="shared" si="10"/>
        <v>1</v>
      </c>
      <c r="E668" t="s">
        <v>23</v>
      </c>
      <c r="F668">
        <v>2</v>
      </c>
      <c r="G668" t="s">
        <v>20</v>
      </c>
      <c r="H668">
        <v>3</v>
      </c>
      <c r="I668">
        <v>2</v>
      </c>
      <c r="J668" t="s">
        <v>27</v>
      </c>
      <c r="K668">
        <v>3</v>
      </c>
      <c r="L668">
        <v>4171</v>
      </c>
      <c r="M668" t="str" cm="1">
        <f t="array" ref="M668">_xlfn.IFS(L668&lt;= 7000,"Low",L668&lt;=15000,"Medium",L668&lt;=20000,"High")</f>
        <v>Low</v>
      </c>
      <c r="N668" t="s">
        <v>18</v>
      </c>
      <c r="O668">
        <v>19</v>
      </c>
      <c r="P668">
        <v>3</v>
      </c>
      <c r="Q668">
        <v>1</v>
      </c>
      <c r="R668">
        <v>4</v>
      </c>
      <c r="S668">
        <v>4</v>
      </c>
      <c r="T668">
        <v>3</v>
      </c>
      <c r="U668">
        <v>2</v>
      </c>
    </row>
    <row r="669" spans="1:21" x14ac:dyDescent="0.35">
      <c r="A669">
        <v>41</v>
      </c>
      <c r="B669" t="str" cm="1">
        <f t="array" ref="B669">_xlfn.IFS(A669&gt;40,"Senior",A669&gt;30,"Adult",A669&gt;=18,"Teenager")</f>
        <v>Senior</v>
      </c>
      <c r="C669" t="s">
        <v>18</v>
      </c>
      <c r="D669">
        <f t="shared" si="10"/>
        <v>1</v>
      </c>
      <c r="E669" t="s">
        <v>23</v>
      </c>
      <c r="F669">
        <v>2</v>
      </c>
      <c r="G669" t="s">
        <v>20</v>
      </c>
      <c r="H669">
        <v>1</v>
      </c>
      <c r="I669">
        <v>1</v>
      </c>
      <c r="J669" t="s">
        <v>26</v>
      </c>
      <c r="K669">
        <v>4</v>
      </c>
      <c r="L669">
        <v>2778</v>
      </c>
      <c r="M669" t="str" cm="1">
        <f t="array" ref="M669">_xlfn.IFS(L669&lt;= 7000,"Low",L669&lt;=15000,"Medium",L669&lt;=20000,"High")</f>
        <v>Low</v>
      </c>
      <c r="N669" t="s">
        <v>18</v>
      </c>
      <c r="O669">
        <v>13</v>
      </c>
      <c r="P669">
        <v>3</v>
      </c>
      <c r="Q669">
        <v>3</v>
      </c>
      <c r="R669">
        <v>10</v>
      </c>
      <c r="S669">
        <v>2</v>
      </c>
      <c r="T669">
        <v>7</v>
      </c>
      <c r="U669">
        <v>7</v>
      </c>
    </row>
    <row r="670" spans="1:21" x14ac:dyDescent="0.35">
      <c r="A670">
        <v>28</v>
      </c>
      <c r="B670" t="str" cm="1">
        <f t="array" ref="B670">_xlfn.IFS(A670&gt;40,"Senior",A670&gt;30,"Adult",A670&gt;=18,"Teenager")</f>
        <v>Teenager</v>
      </c>
      <c r="C670" t="s">
        <v>22</v>
      </c>
      <c r="D670">
        <f t="shared" si="10"/>
        <v>0</v>
      </c>
      <c r="E670" t="s">
        <v>23</v>
      </c>
      <c r="F670">
        <v>3</v>
      </c>
      <c r="G670" t="s">
        <v>20</v>
      </c>
      <c r="H670">
        <v>3</v>
      </c>
      <c r="I670">
        <v>1</v>
      </c>
      <c r="J670" t="s">
        <v>25</v>
      </c>
      <c r="K670">
        <v>3</v>
      </c>
      <c r="L670">
        <v>2377</v>
      </c>
      <c r="M670" t="str" cm="1">
        <f t="array" ref="M670">_xlfn.IFS(L670&lt;= 7000,"Low",L670&lt;=15000,"Medium",L670&lt;=20000,"High")</f>
        <v>Low</v>
      </c>
      <c r="N670" t="s">
        <v>22</v>
      </c>
      <c r="O670">
        <v>18</v>
      </c>
      <c r="P670">
        <v>3</v>
      </c>
      <c r="Q670">
        <v>2</v>
      </c>
      <c r="R670">
        <v>6</v>
      </c>
      <c r="S670">
        <v>3</v>
      </c>
      <c r="T670">
        <v>2</v>
      </c>
      <c r="U670">
        <v>2</v>
      </c>
    </row>
    <row r="671" spans="1:21" x14ac:dyDescent="0.35">
      <c r="A671">
        <v>39</v>
      </c>
      <c r="B671" t="str" cm="1">
        <f t="array" ref="B671">_xlfn.IFS(A671&gt;40,"Senior",A671&gt;30,"Adult",A671&gt;=18,"Teenager")</f>
        <v>Adult</v>
      </c>
      <c r="C671" t="s">
        <v>18</v>
      </c>
      <c r="D671">
        <f t="shared" si="10"/>
        <v>1</v>
      </c>
      <c r="E671" t="s">
        <v>23</v>
      </c>
      <c r="F671">
        <v>4</v>
      </c>
      <c r="G671" t="s">
        <v>24</v>
      </c>
      <c r="H671">
        <v>3</v>
      </c>
      <c r="I671">
        <v>1</v>
      </c>
      <c r="J671" t="s">
        <v>26</v>
      </c>
      <c r="K671">
        <v>1</v>
      </c>
      <c r="L671">
        <v>2404</v>
      </c>
      <c r="M671" t="str" cm="1">
        <f t="array" ref="M671">_xlfn.IFS(L671&lt;= 7000,"Low",L671&lt;=15000,"Medium",L671&lt;=20000,"High")</f>
        <v>Low</v>
      </c>
      <c r="N671" t="s">
        <v>18</v>
      </c>
      <c r="O671">
        <v>21</v>
      </c>
      <c r="P671">
        <v>4</v>
      </c>
      <c r="Q671">
        <v>4</v>
      </c>
      <c r="R671">
        <v>8</v>
      </c>
      <c r="S671">
        <v>1</v>
      </c>
      <c r="T671">
        <v>2</v>
      </c>
      <c r="U671">
        <v>2</v>
      </c>
    </row>
    <row r="672" spans="1:21" x14ac:dyDescent="0.35">
      <c r="A672">
        <v>27</v>
      </c>
      <c r="B672" t="str" cm="1">
        <f t="array" ref="B672">_xlfn.IFS(A672&gt;40,"Senior",A672&gt;30,"Adult",A672&gt;=18,"Teenager")</f>
        <v>Teenager</v>
      </c>
      <c r="C672" t="s">
        <v>22</v>
      </c>
      <c r="D672">
        <f t="shared" si="10"/>
        <v>0</v>
      </c>
      <c r="E672" t="s">
        <v>23</v>
      </c>
      <c r="F672">
        <v>2</v>
      </c>
      <c r="G672" t="s">
        <v>20</v>
      </c>
      <c r="H672">
        <v>3</v>
      </c>
      <c r="I672">
        <v>1</v>
      </c>
      <c r="J672" t="s">
        <v>25</v>
      </c>
      <c r="K672">
        <v>3</v>
      </c>
      <c r="L672">
        <v>2318</v>
      </c>
      <c r="M672" t="str" cm="1">
        <f t="array" ref="M672">_xlfn.IFS(L672&lt;= 7000,"Low",L672&lt;=15000,"Medium",L672&lt;=20000,"High")</f>
        <v>Low</v>
      </c>
      <c r="N672" t="s">
        <v>22</v>
      </c>
      <c r="O672">
        <v>19</v>
      </c>
      <c r="P672">
        <v>3</v>
      </c>
      <c r="Q672">
        <v>3</v>
      </c>
      <c r="R672">
        <v>1</v>
      </c>
      <c r="S672">
        <v>3</v>
      </c>
      <c r="T672">
        <v>1</v>
      </c>
      <c r="U672">
        <v>1</v>
      </c>
    </row>
    <row r="673" spans="1:21" x14ac:dyDescent="0.35">
      <c r="A673">
        <v>34</v>
      </c>
      <c r="B673" t="str" cm="1">
        <f t="array" ref="B673">_xlfn.IFS(A673&gt;40,"Senior",A673&gt;30,"Adult",A673&gt;=18,"Teenager")</f>
        <v>Adult</v>
      </c>
      <c r="C673" t="s">
        <v>22</v>
      </c>
      <c r="D673">
        <f t="shared" si="10"/>
        <v>0</v>
      </c>
      <c r="E673" t="s">
        <v>23</v>
      </c>
      <c r="F673">
        <v>2</v>
      </c>
      <c r="G673" t="s">
        <v>24</v>
      </c>
      <c r="H673">
        <v>3</v>
      </c>
      <c r="I673">
        <v>1</v>
      </c>
      <c r="J673" t="s">
        <v>26</v>
      </c>
      <c r="K673">
        <v>2</v>
      </c>
      <c r="L673">
        <v>2008</v>
      </c>
      <c r="M673" t="str" cm="1">
        <f t="array" ref="M673">_xlfn.IFS(L673&lt;= 7000,"Low",L673&lt;=15000,"Medium",L673&lt;=20000,"High")</f>
        <v>Low</v>
      </c>
      <c r="N673" t="s">
        <v>22</v>
      </c>
      <c r="O673">
        <v>14</v>
      </c>
      <c r="P673">
        <v>3</v>
      </c>
      <c r="Q673">
        <v>2</v>
      </c>
      <c r="R673">
        <v>1</v>
      </c>
      <c r="S673">
        <v>3</v>
      </c>
      <c r="T673">
        <v>1</v>
      </c>
      <c r="U673">
        <v>0</v>
      </c>
    </row>
    <row r="674" spans="1:21" x14ac:dyDescent="0.35">
      <c r="A674">
        <v>42</v>
      </c>
      <c r="B674" t="str" cm="1">
        <f t="array" ref="B674">_xlfn.IFS(A674&gt;40,"Senior",A674&gt;30,"Adult",A674&gt;=18,"Teenager")</f>
        <v>Senior</v>
      </c>
      <c r="C674" t="s">
        <v>22</v>
      </c>
      <c r="D674">
        <f t="shared" si="10"/>
        <v>0</v>
      </c>
      <c r="E674" t="s">
        <v>19</v>
      </c>
      <c r="F674">
        <v>3</v>
      </c>
      <c r="G674" t="s">
        <v>20</v>
      </c>
      <c r="H674">
        <v>2</v>
      </c>
      <c r="I674">
        <v>2</v>
      </c>
      <c r="J674" t="s">
        <v>21</v>
      </c>
      <c r="K674">
        <v>3</v>
      </c>
      <c r="L674">
        <v>6244</v>
      </c>
      <c r="M674" t="str" cm="1">
        <f t="array" ref="M674">_xlfn.IFS(L674&lt;= 7000,"Low",L674&lt;=15000,"Medium",L674&lt;=20000,"High")</f>
        <v>Low</v>
      </c>
      <c r="N674" t="s">
        <v>22</v>
      </c>
      <c r="O674">
        <v>17</v>
      </c>
      <c r="P674">
        <v>3</v>
      </c>
      <c r="Q674">
        <v>1</v>
      </c>
      <c r="R674">
        <v>10</v>
      </c>
      <c r="S674">
        <v>3</v>
      </c>
      <c r="T674">
        <v>5</v>
      </c>
      <c r="U674">
        <v>4</v>
      </c>
    </row>
    <row r="675" spans="1:21" x14ac:dyDescent="0.35">
      <c r="A675">
        <v>33</v>
      </c>
      <c r="B675" t="str" cm="1">
        <f t="array" ref="B675">_xlfn.IFS(A675&gt;40,"Senior",A675&gt;30,"Adult",A675&gt;=18,"Teenager")</f>
        <v>Adult</v>
      </c>
      <c r="C675" t="s">
        <v>22</v>
      </c>
      <c r="D675">
        <f t="shared" si="10"/>
        <v>0</v>
      </c>
      <c r="E675" t="s">
        <v>23</v>
      </c>
      <c r="F675">
        <v>3</v>
      </c>
      <c r="G675" t="s">
        <v>24</v>
      </c>
      <c r="H675">
        <v>2</v>
      </c>
      <c r="I675">
        <v>1</v>
      </c>
      <c r="J675" t="s">
        <v>25</v>
      </c>
      <c r="K675">
        <v>1</v>
      </c>
      <c r="L675">
        <v>2799</v>
      </c>
      <c r="M675" t="str" cm="1">
        <f t="array" ref="M675">_xlfn.IFS(L675&lt;= 7000,"Low",L675&lt;=15000,"Medium",L675&lt;=20000,"High")</f>
        <v>Low</v>
      </c>
      <c r="N675" t="s">
        <v>18</v>
      </c>
      <c r="O675">
        <v>11</v>
      </c>
      <c r="P675">
        <v>3</v>
      </c>
      <c r="Q675">
        <v>2</v>
      </c>
      <c r="R675">
        <v>6</v>
      </c>
      <c r="S675">
        <v>3</v>
      </c>
      <c r="T675">
        <v>3</v>
      </c>
      <c r="U675">
        <v>2</v>
      </c>
    </row>
    <row r="676" spans="1:21" x14ac:dyDescent="0.35">
      <c r="A676">
        <v>58</v>
      </c>
      <c r="B676" t="str" cm="1">
        <f t="array" ref="B676">_xlfn.IFS(A676&gt;40,"Senior",A676&gt;30,"Adult",A676&gt;=18,"Teenager")</f>
        <v>Senior</v>
      </c>
      <c r="C676" t="s">
        <v>22</v>
      </c>
      <c r="D676">
        <f t="shared" si="10"/>
        <v>0</v>
      </c>
      <c r="E676" t="s">
        <v>23</v>
      </c>
      <c r="F676">
        <v>3</v>
      </c>
      <c r="G676" t="s">
        <v>20</v>
      </c>
      <c r="H676">
        <v>2</v>
      </c>
      <c r="I676">
        <v>3</v>
      </c>
      <c r="J676" t="s">
        <v>28</v>
      </c>
      <c r="K676">
        <v>2</v>
      </c>
      <c r="L676">
        <v>10552</v>
      </c>
      <c r="M676" t="str" cm="1">
        <f t="array" ref="M676">_xlfn.IFS(L676&lt;= 7000,"Low",L676&lt;=15000,"Medium",L676&lt;=20000,"High")</f>
        <v>Medium</v>
      </c>
      <c r="N676" t="s">
        <v>18</v>
      </c>
      <c r="O676">
        <v>13</v>
      </c>
      <c r="P676">
        <v>3</v>
      </c>
      <c r="Q676">
        <v>4</v>
      </c>
      <c r="R676">
        <v>24</v>
      </c>
      <c r="S676">
        <v>3</v>
      </c>
      <c r="T676">
        <v>6</v>
      </c>
      <c r="U676">
        <v>0</v>
      </c>
    </row>
    <row r="677" spans="1:21" x14ac:dyDescent="0.35">
      <c r="A677">
        <v>31</v>
      </c>
      <c r="B677" t="str" cm="1">
        <f t="array" ref="B677">_xlfn.IFS(A677&gt;40,"Senior",A677&gt;30,"Adult",A677&gt;=18,"Teenager")</f>
        <v>Adult</v>
      </c>
      <c r="C677" t="s">
        <v>22</v>
      </c>
      <c r="D677">
        <f t="shared" si="10"/>
        <v>0</v>
      </c>
      <c r="E677" t="s">
        <v>19</v>
      </c>
      <c r="F677">
        <v>2</v>
      </c>
      <c r="G677" t="s">
        <v>24</v>
      </c>
      <c r="H677">
        <v>2</v>
      </c>
      <c r="I677">
        <v>1</v>
      </c>
      <c r="J677" t="s">
        <v>30</v>
      </c>
      <c r="K677">
        <v>3</v>
      </c>
      <c r="L677">
        <v>2329</v>
      </c>
      <c r="M677" t="str" cm="1">
        <f t="array" ref="M677">_xlfn.IFS(L677&lt;= 7000,"Low",L677&lt;=15000,"Medium",L677&lt;=20000,"High")</f>
        <v>Low</v>
      </c>
      <c r="N677" t="s">
        <v>22</v>
      </c>
      <c r="O677">
        <v>15</v>
      </c>
      <c r="P677">
        <v>3</v>
      </c>
      <c r="Q677">
        <v>2</v>
      </c>
      <c r="R677">
        <v>13</v>
      </c>
      <c r="S677">
        <v>4</v>
      </c>
      <c r="T677">
        <v>7</v>
      </c>
      <c r="U677">
        <v>7</v>
      </c>
    </row>
    <row r="678" spans="1:21" x14ac:dyDescent="0.35">
      <c r="A678">
        <v>35</v>
      </c>
      <c r="B678" t="str" cm="1">
        <f t="array" ref="B678">_xlfn.IFS(A678&gt;40,"Senior",A678&gt;30,"Adult",A678&gt;=18,"Teenager")</f>
        <v>Adult</v>
      </c>
      <c r="C678" t="s">
        <v>22</v>
      </c>
      <c r="D678">
        <f t="shared" si="10"/>
        <v>0</v>
      </c>
      <c r="E678" t="s">
        <v>23</v>
      </c>
      <c r="F678">
        <v>4</v>
      </c>
      <c r="G678" t="s">
        <v>20</v>
      </c>
      <c r="H678">
        <v>3</v>
      </c>
      <c r="I678">
        <v>2</v>
      </c>
      <c r="J678" t="s">
        <v>28</v>
      </c>
      <c r="K678">
        <v>4</v>
      </c>
      <c r="L678">
        <v>4014</v>
      </c>
      <c r="M678" t="str" cm="1">
        <f t="array" ref="M678">_xlfn.IFS(L678&lt;= 7000,"Low",L678&lt;=15000,"Medium",L678&lt;=20000,"High")</f>
        <v>Low</v>
      </c>
      <c r="N678" t="s">
        <v>18</v>
      </c>
      <c r="O678">
        <v>25</v>
      </c>
      <c r="P678">
        <v>4</v>
      </c>
      <c r="Q678">
        <v>4</v>
      </c>
      <c r="R678">
        <v>10</v>
      </c>
      <c r="S678">
        <v>1</v>
      </c>
      <c r="T678">
        <v>10</v>
      </c>
      <c r="U678">
        <v>6</v>
      </c>
    </row>
    <row r="679" spans="1:21" x14ac:dyDescent="0.35">
      <c r="A679">
        <v>49</v>
      </c>
      <c r="B679" t="str" cm="1">
        <f t="array" ref="B679">_xlfn.IFS(A679&gt;40,"Senior",A679&gt;30,"Adult",A679&gt;=18,"Teenager")</f>
        <v>Senior</v>
      </c>
      <c r="C679" t="s">
        <v>22</v>
      </c>
      <c r="D679">
        <f t="shared" si="10"/>
        <v>0</v>
      </c>
      <c r="E679" t="s">
        <v>23</v>
      </c>
      <c r="F679">
        <v>1</v>
      </c>
      <c r="G679" t="s">
        <v>20</v>
      </c>
      <c r="H679">
        <v>3</v>
      </c>
      <c r="I679">
        <v>3</v>
      </c>
      <c r="J679" t="s">
        <v>26</v>
      </c>
      <c r="K679">
        <v>2</v>
      </c>
      <c r="L679">
        <v>7403</v>
      </c>
      <c r="M679" t="str" cm="1">
        <f t="array" ref="M679">_xlfn.IFS(L679&lt;= 7000,"Low",L679&lt;=15000,"Medium",L679&lt;=20000,"High")</f>
        <v>Medium</v>
      </c>
      <c r="N679" t="s">
        <v>22</v>
      </c>
      <c r="O679">
        <v>11</v>
      </c>
      <c r="P679">
        <v>3</v>
      </c>
      <c r="Q679">
        <v>3</v>
      </c>
      <c r="R679">
        <v>29</v>
      </c>
      <c r="S679">
        <v>2</v>
      </c>
      <c r="T679">
        <v>26</v>
      </c>
      <c r="U679">
        <v>9</v>
      </c>
    </row>
    <row r="680" spans="1:21" x14ac:dyDescent="0.35">
      <c r="A680">
        <v>48</v>
      </c>
      <c r="B680" t="str" cm="1">
        <f t="array" ref="B680">_xlfn.IFS(A680&gt;40,"Senior",A680&gt;30,"Adult",A680&gt;=18,"Teenager")</f>
        <v>Senior</v>
      </c>
      <c r="C680" t="s">
        <v>22</v>
      </c>
      <c r="D680">
        <f t="shared" si="10"/>
        <v>0</v>
      </c>
      <c r="E680" t="s">
        <v>23</v>
      </c>
      <c r="F680">
        <v>4</v>
      </c>
      <c r="G680" t="s">
        <v>24</v>
      </c>
      <c r="H680">
        <v>3</v>
      </c>
      <c r="I680">
        <v>1</v>
      </c>
      <c r="J680" t="s">
        <v>25</v>
      </c>
      <c r="K680">
        <v>3</v>
      </c>
      <c r="L680">
        <v>2259</v>
      </c>
      <c r="M680" t="str" cm="1">
        <f t="array" ref="M680">_xlfn.IFS(L680&lt;= 7000,"Low",L680&lt;=15000,"Medium",L680&lt;=20000,"High")</f>
        <v>Low</v>
      </c>
      <c r="N680" t="s">
        <v>22</v>
      </c>
      <c r="O680">
        <v>17</v>
      </c>
      <c r="P680">
        <v>3</v>
      </c>
      <c r="Q680">
        <v>1</v>
      </c>
      <c r="R680">
        <v>13</v>
      </c>
      <c r="S680">
        <v>2</v>
      </c>
      <c r="T680">
        <v>0</v>
      </c>
      <c r="U680">
        <v>0</v>
      </c>
    </row>
    <row r="681" spans="1:21" x14ac:dyDescent="0.35">
      <c r="A681">
        <v>31</v>
      </c>
      <c r="B681" t="str" cm="1">
        <f t="array" ref="B681">_xlfn.IFS(A681&gt;40,"Senior",A681&gt;30,"Adult",A681&gt;=18,"Teenager")</f>
        <v>Adult</v>
      </c>
      <c r="C681" t="s">
        <v>22</v>
      </c>
      <c r="D681">
        <f t="shared" si="10"/>
        <v>0</v>
      </c>
      <c r="E681" t="s">
        <v>19</v>
      </c>
      <c r="F681">
        <v>4</v>
      </c>
      <c r="G681" t="s">
        <v>20</v>
      </c>
      <c r="H681">
        <v>3</v>
      </c>
      <c r="I681">
        <v>2</v>
      </c>
      <c r="J681" t="s">
        <v>21</v>
      </c>
      <c r="K681">
        <v>3</v>
      </c>
      <c r="L681">
        <v>6932</v>
      </c>
      <c r="M681" t="str" cm="1">
        <f t="array" ref="M681">_xlfn.IFS(L681&lt;= 7000,"Low",L681&lt;=15000,"Medium",L681&lt;=20000,"High")</f>
        <v>Low</v>
      </c>
      <c r="N681" t="s">
        <v>22</v>
      </c>
      <c r="O681">
        <v>13</v>
      </c>
      <c r="P681">
        <v>3</v>
      </c>
      <c r="Q681">
        <v>4</v>
      </c>
      <c r="R681">
        <v>9</v>
      </c>
      <c r="S681">
        <v>2</v>
      </c>
      <c r="T681">
        <v>9</v>
      </c>
      <c r="U681">
        <v>8</v>
      </c>
    </row>
    <row r="682" spans="1:21" x14ac:dyDescent="0.35">
      <c r="A682">
        <v>36</v>
      </c>
      <c r="B682" t="str" cm="1">
        <f t="array" ref="B682">_xlfn.IFS(A682&gt;40,"Senior",A682&gt;30,"Adult",A682&gt;=18,"Teenager")</f>
        <v>Adult</v>
      </c>
      <c r="C682" t="s">
        <v>22</v>
      </c>
      <c r="D682">
        <f t="shared" si="10"/>
        <v>0</v>
      </c>
      <c r="E682" t="s">
        <v>23</v>
      </c>
      <c r="F682">
        <v>2</v>
      </c>
      <c r="G682" t="s">
        <v>24</v>
      </c>
      <c r="H682">
        <v>3</v>
      </c>
      <c r="I682">
        <v>1</v>
      </c>
      <c r="J682" t="s">
        <v>25</v>
      </c>
      <c r="K682">
        <v>4</v>
      </c>
      <c r="L682">
        <v>4678</v>
      </c>
      <c r="M682" t="str" cm="1">
        <f t="array" ref="M682">_xlfn.IFS(L682&lt;= 7000,"Low",L682&lt;=15000,"Medium",L682&lt;=20000,"High")</f>
        <v>Low</v>
      </c>
      <c r="N682" t="s">
        <v>22</v>
      </c>
      <c r="O682">
        <v>18</v>
      </c>
      <c r="P682">
        <v>3</v>
      </c>
      <c r="Q682">
        <v>3</v>
      </c>
      <c r="R682">
        <v>8</v>
      </c>
      <c r="S682">
        <v>3</v>
      </c>
      <c r="T682">
        <v>6</v>
      </c>
      <c r="U682">
        <v>2</v>
      </c>
    </row>
    <row r="683" spans="1:21" x14ac:dyDescent="0.35">
      <c r="A683">
        <v>38</v>
      </c>
      <c r="B683" t="str" cm="1">
        <f t="array" ref="B683">_xlfn.IFS(A683&gt;40,"Senior",A683&gt;30,"Adult",A683&gt;=18,"Teenager")</f>
        <v>Adult</v>
      </c>
      <c r="C683" t="s">
        <v>22</v>
      </c>
      <c r="D683">
        <f t="shared" si="10"/>
        <v>0</v>
      </c>
      <c r="E683" t="s">
        <v>23</v>
      </c>
      <c r="F683">
        <v>4</v>
      </c>
      <c r="G683" t="s">
        <v>20</v>
      </c>
      <c r="H683">
        <v>3</v>
      </c>
      <c r="I683">
        <v>3</v>
      </c>
      <c r="J683" t="s">
        <v>31</v>
      </c>
      <c r="K683">
        <v>1</v>
      </c>
      <c r="L683">
        <v>13582</v>
      </c>
      <c r="M683" t="str" cm="1">
        <f t="array" ref="M683">_xlfn.IFS(L683&lt;= 7000,"Low",L683&lt;=15000,"Medium",L683&lt;=20000,"High")</f>
        <v>Medium</v>
      </c>
      <c r="N683" t="s">
        <v>22</v>
      </c>
      <c r="O683">
        <v>13</v>
      </c>
      <c r="P683">
        <v>3</v>
      </c>
      <c r="Q683">
        <v>2</v>
      </c>
      <c r="R683">
        <v>15</v>
      </c>
      <c r="S683">
        <v>3</v>
      </c>
      <c r="T683">
        <v>15</v>
      </c>
      <c r="U683">
        <v>12</v>
      </c>
    </row>
    <row r="684" spans="1:21" x14ac:dyDescent="0.35">
      <c r="A684">
        <v>32</v>
      </c>
      <c r="B684" t="str" cm="1">
        <f t="array" ref="B684">_xlfn.IFS(A684&gt;40,"Senior",A684&gt;30,"Adult",A684&gt;=18,"Teenager")</f>
        <v>Adult</v>
      </c>
      <c r="C684" t="s">
        <v>22</v>
      </c>
      <c r="D684">
        <f t="shared" si="10"/>
        <v>0</v>
      </c>
      <c r="E684" t="s">
        <v>23</v>
      </c>
      <c r="F684">
        <v>3</v>
      </c>
      <c r="G684" t="s">
        <v>20</v>
      </c>
      <c r="H684">
        <v>2</v>
      </c>
      <c r="I684">
        <v>1</v>
      </c>
      <c r="J684" t="s">
        <v>26</v>
      </c>
      <c r="K684">
        <v>2</v>
      </c>
      <c r="L684">
        <v>2332</v>
      </c>
      <c r="M684" t="str" cm="1">
        <f t="array" ref="M684">_xlfn.IFS(L684&lt;= 7000,"Low",L684&lt;=15000,"Medium",L684&lt;=20000,"High")</f>
        <v>Low</v>
      </c>
      <c r="N684" t="s">
        <v>22</v>
      </c>
      <c r="O684">
        <v>20</v>
      </c>
      <c r="P684">
        <v>4</v>
      </c>
      <c r="Q684">
        <v>3</v>
      </c>
      <c r="R684">
        <v>5</v>
      </c>
      <c r="S684">
        <v>3</v>
      </c>
      <c r="T684">
        <v>3</v>
      </c>
      <c r="U684">
        <v>0</v>
      </c>
    </row>
    <row r="685" spans="1:21" x14ac:dyDescent="0.35">
      <c r="A685">
        <v>25</v>
      </c>
      <c r="B685" t="str" cm="1">
        <f t="array" ref="B685">_xlfn.IFS(A685&gt;40,"Senior",A685&gt;30,"Adult",A685&gt;=18,"Teenager")</f>
        <v>Teenager</v>
      </c>
      <c r="C685" t="s">
        <v>18</v>
      </c>
      <c r="D685">
        <f t="shared" si="10"/>
        <v>1</v>
      </c>
      <c r="E685" t="s">
        <v>19</v>
      </c>
      <c r="F685">
        <v>3</v>
      </c>
      <c r="G685" t="s">
        <v>24</v>
      </c>
      <c r="H685">
        <v>2</v>
      </c>
      <c r="I685">
        <v>1</v>
      </c>
      <c r="J685" t="s">
        <v>30</v>
      </c>
      <c r="K685">
        <v>2</v>
      </c>
      <c r="L685">
        <v>2413</v>
      </c>
      <c r="M685" t="str" cm="1">
        <f t="array" ref="M685">_xlfn.IFS(L685&lt;= 7000,"Low",L685&lt;=15000,"Medium",L685&lt;=20000,"High")</f>
        <v>Low</v>
      </c>
      <c r="N685" t="s">
        <v>18</v>
      </c>
      <c r="O685">
        <v>18</v>
      </c>
      <c r="P685">
        <v>3</v>
      </c>
      <c r="Q685">
        <v>3</v>
      </c>
      <c r="R685">
        <v>1</v>
      </c>
      <c r="S685">
        <v>3</v>
      </c>
      <c r="T685">
        <v>1</v>
      </c>
      <c r="U685">
        <v>0</v>
      </c>
    </row>
    <row r="686" spans="1:21" x14ac:dyDescent="0.35">
      <c r="A686">
        <v>40</v>
      </c>
      <c r="B686" t="str" cm="1">
        <f t="array" ref="B686">_xlfn.IFS(A686&gt;40,"Senior",A686&gt;30,"Adult",A686&gt;=18,"Teenager")</f>
        <v>Adult</v>
      </c>
      <c r="C686" t="s">
        <v>22</v>
      </c>
      <c r="D686">
        <f t="shared" si="10"/>
        <v>0</v>
      </c>
      <c r="E686" t="s">
        <v>19</v>
      </c>
      <c r="F686">
        <v>1</v>
      </c>
      <c r="G686" t="s">
        <v>24</v>
      </c>
      <c r="H686">
        <v>2</v>
      </c>
      <c r="I686">
        <v>3</v>
      </c>
      <c r="J686" t="s">
        <v>21</v>
      </c>
      <c r="K686">
        <v>2</v>
      </c>
      <c r="L686">
        <v>9705</v>
      </c>
      <c r="M686" t="str" cm="1">
        <f t="array" ref="M686">_xlfn.IFS(L686&lt;= 7000,"Low",L686&lt;=15000,"Medium",L686&lt;=20000,"High")</f>
        <v>Medium</v>
      </c>
      <c r="N686" t="s">
        <v>22</v>
      </c>
      <c r="O686">
        <v>12</v>
      </c>
      <c r="P686">
        <v>3</v>
      </c>
      <c r="Q686">
        <v>2</v>
      </c>
      <c r="R686">
        <v>11</v>
      </c>
      <c r="S686">
        <v>2</v>
      </c>
      <c r="T686">
        <v>1</v>
      </c>
      <c r="U686">
        <v>0</v>
      </c>
    </row>
    <row r="687" spans="1:21" x14ac:dyDescent="0.35">
      <c r="A687">
        <v>26</v>
      </c>
      <c r="B687" t="str" cm="1">
        <f t="array" ref="B687">_xlfn.IFS(A687&gt;40,"Senior",A687&gt;30,"Adult",A687&gt;=18,"Teenager")</f>
        <v>Teenager</v>
      </c>
      <c r="C687" t="s">
        <v>22</v>
      </c>
      <c r="D687">
        <f t="shared" si="10"/>
        <v>0</v>
      </c>
      <c r="E687" t="s">
        <v>19</v>
      </c>
      <c r="F687">
        <v>3</v>
      </c>
      <c r="G687" t="s">
        <v>24</v>
      </c>
      <c r="H687">
        <v>2</v>
      </c>
      <c r="I687">
        <v>2</v>
      </c>
      <c r="J687" t="s">
        <v>21</v>
      </c>
      <c r="K687">
        <v>1</v>
      </c>
      <c r="L687">
        <v>4294</v>
      </c>
      <c r="M687" t="str" cm="1">
        <f t="array" ref="M687">_xlfn.IFS(L687&lt;= 7000,"Low",L687&lt;=15000,"Medium",L687&lt;=20000,"High")</f>
        <v>Low</v>
      </c>
      <c r="N687" t="s">
        <v>22</v>
      </c>
      <c r="O687">
        <v>12</v>
      </c>
      <c r="P687">
        <v>3</v>
      </c>
      <c r="Q687">
        <v>2</v>
      </c>
      <c r="R687">
        <v>7</v>
      </c>
      <c r="S687">
        <v>3</v>
      </c>
      <c r="T687">
        <v>7</v>
      </c>
      <c r="U687">
        <v>7</v>
      </c>
    </row>
    <row r="688" spans="1:21" x14ac:dyDescent="0.35">
      <c r="A688">
        <v>41</v>
      </c>
      <c r="B688" t="str" cm="1">
        <f t="array" ref="B688">_xlfn.IFS(A688&gt;40,"Senior",A688&gt;30,"Adult",A688&gt;=18,"Teenager")</f>
        <v>Senior</v>
      </c>
      <c r="C688" t="s">
        <v>22</v>
      </c>
      <c r="D688">
        <f t="shared" si="10"/>
        <v>0</v>
      </c>
      <c r="E688" t="s">
        <v>23</v>
      </c>
      <c r="F688">
        <v>4</v>
      </c>
      <c r="G688" t="s">
        <v>24</v>
      </c>
      <c r="H688">
        <v>3</v>
      </c>
      <c r="I688">
        <v>1</v>
      </c>
      <c r="J688" t="s">
        <v>26</v>
      </c>
      <c r="K688">
        <v>1</v>
      </c>
      <c r="L688">
        <v>4721</v>
      </c>
      <c r="M688" t="str" cm="1">
        <f t="array" ref="M688">_xlfn.IFS(L688&lt;= 7000,"Low",L688&lt;=15000,"Medium",L688&lt;=20000,"High")</f>
        <v>Low</v>
      </c>
      <c r="N688" t="s">
        <v>18</v>
      </c>
      <c r="O688">
        <v>13</v>
      </c>
      <c r="P688">
        <v>3</v>
      </c>
      <c r="Q688">
        <v>3</v>
      </c>
      <c r="R688">
        <v>20</v>
      </c>
      <c r="S688">
        <v>3</v>
      </c>
      <c r="T688">
        <v>18</v>
      </c>
      <c r="U688">
        <v>13</v>
      </c>
    </row>
    <row r="689" spans="1:21" x14ac:dyDescent="0.35">
      <c r="A689">
        <v>36</v>
      </c>
      <c r="B689" t="str" cm="1">
        <f t="array" ref="B689">_xlfn.IFS(A689&gt;40,"Senior",A689&gt;30,"Adult",A689&gt;=18,"Teenager")</f>
        <v>Adult</v>
      </c>
      <c r="C689" t="s">
        <v>22</v>
      </c>
      <c r="D689">
        <f t="shared" si="10"/>
        <v>0</v>
      </c>
      <c r="E689" t="s">
        <v>23</v>
      </c>
      <c r="F689">
        <v>3</v>
      </c>
      <c r="G689" t="s">
        <v>24</v>
      </c>
      <c r="H689">
        <v>3</v>
      </c>
      <c r="I689">
        <v>1</v>
      </c>
      <c r="J689" t="s">
        <v>26</v>
      </c>
      <c r="K689">
        <v>3</v>
      </c>
      <c r="L689">
        <v>2519</v>
      </c>
      <c r="M689" t="str" cm="1">
        <f t="array" ref="M689">_xlfn.IFS(L689&lt;= 7000,"Low",L689&lt;=15000,"Medium",L689&lt;=20000,"High")</f>
        <v>Low</v>
      </c>
      <c r="N689" t="s">
        <v>22</v>
      </c>
      <c r="O689">
        <v>21</v>
      </c>
      <c r="P689">
        <v>4</v>
      </c>
      <c r="Q689">
        <v>3</v>
      </c>
      <c r="R689">
        <v>16</v>
      </c>
      <c r="S689">
        <v>3</v>
      </c>
      <c r="T689">
        <v>11</v>
      </c>
      <c r="U689">
        <v>8</v>
      </c>
    </row>
    <row r="690" spans="1:21" x14ac:dyDescent="0.35">
      <c r="A690">
        <v>19</v>
      </c>
      <c r="B690" t="str" cm="1">
        <f t="array" ref="B690">_xlfn.IFS(A690&gt;40,"Senior",A690&gt;30,"Adult",A690&gt;=18,"Teenager")</f>
        <v>Teenager</v>
      </c>
      <c r="C690" t="s">
        <v>18</v>
      </c>
      <c r="D690">
        <f t="shared" si="10"/>
        <v>1</v>
      </c>
      <c r="E690" t="s">
        <v>19</v>
      </c>
      <c r="F690">
        <v>4</v>
      </c>
      <c r="G690" t="s">
        <v>24</v>
      </c>
      <c r="H690">
        <v>2</v>
      </c>
      <c r="I690">
        <v>1</v>
      </c>
      <c r="J690" t="s">
        <v>30</v>
      </c>
      <c r="K690">
        <v>2</v>
      </c>
      <c r="L690">
        <v>2121</v>
      </c>
      <c r="M690" t="str" cm="1">
        <f t="array" ref="M690">_xlfn.IFS(L690&lt;= 7000,"Low",L690&lt;=15000,"Medium",L690&lt;=20000,"High")</f>
        <v>Low</v>
      </c>
      <c r="N690" t="s">
        <v>18</v>
      </c>
      <c r="O690">
        <v>13</v>
      </c>
      <c r="P690">
        <v>3</v>
      </c>
      <c r="Q690">
        <v>2</v>
      </c>
      <c r="R690">
        <v>1</v>
      </c>
      <c r="S690">
        <v>4</v>
      </c>
      <c r="T690">
        <v>1</v>
      </c>
      <c r="U690">
        <v>0</v>
      </c>
    </row>
    <row r="691" spans="1:21" x14ac:dyDescent="0.35">
      <c r="A691">
        <v>20</v>
      </c>
      <c r="B691" t="str" cm="1">
        <f t="array" ref="B691">_xlfn.IFS(A691&gt;40,"Senior",A691&gt;30,"Adult",A691&gt;=18,"Teenager")</f>
        <v>Teenager</v>
      </c>
      <c r="C691" t="s">
        <v>18</v>
      </c>
      <c r="D691">
        <f t="shared" si="10"/>
        <v>1</v>
      </c>
      <c r="E691" t="s">
        <v>23</v>
      </c>
      <c r="F691">
        <v>1</v>
      </c>
      <c r="G691" t="s">
        <v>24</v>
      </c>
      <c r="H691">
        <v>3</v>
      </c>
      <c r="I691">
        <v>1</v>
      </c>
      <c r="J691" t="s">
        <v>26</v>
      </c>
      <c r="K691">
        <v>1</v>
      </c>
      <c r="L691">
        <v>2973</v>
      </c>
      <c r="M691" t="str" cm="1">
        <f t="array" ref="M691">_xlfn.IFS(L691&lt;= 7000,"Low",L691&lt;=15000,"Medium",L691&lt;=20000,"High")</f>
        <v>Low</v>
      </c>
      <c r="N691" t="s">
        <v>22</v>
      </c>
      <c r="O691">
        <v>19</v>
      </c>
      <c r="P691">
        <v>3</v>
      </c>
      <c r="Q691">
        <v>2</v>
      </c>
      <c r="R691">
        <v>1</v>
      </c>
      <c r="S691">
        <v>3</v>
      </c>
      <c r="T691">
        <v>1</v>
      </c>
      <c r="U691">
        <v>0</v>
      </c>
    </row>
    <row r="692" spans="1:21" x14ac:dyDescent="0.35">
      <c r="A692">
        <v>31</v>
      </c>
      <c r="B692" t="str" cm="1">
        <f t="array" ref="B692">_xlfn.IFS(A692&gt;40,"Senior",A692&gt;30,"Adult",A692&gt;=18,"Teenager")</f>
        <v>Adult</v>
      </c>
      <c r="C692" t="s">
        <v>22</v>
      </c>
      <c r="D692">
        <f t="shared" si="10"/>
        <v>0</v>
      </c>
      <c r="E692" t="s">
        <v>23</v>
      </c>
      <c r="F692">
        <v>4</v>
      </c>
      <c r="G692" t="s">
        <v>20</v>
      </c>
      <c r="H692">
        <v>3</v>
      </c>
      <c r="I692">
        <v>2</v>
      </c>
      <c r="J692" t="s">
        <v>28</v>
      </c>
      <c r="K692">
        <v>4</v>
      </c>
      <c r="L692">
        <v>5855</v>
      </c>
      <c r="M692" t="str" cm="1">
        <f t="array" ref="M692">_xlfn.IFS(L692&lt;= 7000,"Low",L692&lt;=15000,"Medium",L692&lt;=20000,"High")</f>
        <v>Low</v>
      </c>
      <c r="N692" t="s">
        <v>18</v>
      </c>
      <c r="O692">
        <v>11</v>
      </c>
      <c r="P692">
        <v>3</v>
      </c>
      <c r="Q692">
        <v>3</v>
      </c>
      <c r="R692">
        <v>10</v>
      </c>
      <c r="S692">
        <v>1</v>
      </c>
      <c r="T692">
        <v>9</v>
      </c>
      <c r="U692">
        <v>7</v>
      </c>
    </row>
    <row r="693" spans="1:21" x14ac:dyDescent="0.35">
      <c r="A693">
        <v>40</v>
      </c>
      <c r="B693" t="str" cm="1">
        <f t="array" ref="B693">_xlfn.IFS(A693&gt;40,"Senior",A693&gt;30,"Adult",A693&gt;=18,"Teenager")</f>
        <v>Adult</v>
      </c>
      <c r="C693" t="s">
        <v>22</v>
      </c>
      <c r="D693">
        <f t="shared" si="10"/>
        <v>0</v>
      </c>
      <c r="E693" t="s">
        <v>23</v>
      </c>
      <c r="F693">
        <v>4</v>
      </c>
      <c r="G693" t="s">
        <v>24</v>
      </c>
      <c r="H693">
        <v>3</v>
      </c>
      <c r="I693">
        <v>1</v>
      </c>
      <c r="J693" t="s">
        <v>25</v>
      </c>
      <c r="K693">
        <v>2</v>
      </c>
      <c r="L693">
        <v>3617</v>
      </c>
      <c r="M693" t="str" cm="1">
        <f t="array" ref="M693">_xlfn.IFS(L693&lt;= 7000,"Low",L693&lt;=15000,"Medium",L693&lt;=20000,"High")</f>
        <v>Low</v>
      </c>
      <c r="N693" t="s">
        <v>18</v>
      </c>
      <c r="O693">
        <v>14</v>
      </c>
      <c r="P693">
        <v>3</v>
      </c>
      <c r="Q693">
        <v>4</v>
      </c>
      <c r="R693">
        <v>3</v>
      </c>
      <c r="S693">
        <v>3</v>
      </c>
      <c r="T693">
        <v>1</v>
      </c>
      <c r="U693">
        <v>1</v>
      </c>
    </row>
    <row r="694" spans="1:21" x14ac:dyDescent="0.35">
      <c r="A694">
        <v>32</v>
      </c>
      <c r="B694" t="str" cm="1">
        <f t="array" ref="B694">_xlfn.IFS(A694&gt;40,"Senior",A694&gt;30,"Adult",A694&gt;=18,"Teenager")</f>
        <v>Adult</v>
      </c>
      <c r="C694" t="s">
        <v>22</v>
      </c>
      <c r="D694">
        <f t="shared" si="10"/>
        <v>0</v>
      </c>
      <c r="E694" t="s">
        <v>23</v>
      </c>
      <c r="F694">
        <v>3</v>
      </c>
      <c r="G694" t="s">
        <v>20</v>
      </c>
      <c r="H694">
        <v>3</v>
      </c>
      <c r="I694">
        <v>2</v>
      </c>
      <c r="J694" t="s">
        <v>27</v>
      </c>
      <c r="K694">
        <v>1</v>
      </c>
      <c r="L694">
        <v>6725</v>
      </c>
      <c r="M694" t="str" cm="1">
        <f t="array" ref="M694">_xlfn.IFS(L694&lt;= 7000,"Low",L694&lt;=15000,"Medium",L694&lt;=20000,"High")</f>
        <v>Low</v>
      </c>
      <c r="N694" t="s">
        <v>22</v>
      </c>
      <c r="O694">
        <v>12</v>
      </c>
      <c r="P694">
        <v>3</v>
      </c>
      <c r="Q694">
        <v>3</v>
      </c>
      <c r="R694">
        <v>8</v>
      </c>
      <c r="S694">
        <v>4</v>
      </c>
      <c r="T694">
        <v>8</v>
      </c>
      <c r="U694">
        <v>7</v>
      </c>
    </row>
    <row r="695" spans="1:21" x14ac:dyDescent="0.35">
      <c r="A695">
        <v>36</v>
      </c>
      <c r="B695" t="str" cm="1">
        <f t="array" ref="B695">_xlfn.IFS(A695&gt;40,"Senior",A695&gt;30,"Adult",A695&gt;=18,"Teenager")</f>
        <v>Adult</v>
      </c>
      <c r="C695" t="s">
        <v>18</v>
      </c>
      <c r="D695">
        <f t="shared" si="10"/>
        <v>1</v>
      </c>
      <c r="E695" t="s">
        <v>19</v>
      </c>
      <c r="F695">
        <v>3</v>
      </c>
      <c r="G695" t="s">
        <v>24</v>
      </c>
      <c r="H695">
        <v>2</v>
      </c>
      <c r="I695">
        <v>3</v>
      </c>
      <c r="J695" t="s">
        <v>21</v>
      </c>
      <c r="K695">
        <v>4</v>
      </c>
      <c r="L695">
        <v>10325</v>
      </c>
      <c r="M695" t="str" cm="1">
        <f t="array" ref="M695">_xlfn.IFS(L695&lt;= 7000,"Low",L695&lt;=15000,"Medium",L695&lt;=20000,"High")</f>
        <v>Medium</v>
      </c>
      <c r="N695" t="s">
        <v>18</v>
      </c>
      <c r="O695">
        <v>11</v>
      </c>
      <c r="P695">
        <v>3</v>
      </c>
      <c r="Q695">
        <v>1</v>
      </c>
      <c r="R695">
        <v>16</v>
      </c>
      <c r="S695">
        <v>3</v>
      </c>
      <c r="T695">
        <v>16</v>
      </c>
      <c r="U695">
        <v>7</v>
      </c>
    </row>
    <row r="696" spans="1:21" x14ac:dyDescent="0.35">
      <c r="A696">
        <v>33</v>
      </c>
      <c r="B696" t="str" cm="1">
        <f t="array" ref="B696">_xlfn.IFS(A696&gt;40,"Senior",A696&gt;30,"Adult",A696&gt;=18,"Teenager")</f>
        <v>Adult</v>
      </c>
      <c r="C696" t="s">
        <v>22</v>
      </c>
      <c r="D696">
        <f t="shared" si="10"/>
        <v>0</v>
      </c>
      <c r="E696" t="s">
        <v>23</v>
      </c>
      <c r="F696">
        <v>2</v>
      </c>
      <c r="G696" t="s">
        <v>20</v>
      </c>
      <c r="H696">
        <v>2</v>
      </c>
      <c r="I696">
        <v>2</v>
      </c>
      <c r="J696" t="s">
        <v>28</v>
      </c>
      <c r="K696">
        <v>4</v>
      </c>
      <c r="L696">
        <v>6949</v>
      </c>
      <c r="M696" t="str" cm="1">
        <f t="array" ref="M696">_xlfn.IFS(L696&lt;= 7000,"Low",L696&lt;=15000,"Medium",L696&lt;=20000,"High")</f>
        <v>Low</v>
      </c>
      <c r="N696" t="s">
        <v>22</v>
      </c>
      <c r="O696">
        <v>14</v>
      </c>
      <c r="P696">
        <v>3</v>
      </c>
      <c r="Q696">
        <v>1</v>
      </c>
      <c r="R696">
        <v>6</v>
      </c>
      <c r="S696">
        <v>3</v>
      </c>
      <c r="T696">
        <v>5</v>
      </c>
      <c r="U696">
        <v>0</v>
      </c>
    </row>
    <row r="697" spans="1:21" x14ac:dyDescent="0.35">
      <c r="A697">
        <v>37</v>
      </c>
      <c r="B697" t="str" cm="1">
        <f t="array" ref="B697">_xlfn.IFS(A697&gt;40,"Senior",A697&gt;30,"Adult",A697&gt;=18,"Teenager")</f>
        <v>Adult</v>
      </c>
      <c r="C697" t="s">
        <v>18</v>
      </c>
      <c r="D697">
        <f t="shared" si="10"/>
        <v>1</v>
      </c>
      <c r="E697" t="s">
        <v>19</v>
      </c>
      <c r="F697">
        <v>1</v>
      </c>
      <c r="G697" t="s">
        <v>24</v>
      </c>
      <c r="H697">
        <v>2</v>
      </c>
      <c r="I697">
        <v>3</v>
      </c>
      <c r="J697" t="s">
        <v>21</v>
      </c>
      <c r="K697">
        <v>3</v>
      </c>
      <c r="L697">
        <v>10609</v>
      </c>
      <c r="M697" t="str" cm="1">
        <f t="array" ref="M697">_xlfn.IFS(L697&lt;= 7000,"Low",L697&lt;=15000,"Medium",L697&lt;=20000,"High")</f>
        <v>Medium</v>
      </c>
      <c r="N697" t="s">
        <v>22</v>
      </c>
      <c r="O697">
        <v>11</v>
      </c>
      <c r="P697">
        <v>3</v>
      </c>
      <c r="Q697">
        <v>3</v>
      </c>
      <c r="R697">
        <v>17</v>
      </c>
      <c r="S697">
        <v>1</v>
      </c>
      <c r="T697">
        <v>14</v>
      </c>
      <c r="U697">
        <v>1</v>
      </c>
    </row>
    <row r="698" spans="1:21" x14ac:dyDescent="0.35">
      <c r="A698">
        <v>45</v>
      </c>
      <c r="B698" t="str" cm="1">
        <f t="array" ref="B698">_xlfn.IFS(A698&gt;40,"Senior",A698&gt;30,"Adult",A698&gt;=18,"Teenager")</f>
        <v>Senior</v>
      </c>
      <c r="C698" t="s">
        <v>22</v>
      </c>
      <c r="D698">
        <f t="shared" si="10"/>
        <v>0</v>
      </c>
      <c r="E698" t="s">
        <v>23</v>
      </c>
      <c r="F698">
        <v>3</v>
      </c>
      <c r="G698" t="s">
        <v>24</v>
      </c>
      <c r="H698">
        <v>3</v>
      </c>
      <c r="I698">
        <v>2</v>
      </c>
      <c r="J698" t="s">
        <v>26</v>
      </c>
      <c r="K698">
        <v>2</v>
      </c>
      <c r="L698">
        <v>4447</v>
      </c>
      <c r="M698" t="str" cm="1">
        <f t="array" ref="M698">_xlfn.IFS(L698&lt;= 7000,"Low",L698&lt;=15000,"Medium",L698&lt;=20000,"High")</f>
        <v>Low</v>
      </c>
      <c r="N698" t="s">
        <v>22</v>
      </c>
      <c r="O698">
        <v>12</v>
      </c>
      <c r="P698">
        <v>3</v>
      </c>
      <c r="Q698">
        <v>2</v>
      </c>
      <c r="R698">
        <v>9</v>
      </c>
      <c r="S698">
        <v>2</v>
      </c>
      <c r="T698">
        <v>9</v>
      </c>
      <c r="U698">
        <v>7</v>
      </c>
    </row>
    <row r="699" spans="1:21" x14ac:dyDescent="0.35">
      <c r="A699">
        <v>29</v>
      </c>
      <c r="B699" t="str" cm="1">
        <f t="array" ref="B699">_xlfn.IFS(A699&gt;40,"Senior",A699&gt;30,"Adult",A699&gt;=18,"Teenager")</f>
        <v>Teenager</v>
      </c>
      <c r="C699" t="s">
        <v>22</v>
      </c>
      <c r="D699">
        <f t="shared" si="10"/>
        <v>0</v>
      </c>
      <c r="E699" t="s">
        <v>19</v>
      </c>
      <c r="F699">
        <v>3</v>
      </c>
      <c r="G699" t="s">
        <v>20</v>
      </c>
      <c r="H699">
        <v>3</v>
      </c>
      <c r="I699">
        <v>1</v>
      </c>
      <c r="J699" t="s">
        <v>30</v>
      </c>
      <c r="K699">
        <v>4</v>
      </c>
      <c r="L699">
        <v>2157</v>
      </c>
      <c r="M699" t="str" cm="1">
        <f t="array" ref="M699">_xlfn.IFS(L699&lt;= 7000,"Low",L699&lt;=15000,"Medium",L699&lt;=20000,"High")</f>
        <v>Low</v>
      </c>
      <c r="N699" t="s">
        <v>22</v>
      </c>
      <c r="O699">
        <v>15</v>
      </c>
      <c r="P699">
        <v>3</v>
      </c>
      <c r="Q699">
        <v>2</v>
      </c>
      <c r="R699">
        <v>3</v>
      </c>
      <c r="S699">
        <v>3</v>
      </c>
      <c r="T699">
        <v>3</v>
      </c>
      <c r="U699">
        <v>1</v>
      </c>
    </row>
    <row r="700" spans="1:21" x14ac:dyDescent="0.35">
      <c r="A700">
        <v>35</v>
      </c>
      <c r="B700" t="str" cm="1">
        <f t="array" ref="B700">_xlfn.IFS(A700&gt;40,"Senior",A700&gt;30,"Adult",A700&gt;=18,"Teenager")</f>
        <v>Adult</v>
      </c>
      <c r="C700" t="s">
        <v>22</v>
      </c>
      <c r="D700">
        <f t="shared" si="10"/>
        <v>0</v>
      </c>
      <c r="E700" t="s">
        <v>19</v>
      </c>
      <c r="F700">
        <v>3</v>
      </c>
      <c r="G700" t="s">
        <v>20</v>
      </c>
      <c r="H700">
        <v>3</v>
      </c>
      <c r="I700">
        <v>2</v>
      </c>
      <c r="J700" t="s">
        <v>21</v>
      </c>
      <c r="K700">
        <v>3</v>
      </c>
      <c r="L700">
        <v>4601</v>
      </c>
      <c r="M700" t="str" cm="1">
        <f t="array" ref="M700">_xlfn.IFS(L700&lt;= 7000,"Low",L700&lt;=15000,"Medium",L700&lt;=20000,"High")</f>
        <v>Low</v>
      </c>
      <c r="N700" t="s">
        <v>22</v>
      </c>
      <c r="O700">
        <v>16</v>
      </c>
      <c r="P700">
        <v>3</v>
      </c>
      <c r="Q700">
        <v>2</v>
      </c>
      <c r="R700">
        <v>5</v>
      </c>
      <c r="S700">
        <v>3</v>
      </c>
      <c r="T700">
        <v>5</v>
      </c>
      <c r="U700">
        <v>2</v>
      </c>
    </row>
    <row r="701" spans="1:21" x14ac:dyDescent="0.35">
      <c r="A701">
        <v>52</v>
      </c>
      <c r="B701" t="str" cm="1">
        <f t="array" ref="B701">_xlfn.IFS(A701&gt;40,"Senior",A701&gt;30,"Adult",A701&gt;=18,"Teenager")</f>
        <v>Senior</v>
      </c>
      <c r="C701" t="s">
        <v>22</v>
      </c>
      <c r="D701">
        <f t="shared" si="10"/>
        <v>0</v>
      </c>
      <c r="E701" t="s">
        <v>23</v>
      </c>
      <c r="F701">
        <v>4</v>
      </c>
      <c r="G701" t="s">
        <v>24</v>
      </c>
      <c r="H701">
        <v>3</v>
      </c>
      <c r="I701">
        <v>4</v>
      </c>
      <c r="J701" t="s">
        <v>29</v>
      </c>
      <c r="K701">
        <v>4</v>
      </c>
      <c r="L701">
        <v>17099</v>
      </c>
      <c r="M701" t="str" cm="1">
        <f t="array" ref="M701">_xlfn.IFS(L701&lt;= 7000,"Low",L701&lt;=15000,"Medium",L701&lt;=20000,"High")</f>
        <v>High</v>
      </c>
      <c r="N701" t="s">
        <v>22</v>
      </c>
      <c r="O701">
        <v>15</v>
      </c>
      <c r="P701">
        <v>3</v>
      </c>
      <c r="Q701">
        <v>2</v>
      </c>
      <c r="R701">
        <v>26</v>
      </c>
      <c r="S701">
        <v>2</v>
      </c>
      <c r="T701">
        <v>9</v>
      </c>
      <c r="U701">
        <v>8</v>
      </c>
    </row>
    <row r="702" spans="1:21" x14ac:dyDescent="0.35">
      <c r="A702">
        <v>58</v>
      </c>
      <c r="B702" t="str" cm="1">
        <f t="array" ref="B702">_xlfn.IFS(A702&gt;40,"Senior",A702&gt;30,"Adult",A702&gt;=18,"Teenager")</f>
        <v>Senior</v>
      </c>
      <c r="C702" t="s">
        <v>18</v>
      </c>
      <c r="D702">
        <f t="shared" si="10"/>
        <v>1</v>
      </c>
      <c r="E702" t="s">
        <v>23</v>
      </c>
      <c r="F702">
        <v>4</v>
      </c>
      <c r="G702" t="s">
        <v>24</v>
      </c>
      <c r="H702">
        <v>3</v>
      </c>
      <c r="I702">
        <v>1</v>
      </c>
      <c r="J702" t="s">
        <v>25</v>
      </c>
      <c r="K702">
        <v>3</v>
      </c>
      <c r="L702">
        <v>2479</v>
      </c>
      <c r="M702" t="str" cm="1">
        <f t="array" ref="M702">_xlfn.IFS(L702&lt;= 7000,"Low",L702&lt;=15000,"Medium",L702&lt;=20000,"High")</f>
        <v>Low</v>
      </c>
      <c r="N702" t="s">
        <v>22</v>
      </c>
      <c r="O702">
        <v>24</v>
      </c>
      <c r="P702">
        <v>4</v>
      </c>
      <c r="Q702">
        <v>1</v>
      </c>
      <c r="R702">
        <v>7</v>
      </c>
      <c r="S702">
        <v>3</v>
      </c>
      <c r="T702">
        <v>1</v>
      </c>
      <c r="U702">
        <v>0</v>
      </c>
    </row>
    <row r="703" spans="1:21" x14ac:dyDescent="0.35">
      <c r="A703">
        <v>53</v>
      </c>
      <c r="B703" t="str" cm="1">
        <f t="array" ref="B703">_xlfn.IFS(A703&gt;40,"Senior",A703&gt;30,"Adult",A703&gt;=18,"Teenager")</f>
        <v>Senior</v>
      </c>
      <c r="C703" t="s">
        <v>22</v>
      </c>
      <c r="D703">
        <f t="shared" si="10"/>
        <v>0</v>
      </c>
      <c r="E703" t="s">
        <v>19</v>
      </c>
      <c r="F703">
        <v>3</v>
      </c>
      <c r="G703" t="s">
        <v>24</v>
      </c>
      <c r="H703">
        <v>3</v>
      </c>
      <c r="I703">
        <v>4</v>
      </c>
      <c r="J703" t="s">
        <v>29</v>
      </c>
      <c r="K703">
        <v>3</v>
      </c>
      <c r="L703">
        <v>14852</v>
      </c>
      <c r="M703" t="str" cm="1">
        <f t="array" ref="M703">_xlfn.IFS(L703&lt;= 7000,"Low",L703&lt;=15000,"Medium",L703&lt;=20000,"High")</f>
        <v>Medium</v>
      </c>
      <c r="N703" t="s">
        <v>22</v>
      </c>
      <c r="O703">
        <v>13</v>
      </c>
      <c r="P703">
        <v>3</v>
      </c>
      <c r="Q703">
        <v>3</v>
      </c>
      <c r="R703">
        <v>22</v>
      </c>
      <c r="S703">
        <v>4</v>
      </c>
      <c r="T703">
        <v>17</v>
      </c>
      <c r="U703">
        <v>13</v>
      </c>
    </row>
    <row r="704" spans="1:21" x14ac:dyDescent="0.35">
      <c r="A704">
        <v>30</v>
      </c>
      <c r="B704" t="str" cm="1">
        <f t="array" ref="B704">_xlfn.IFS(A704&gt;40,"Senior",A704&gt;30,"Adult",A704&gt;=18,"Teenager")</f>
        <v>Teenager</v>
      </c>
      <c r="C704" t="s">
        <v>22</v>
      </c>
      <c r="D704">
        <f t="shared" si="10"/>
        <v>0</v>
      </c>
      <c r="E704" t="s">
        <v>19</v>
      </c>
      <c r="F704">
        <v>3</v>
      </c>
      <c r="G704" t="s">
        <v>24</v>
      </c>
      <c r="H704">
        <v>3</v>
      </c>
      <c r="I704">
        <v>3</v>
      </c>
      <c r="J704" t="s">
        <v>21</v>
      </c>
      <c r="K704">
        <v>3</v>
      </c>
      <c r="L704">
        <v>7264</v>
      </c>
      <c r="M704" t="str" cm="1">
        <f t="array" ref="M704">_xlfn.IFS(L704&lt;= 7000,"Low",L704&lt;=15000,"Medium",L704&lt;=20000,"High")</f>
        <v>Medium</v>
      </c>
      <c r="N704" t="s">
        <v>22</v>
      </c>
      <c r="O704">
        <v>11</v>
      </c>
      <c r="P704">
        <v>3</v>
      </c>
      <c r="Q704">
        <v>1</v>
      </c>
      <c r="R704">
        <v>10</v>
      </c>
      <c r="S704">
        <v>4</v>
      </c>
      <c r="T704">
        <v>8</v>
      </c>
      <c r="U704">
        <v>4</v>
      </c>
    </row>
    <row r="705" spans="1:21" x14ac:dyDescent="0.35">
      <c r="A705">
        <v>38</v>
      </c>
      <c r="B705" t="str" cm="1">
        <f t="array" ref="B705">_xlfn.IFS(A705&gt;40,"Senior",A705&gt;30,"Adult",A705&gt;=18,"Teenager")</f>
        <v>Adult</v>
      </c>
      <c r="C705" t="s">
        <v>22</v>
      </c>
      <c r="D705">
        <f t="shared" si="10"/>
        <v>0</v>
      </c>
      <c r="E705" t="s">
        <v>19</v>
      </c>
      <c r="F705">
        <v>3</v>
      </c>
      <c r="G705" t="s">
        <v>20</v>
      </c>
      <c r="H705">
        <v>3</v>
      </c>
      <c r="I705">
        <v>2</v>
      </c>
      <c r="J705" t="s">
        <v>21</v>
      </c>
      <c r="K705">
        <v>4</v>
      </c>
      <c r="L705">
        <v>5666</v>
      </c>
      <c r="M705" t="str" cm="1">
        <f t="array" ref="M705">_xlfn.IFS(L705&lt;= 7000,"Low",L705&lt;=15000,"Medium",L705&lt;=20000,"High")</f>
        <v>Low</v>
      </c>
      <c r="N705" t="s">
        <v>18</v>
      </c>
      <c r="O705">
        <v>13</v>
      </c>
      <c r="P705">
        <v>3</v>
      </c>
      <c r="Q705">
        <v>2</v>
      </c>
      <c r="R705">
        <v>6</v>
      </c>
      <c r="S705">
        <v>3</v>
      </c>
      <c r="T705">
        <v>5</v>
      </c>
      <c r="U705">
        <v>3</v>
      </c>
    </row>
    <row r="706" spans="1:21" x14ac:dyDescent="0.35">
      <c r="A706">
        <v>35</v>
      </c>
      <c r="B706" t="str" cm="1">
        <f t="array" ref="B706">_xlfn.IFS(A706&gt;40,"Senior",A706&gt;30,"Adult",A706&gt;=18,"Teenager")</f>
        <v>Adult</v>
      </c>
      <c r="C706" t="s">
        <v>22</v>
      </c>
      <c r="D706">
        <f t="shared" si="10"/>
        <v>0</v>
      </c>
      <c r="E706" t="s">
        <v>19</v>
      </c>
      <c r="F706">
        <v>4</v>
      </c>
      <c r="G706" t="s">
        <v>24</v>
      </c>
      <c r="H706">
        <v>3</v>
      </c>
      <c r="I706">
        <v>3</v>
      </c>
      <c r="J706" t="s">
        <v>21</v>
      </c>
      <c r="K706">
        <v>4</v>
      </c>
      <c r="L706">
        <v>7823</v>
      </c>
      <c r="M706" t="str" cm="1">
        <f t="array" ref="M706">_xlfn.IFS(L706&lt;= 7000,"Low",L706&lt;=15000,"Medium",L706&lt;=20000,"High")</f>
        <v>Medium</v>
      </c>
      <c r="N706" t="s">
        <v>22</v>
      </c>
      <c r="O706">
        <v>13</v>
      </c>
      <c r="P706">
        <v>3</v>
      </c>
      <c r="Q706">
        <v>2</v>
      </c>
      <c r="R706">
        <v>12</v>
      </c>
      <c r="S706">
        <v>3</v>
      </c>
      <c r="T706">
        <v>10</v>
      </c>
      <c r="U706">
        <v>9</v>
      </c>
    </row>
    <row r="707" spans="1:21" x14ac:dyDescent="0.35">
      <c r="A707">
        <v>39</v>
      </c>
      <c r="B707" t="str" cm="1">
        <f t="array" ref="B707">_xlfn.IFS(A707&gt;40,"Senior",A707&gt;30,"Adult",A707&gt;=18,"Teenager")</f>
        <v>Adult</v>
      </c>
      <c r="C707" t="s">
        <v>22</v>
      </c>
      <c r="D707">
        <f t="shared" ref="D707:D770" si="11">IF(C707="Yes",1,0)</f>
        <v>0</v>
      </c>
      <c r="E707" t="s">
        <v>19</v>
      </c>
      <c r="F707">
        <v>1</v>
      </c>
      <c r="G707" t="s">
        <v>24</v>
      </c>
      <c r="H707">
        <v>4</v>
      </c>
      <c r="I707">
        <v>3</v>
      </c>
      <c r="J707" t="s">
        <v>21</v>
      </c>
      <c r="K707">
        <v>3</v>
      </c>
      <c r="L707">
        <v>7880</v>
      </c>
      <c r="M707" t="str" cm="1">
        <f t="array" ref="M707">_xlfn.IFS(L707&lt;= 7000,"Low",L707&lt;=15000,"Medium",L707&lt;=20000,"High")</f>
        <v>Medium</v>
      </c>
      <c r="N707" t="s">
        <v>22</v>
      </c>
      <c r="O707">
        <v>18</v>
      </c>
      <c r="P707">
        <v>3</v>
      </c>
      <c r="Q707">
        <v>4</v>
      </c>
      <c r="R707">
        <v>9</v>
      </c>
      <c r="S707">
        <v>3</v>
      </c>
      <c r="T707">
        <v>8</v>
      </c>
      <c r="U707">
        <v>7</v>
      </c>
    </row>
    <row r="708" spans="1:21" x14ac:dyDescent="0.35">
      <c r="A708">
        <v>40</v>
      </c>
      <c r="B708" t="str" cm="1">
        <f t="array" ref="B708">_xlfn.IFS(A708&gt;40,"Senior",A708&gt;30,"Adult",A708&gt;=18,"Teenager")</f>
        <v>Adult</v>
      </c>
      <c r="C708" t="s">
        <v>18</v>
      </c>
      <c r="D708">
        <f t="shared" si="11"/>
        <v>1</v>
      </c>
      <c r="E708" t="s">
        <v>19</v>
      </c>
      <c r="F708">
        <v>2</v>
      </c>
      <c r="G708" t="s">
        <v>20</v>
      </c>
      <c r="H708">
        <v>4</v>
      </c>
      <c r="I708">
        <v>4</v>
      </c>
      <c r="J708" t="s">
        <v>21</v>
      </c>
      <c r="K708">
        <v>2</v>
      </c>
      <c r="L708">
        <v>13194</v>
      </c>
      <c r="M708" t="str" cm="1">
        <f t="array" ref="M708">_xlfn.IFS(L708&lt;= 7000,"Low",L708&lt;=15000,"Medium",L708&lt;=20000,"High")</f>
        <v>Medium</v>
      </c>
      <c r="N708" t="s">
        <v>18</v>
      </c>
      <c r="O708">
        <v>16</v>
      </c>
      <c r="P708">
        <v>3</v>
      </c>
      <c r="Q708">
        <v>4</v>
      </c>
      <c r="R708">
        <v>22</v>
      </c>
      <c r="S708">
        <v>2</v>
      </c>
      <c r="T708">
        <v>1</v>
      </c>
      <c r="U708">
        <v>0</v>
      </c>
    </row>
    <row r="709" spans="1:21" x14ac:dyDescent="0.35">
      <c r="A709">
        <v>47</v>
      </c>
      <c r="B709" t="str" cm="1">
        <f t="array" ref="B709">_xlfn.IFS(A709&gt;40,"Senior",A709&gt;30,"Adult",A709&gt;=18,"Teenager")</f>
        <v>Senior</v>
      </c>
      <c r="C709" t="s">
        <v>22</v>
      </c>
      <c r="D709">
        <f t="shared" si="11"/>
        <v>0</v>
      </c>
      <c r="E709" t="s">
        <v>23</v>
      </c>
      <c r="F709">
        <v>3</v>
      </c>
      <c r="G709" t="s">
        <v>24</v>
      </c>
      <c r="H709">
        <v>4</v>
      </c>
      <c r="I709">
        <v>2</v>
      </c>
      <c r="J709" t="s">
        <v>27</v>
      </c>
      <c r="K709">
        <v>3</v>
      </c>
      <c r="L709">
        <v>5067</v>
      </c>
      <c r="M709" t="str" cm="1">
        <f t="array" ref="M709">_xlfn.IFS(L709&lt;= 7000,"Low",L709&lt;=15000,"Medium",L709&lt;=20000,"High")</f>
        <v>Low</v>
      </c>
      <c r="N709" t="s">
        <v>18</v>
      </c>
      <c r="O709">
        <v>19</v>
      </c>
      <c r="P709">
        <v>3</v>
      </c>
      <c r="Q709">
        <v>3</v>
      </c>
      <c r="R709">
        <v>20</v>
      </c>
      <c r="S709">
        <v>4</v>
      </c>
      <c r="T709">
        <v>19</v>
      </c>
      <c r="U709">
        <v>10</v>
      </c>
    </row>
    <row r="710" spans="1:21" x14ac:dyDescent="0.35">
      <c r="A710">
        <v>36</v>
      </c>
      <c r="B710" t="str" cm="1">
        <f t="array" ref="B710">_xlfn.IFS(A710&gt;40,"Senior",A710&gt;30,"Adult",A710&gt;=18,"Teenager")</f>
        <v>Adult</v>
      </c>
      <c r="C710" t="s">
        <v>22</v>
      </c>
      <c r="D710">
        <f t="shared" si="11"/>
        <v>0</v>
      </c>
      <c r="E710" t="s">
        <v>19</v>
      </c>
      <c r="F710">
        <v>1</v>
      </c>
      <c r="G710" t="s">
        <v>24</v>
      </c>
      <c r="H710">
        <v>3</v>
      </c>
      <c r="I710">
        <v>2</v>
      </c>
      <c r="J710" t="s">
        <v>21</v>
      </c>
      <c r="K710">
        <v>4</v>
      </c>
      <c r="L710">
        <v>5079</v>
      </c>
      <c r="M710" t="str" cm="1">
        <f t="array" ref="M710">_xlfn.IFS(L710&lt;= 7000,"Low",L710&lt;=15000,"Medium",L710&lt;=20000,"High")</f>
        <v>Low</v>
      </c>
      <c r="N710" t="s">
        <v>22</v>
      </c>
      <c r="O710">
        <v>13</v>
      </c>
      <c r="P710">
        <v>3</v>
      </c>
      <c r="Q710">
        <v>4</v>
      </c>
      <c r="R710">
        <v>12</v>
      </c>
      <c r="S710">
        <v>3</v>
      </c>
      <c r="T710">
        <v>7</v>
      </c>
      <c r="U710">
        <v>7</v>
      </c>
    </row>
    <row r="711" spans="1:21" x14ac:dyDescent="0.35">
      <c r="A711">
        <v>31</v>
      </c>
      <c r="B711" t="str" cm="1">
        <f t="array" ref="B711">_xlfn.IFS(A711&gt;40,"Senior",A711&gt;30,"Adult",A711&gt;=18,"Teenager")</f>
        <v>Adult</v>
      </c>
      <c r="C711" t="s">
        <v>18</v>
      </c>
      <c r="D711">
        <f t="shared" si="11"/>
        <v>1</v>
      </c>
      <c r="E711" t="s">
        <v>23</v>
      </c>
      <c r="F711">
        <v>3</v>
      </c>
      <c r="G711" t="s">
        <v>24</v>
      </c>
      <c r="H711">
        <v>2</v>
      </c>
      <c r="I711">
        <v>1</v>
      </c>
      <c r="J711" t="s">
        <v>25</v>
      </c>
      <c r="K711">
        <v>1</v>
      </c>
      <c r="L711">
        <v>2321</v>
      </c>
      <c r="M711" t="str" cm="1">
        <f t="array" ref="M711">_xlfn.IFS(L711&lt;= 7000,"Low",L711&lt;=15000,"Medium",L711&lt;=20000,"High")</f>
        <v>Low</v>
      </c>
      <c r="N711" t="s">
        <v>18</v>
      </c>
      <c r="O711">
        <v>22</v>
      </c>
      <c r="P711">
        <v>4</v>
      </c>
      <c r="Q711">
        <v>1</v>
      </c>
      <c r="R711">
        <v>4</v>
      </c>
      <c r="S711">
        <v>3</v>
      </c>
      <c r="T711">
        <v>3</v>
      </c>
      <c r="U711">
        <v>2</v>
      </c>
    </row>
    <row r="712" spans="1:21" x14ac:dyDescent="0.35">
      <c r="A712">
        <v>33</v>
      </c>
      <c r="B712" t="str" cm="1">
        <f t="array" ref="B712">_xlfn.IFS(A712&gt;40,"Senior",A712&gt;30,"Adult",A712&gt;=18,"Teenager")</f>
        <v>Adult</v>
      </c>
      <c r="C712" t="s">
        <v>22</v>
      </c>
      <c r="D712">
        <f t="shared" si="11"/>
        <v>0</v>
      </c>
      <c r="E712" t="s">
        <v>19</v>
      </c>
      <c r="F712">
        <v>4</v>
      </c>
      <c r="G712" t="s">
        <v>24</v>
      </c>
      <c r="H712">
        <v>3</v>
      </c>
      <c r="I712">
        <v>4</v>
      </c>
      <c r="J712" t="s">
        <v>29</v>
      </c>
      <c r="K712">
        <v>3</v>
      </c>
      <c r="L712">
        <v>17444</v>
      </c>
      <c r="M712" t="str" cm="1">
        <f t="array" ref="M712">_xlfn.IFS(L712&lt;= 7000,"Low",L712&lt;=15000,"Medium",L712&lt;=20000,"High")</f>
        <v>High</v>
      </c>
      <c r="N712" t="s">
        <v>22</v>
      </c>
      <c r="O712">
        <v>11</v>
      </c>
      <c r="P712">
        <v>3</v>
      </c>
      <c r="Q712">
        <v>4</v>
      </c>
      <c r="R712">
        <v>10</v>
      </c>
      <c r="S712">
        <v>3</v>
      </c>
      <c r="T712">
        <v>10</v>
      </c>
      <c r="U712">
        <v>8</v>
      </c>
    </row>
    <row r="713" spans="1:21" x14ac:dyDescent="0.35">
      <c r="A713">
        <v>29</v>
      </c>
      <c r="B713" t="str" cm="1">
        <f t="array" ref="B713">_xlfn.IFS(A713&gt;40,"Senior",A713&gt;30,"Adult",A713&gt;=18,"Teenager")</f>
        <v>Teenager</v>
      </c>
      <c r="C713" t="s">
        <v>18</v>
      </c>
      <c r="D713">
        <f t="shared" si="11"/>
        <v>1</v>
      </c>
      <c r="E713" t="s">
        <v>23</v>
      </c>
      <c r="F713">
        <v>4</v>
      </c>
      <c r="G713" t="s">
        <v>20</v>
      </c>
      <c r="H713">
        <v>2</v>
      </c>
      <c r="I713">
        <v>1</v>
      </c>
      <c r="J713" t="s">
        <v>25</v>
      </c>
      <c r="K713">
        <v>1</v>
      </c>
      <c r="L713">
        <v>2404</v>
      </c>
      <c r="M713" t="str" cm="1">
        <f t="array" ref="M713">_xlfn.IFS(L713&lt;= 7000,"Low",L713&lt;=15000,"Medium",L713&lt;=20000,"High")</f>
        <v>Low</v>
      </c>
      <c r="N713" t="s">
        <v>18</v>
      </c>
      <c r="O713">
        <v>20</v>
      </c>
      <c r="P713">
        <v>4</v>
      </c>
      <c r="Q713">
        <v>3</v>
      </c>
      <c r="R713">
        <v>3</v>
      </c>
      <c r="S713">
        <v>3</v>
      </c>
      <c r="T713">
        <v>0</v>
      </c>
      <c r="U713">
        <v>0</v>
      </c>
    </row>
    <row r="714" spans="1:21" x14ac:dyDescent="0.35">
      <c r="A714">
        <v>33</v>
      </c>
      <c r="B714" t="str" cm="1">
        <f t="array" ref="B714">_xlfn.IFS(A714&gt;40,"Senior",A714&gt;30,"Adult",A714&gt;=18,"Teenager")</f>
        <v>Adult</v>
      </c>
      <c r="C714" t="s">
        <v>22</v>
      </c>
      <c r="D714">
        <f t="shared" si="11"/>
        <v>0</v>
      </c>
      <c r="E714" t="s">
        <v>23</v>
      </c>
      <c r="F714">
        <v>2</v>
      </c>
      <c r="G714" t="s">
        <v>20</v>
      </c>
      <c r="H714">
        <v>3</v>
      </c>
      <c r="I714">
        <v>1</v>
      </c>
      <c r="J714" t="s">
        <v>25</v>
      </c>
      <c r="K714">
        <v>4</v>
      </c>
      <c r="L714">
        <v>3452</v>
      </c>
      <c r="M714" t="str" cm="1">
        <f t="array" ref="M714">_xlfn.IFS(L714&lt;= 7000,"Low",L714&lt;=15000,"Medium",L714&lt;=20000,"High")</f>
        <v>Low</v>
      </c>
      <c r="N714" t="s">
        <v>22</v>
      </c>
      <c r="O714">
        <v>18</v>
      </c>
      <c r="P714">
        <v>3</v>
      </c>
      <c r="Q714">
        <v>1</v>
      </c>
      <c r="R714">
        <v>5</v>
      </c>
      <c r="S714">
        <v>3</v>
      </c>
      <c r="T714">
        <v>3</v>
      </c>
      <c r="U714">
        <v>2</v>
      </c>
    </row>
    <row r="715" spans="1:21" x14ac:dyDescent="0.35">
      <c r="A715">
        <v>45</v>
      </c>
      <c r="B715" t="str" cm="1">
        <f t="array" ref="B715">_xlfn.IFS(A715&gt;40,"Senior",A715&gt;30,"Adult",A715&gt;=18,"Teenager")</f>
        <v>Senior</v>
      </c>
      <c r="C715" t="s">
        <v>22</v>
      </c>
      <c r="D715">
        <f t="shared" si="11"/>
        <v>0</v>
      </c>
      <c r="E715" t="s">
        <v>23</v>
      </c>
      <c r="F715">
        <v>4</v>
      </c>
      <c r="G715" t="s">
        <v>20</v>
      </c>
      <c r="H715">
        <v>3</v>
      </c>
      <c r="I715">
        <v>1</v>
      </c>
      <c r="J715" t="s">
        <v>26</v>
      </c>
      <c r="K715">
        <v>4</v>
      </c>
      <c r="L715">
        <v>2270</v>
      </c>
      <c r="M715" t="str" cm="1">
        <f t="array" ref="M715">_xlfn.IFS(L715&lt;= 7000,"Low",L715&lt;=15000,"Medium",L715&lt;=20000,"High")</f>
        <v>Low</v>
      </c>
      <c r="N715" t="s">
        <v>22</v>
      </c>
      <c r="O715">
        <v>14</v>
      </c>
      <c r="P715">
        <v>3</v>
      </c>
      <c r="Q715">
        <v>4</v>
      </c>
      <c r="R715">
        <v>8</v>
      </c>
      <c r="S715">
        <v>3</v>
      </c>
      <c r="T715">
        <v>5</v>
      </c>
      <c r="U715">
        <v>3</v>
      </c>
    </row>
    <row r="716" spans="1:21" x14ac:dyDescent="0.35">
      <c r="A716">
        <v>50</v>
      </c>
      <c r="B716" t="str" cm="1">
        <f t="array" ref="B716">_xlfn.IFS(A716&gt;40,"Senior",A716&gt;30,"Adult",A716&gt;=18,"Teenager")</f>
        <v>Senior</v>
      </c>
      <c r="C716" t="s">
        <v>22</v>
      </c>
      <c r="D716">
        <f t="shared" si="11"/>
        <v>0</v>
      </c>
      <c r="E716" t="s">
        <v>23</v>
      </c>
      <c r="F716">
        <v>4</v>
      </c>
      <c r="G716" t="s">
        <v>24</v>
      </c>
      <c r="H716">
        <v>3</v>
      </c>
      <c r="I716">
        <v>4</v>
      </c>
      <c r="J716" t="s">
        <v>31</v>
      </c>
      <c r="K716">
        <v>4</v>
      </c>
      <c r="L716">
        <v>17399</v>
      </c>
      <c r="M716" t="str" cm="1">
        <f t="array" ref="M716">_xlfn.IFS(L716&lt;= 7000,"Low",L716&lt;=15000,"Medium",L716&lt;=20000,"High")</f>
        <v>High</v>
      </c>
      <c r="N716" t="s">
        <v>22</v>
      </c>
      <c r="O716">
        <v>22</v>
      </c>
      <c r="P716">
        <v>4</v>
      </c>
      <c r="Q716">
        <v>3</v>
      </c>
      <c r="R716">
        <v>32</v>
      </c>
      <c r="S716">
        <v>2</v>
      </c>
      <c r="T716">
        <v>5</v>
      </c>
      <c r="U716">
        <v>4</v>
      </c>
    </row>
    <row r="717" spans="1:21" x14ac:dyDescent="0.35">
      <c r="A717">
        <v>33</v>
      </c>
      <c r="B717" t="str" cm="1">
        <f t="array" ref="B717">_xlfn.IFS(A717&gt;40,"Senior",A717&gt;30,"Adult",A717&gt;=18,"Teenager")</f>
        <v>Adult</v>
      </c>
      <c r="C717" t="s">
        <v>22</v>
      </c>
      <c r="D717">
        <f t="shared" si="11"/>
        <v>0</v>
      </c>
      <c r="E717" t="s">
        <v>23</v>
      </c>
      <c r="F717">
        <v>3</v>
      </c>
      <c r="G717" t="s">
        <v>20</v>
      </c>
      <c r="H717">
        <v>4</v>
      </c>
      <c r="I717">
        <v>2</v>
      </c>
      <c r="J717" t="s">
        <v>28</v>
      </c>
      <c r="K717">
        <v>2</v>
      </c>
      <c r="L717">
        <v>5488</v>
      </c>
      <c r="M717" t="str" cm="1">
        <f t="array" ref="M717">_xlfn.IFS(L717&lt;= 7000,"Low",L717&lt;=15000,"Medium",L717&lt;=20000,"High")</f>
        <v>Low</v>
      </c>
      <c r="N717" t="s">
        <v>18</v>
      </c>
      <c r="O717">
        <v>13</v>
      </c>
      <c r="P717">
        <v>3</v>
      </c>
      <c r="Q717">
        <v>1</v>
      </c>
      <c r="R717">
        <v>6</v>
      </c>
      <c r="S717">
        <v>3</v>
      </c>
      <c r="T717">
        <v>6</v>
      </c>
      <c r="U717">
        <v>5</v>
      </c>
    </row>
    <row r="718" spans="1:21" x14ac:dyDescent="0.35">
      <c r="A718">
        <v>41</v>
      </c>
      <c r="B718" t="str" cm="1">
        <f t="array" ref="B718">_xlfn.IFS(A718&gt;40,"Senior",A718&gt;30,"Adult",A718&gt;=18,"Teenager")</f>
        <v>Senior</v>
      </c>
      <c r="C718" t="s">
        <v>22</v>
      </c>
      <c r="D718">
        <f t="shared" si="11"/>
        <v>0</v>
      </c>
      <c r="E718" t="s">
        <v>23</v>
      </c>
      <c r="F718">
        <v>1</v>
      </c>
      <c r="G718" t="s">
        <v>24</v>
      </c>
      <c r="H718">
        <v>3</v>
      </c>
      <c r="I718">
        <v>5</v>
      </c>
      <c r="J718" t="s">
        <v>31</v>
      </c>
      <c r="K718">
        <v>3</v>
      </c>
      <c r="L718">
        <v>19419</v>
      </c>
      <c r="M718" t="str" cm="1">
        <f t="array" ref="M718">_xlfn.IFS(L718&lt;= 7000,"Low",L718&lt;=15000,"Medium",L718&lt;=20000,"High")</f>
        <v>High</v>
      </c>
      <c r="N718" t="s">
        <v>22</v>
      </c>
      <c r="O718">
        <v>17</v>
      </c>
      <c r="P718">
        <v>3</v>
      </c>
      <c r="Q718">
        <v>2</v>
      </c>
      <c r="R718">
        <v>21</v>
      </c>
      <c r="S718">
        <v>4</v>
      </c>
      <c r="T718">
        <v>18</v>
      </c>
      <c r="U718">
        <v>16</v>
      </c>
    </row>
    <row r="719" spans="1:21" x14ac:dyDescent="0.35">
      <c r="A719">
        <v>27</v>
      </c>
      <c r="B719" t="str" cm="1">
        <f t="array" ref="B719">_xlfn.IFS(A719&gt;40,"Senior",A719&gt;30,"Adult",A719&gt;=18,"Teenager")</f>
        <v>Teenager</v>
      </c>
      <c r="C719" t="s">
        <v>22</v>
      </c>
      <c r="D719">
        <f t="shared" si="11"/>
        <v>0</v>
      </c>
      <c r="E719" t="s">
        <v>23</v>
      </c>
      <c r="F719">
        <v>3</v>
      </c>
      <c r="G719" t="s">
        <v>20</v>
      </c>
      <c r="H719">
        <v>3</v>
      </c>
      <c r="I719">
        <v>1</v>
      </c>
      <c r="J719" t="s">
        <v>26</v>
      </c>
      <c r="K719">
        <v>2</v>
      </c>
      <c r="L719">
        <v>2811</v>
      </c>
      <c r="M719" t="str" cm="1">
        <f t="array" ref="M719">_xlfn.IFS(L719&lt;= 7000,"Low",L719&lt;=15000,"Medium",L719&lt;=20000,"High")</f>
        <v>Low</v>
      </c>
      <c r="N719" t="s">
        <v>22</v>
      </c>
      <c r="O719">
        <v>14</v>
      </c>
      <c r="P719">
        <v>3</v>
      </c>
      <c r="Q719">
        <v>2</v>
      </c>
      <c r="R719">
        <v>4</v>
      </c>
      <c r="S719">
        <v>3</v>
      </c>
      <c r="T719">
        <v>2</v>
      </c>
      <c r="U719">
        <v>2</v>
      </c>
    </row>
    <row r="720" spans="1:21" x14ac:dyDescent="0.35">
      <c r="A720">
        <v>45</v>
      </c>
      <c r="B720" t="str" cm="1">
        <f t="array" ref="B720">_xlfn.IFS(A720&gt;40,"Senior",A720&gt;30,"Adult",A720&gt;=18,"Teenager")</f>
        <v>Senior</v>
      </c>
      <c r="C720" t="s">
        <v>22</v>
      </c>
      <c r="D720">
        <f t="shared" si="11"/>
        <v>0</v>
      </c>
      <c r="E720" t="s">
        <v>23</v>
      </c>
      <c r="F720">
        <v>4</v>
      </c>
      <c r="G720" t="s">
        <v>24</v>
      </c>
      <c r="H720">
        <v>3</v>
      </c>
      <c r="I720">
        <v>2</v>
      </c>
      <c r="J720" t="s">
        <v>26</v>
      </c>
      <c r="K720">
        <v>1</v>
      </c>
      <c r="L720">
        <v>3633</v>
      </c>
      <c r="M720" t="str" cm="1">
        <f t="array" ref="M720">_xlfn.IFS(L720&lt;= 7000,"Low",L720&lt;=15000,"Medium",L720&lt;=20000,"High")</f>
        <v>Low</v>
      </c>
      <c r="N720" t="s">
        <v>18</v>
      </c>
      <c r="O720">
        <v>15</v>
      </c>
      <c r="P720">
        <v>3</v>
      </c>
      <c r="Q720">
        <v>3</v>
      </c>
      <c r="R720">
        <v>9</v>
      </c>
      <c r="S720">
        <v>3</v>
      </c>
      <c r="T720">
        <v>9</v>
      </c>
      <c r="U720">
        <v>8</v>
      </c>
    </row>
    <row r="721" spans="1:21" x14ac:dyDescent="0.35">
      <c r="A721">
        <v>47</v>
      </c>
      <c r="B721" t="str" cm="1">
        <f t="array" ref="B721">_xlfn.IFS(A721&gt;40,"Senior",A721&gt;30,"Adult",A721&gt;=18,"Teenager")</f>
        <v>Senior</v>
      </c>
      <c r="C721" t="s">
        <v>22</v>
      </c>
      <c r="D721">
        <f t="shared" si="11"/>
        <v>0</v>
      </c>
      <c r="E721" t="s">
        <v>19</v>
      </c>
      <c r="F721">
        <v>4</v>
      </c>
      <c r="G721" t="s">
        <v>20</v>
      </c>
      <c r="H721">
        <v>3</v>
      </c>
      <c r="I721">
        <v>2</v>
      </c>
      <c r="J721" t="s">
        <v>21</v>
      </c>
      <c r="K721">
        <v>4</v>
      </c>
      <c r="L721">
        <v>4163</v>
      </c>
      <c r="M721" t="str" cm="1">
        <f t="array" ref="M721">_xlfn.IFS(L721&lt;= 7000,"Low",L721&lt;=15000,"Medium",L721&lt;=20000,"High")</f>
        <v>Low</v>
      </c>
      <c r="N721" t="s">
        <v>18</v>
      </c>
      <c r="O721">
        <v>17</v>
      </c>
      <c r="P721">
        <v>3</v>
      </c>
      <c r="Q721">
        <v>3</v>
      </c>
      <c r="R721">
        <v>9</v>
      </c>
      <c r="S721">
        <v>3</v>
      </c>
      <c r="T721">
        <v>9</v>
      </c>
      <c r="U721">
        <v>0</v>
      </c>
    </row>
    <row r="722" spans="1:21" x14ac:dyDescent="0.35">
      <c r="A722">
        <v>30</v>
      </c>
      <c r="B722" t="str" cm="1">
        <f t="array" ref="B722">_xlfn.IFS(A722&gt;40,"Senior",A722&gt;30,"Adult",A722&gt;=18,"Teenager")</f>
        <v>Teenager</v>
      </c>
      <c r="C722" t="s">
        <v>18</v>
      </c>
      <c r="D722">
        <f t="shared" si="11"/>
        <v>1</v>
      </c>
      <c r="E722" t="s">
        <v>23</v>
      </c>
      <c r="F722">
        <v>1</v>
      </c>
      <c r="G722" t="s">
        <v>20</v>
      </c>
      <c r="H722">
        <v>3</v>
      </c>
      <c r="I722">
        <v>1</v>
      </c>
      <c r="J722" t="s">
        <v>25</v>
      </c>
      <c r="K722">
        <v>3</v>
      </c>
      <c r="L722">
        <v>2132</v>
      </c>
      <c r="M722" t="str" cm="1">
        <f t="array" ref="M722">_xlfn.IFS(L722&lt;= 7000,"Low",L722&lt;=15000,"Medium",L722&lt;=20000,"High")</f>
        <v>Low</v>
      </c>
      <c r="N722" t="s">
        <v>18</v>
      </c>
      <c r="O722">
        <v>11</v>
      </c>
      <c r="P722">
        <v>3</v>
      </c>
      <c r="Q722">
        <v>2</v>
      </c>
      <c r="R722">
        <v>7</v>
      </c>
      <c r="S722">
        <v>3</v>
      </c>
      <c r="T722">
        <v>5</v>
      </c>
      <c r="U722">
        <v>2</v>
      </c>
    </row>
    <row r="723" spans="1:21" x14ac:dyDescent="0.35">
      <c r="A723">
        <v>50</v>
      </c>
      <c r="B723" t="str" cm="1">
        <f t="array" ref="B723">_xlfn.IFS(A723&gt;40,"Senior",A723&gt;30,"Adult",A723&gt;=18,"Teenager")</f>
        <v>Senior</v>
      </c>
      <c r="C723" t="s">
        <v>22</v>
      </c>
      <c r="D723">
        <f t="shared" si="11"/>
        <v>0</v>
      </c>
      <c r="E723" t="s">
        <v>23</v>
      </c>
      <c r="F723">
        <v>4</v>
      </c>
      <c r="G723" t="s">
        <v>24</v>
      </c>
      <c r="H723">
        <v>3</v>
      </c>
      <c r="I723">
        <v>4</v>
      </c>
      <c r="J723" t="s">
        <v>27</v>
      </c>
      <c r="K723">
        <v>3</v>
      </c>
      <c r="L723">
        <v>13973</v>
      </c>
      <c r="M723" t="str" cm="1">
        <f t="array" ref="M723">_xlfn.IFS(L723&lt;= 7000,"Low",L723&lt;=15000,"Medium",L723&lt;=20000,"High")</f>
        <v>Medium</v>
      </c>
      <c r="N723" t="s">
        <v>18</v>
      </c>
      <c r="O723">
        <v>18</v>
      </c>
      <c r="P723">
        <v>3</v>
      </c>
      <c r="Q723">
        <v>4</v>
      </c>
      <c r="R723">
        <v>22</v>
      </c>
      <c r="S723">
        <v>3</v>
      </c>
      <c r="T723">
        <v>12</v>
      </c>
      <c r="U723">
        <v>11</v>
      </c>
    </row>
    <row r="724" spans="1:21" x14ac:dyDescent="0.35">
      <c r="A724">
        <v>38</v>
      </c>
      <c r="B724" t="str" cm="1">
        <f t="array" ref="B724">_xlfn.IFS(A724&gt;40,"Senior",A724&gt;30,"Adult",A724&gt;=18,"Teenager")</f>
        <v>Adult</v>
      </c>
      <c r="C724" t="s">
        <v>22</v>
      </c>
      <c r="D724">
        <f t="shared" si="11"/>
        <v>0</v>
      </c>
      <c r="E724" t="s">
        <v>23</v>
      </c>
      <c r="F724">
        <v>3</v>
      </c>
      <c r="G724" t="s">
        <v>24</v>
      </c>
      <c r="H724">
        <v>3</v>
      </c>
      <c r="I724">
        <v>1</v>
      </c>
      <c r="J724" t="s">
        <v>25</v>
      </c>
      <c r="K724">
        <v>3</v>
      </c>
      <c r="L724">
        <v>2684</v>
      </c>
      <c r="M724" t="str" cm="1">
        <f t="array" ref="M724">_xlfn.IFS(L724&lt;= 7000,"Low",L724&lt;=15000,"Medium",L724&lt;=20000,"High")</f>
        <v>Low</v>
      </c>
      <c r="N724" t="s">
        <v>22</v>
      </c>
      <c r="O724">
        <v>17</v>
      </c>
      <c r="P724">
        <v>3</v>
      </c>
      <c r="Q724">
        <v>2</v>
      </c>
      <c r="R724">
        <v>3</v>
      </c>
      <c r="S724">
        <v>2</v>
      </c>
      <c r="T724">
        <v>2</v>
      </c>
      <c r="U724">
        <v>1</v>
      </c>
    </row>
    <row r="725" spans="1:21" x14ac:dyDescent="0.35">
      <c r="A725">
        <v>46</v>
      </c>
      <c r="B725" t="str" cm="1">
        <f t="array" ref="B725">_xlfn.IFS(A725&gt;40,"Senior",A725&gt;30,"Adult",A725&gt;=18,"Teenager")</f>
        <v>Senior</v>
      </c>
      <c r="C725" t="s">
        <v>22</v>
      </c>
      <c r="D725">
        <f t="shared" si="11"/>
        <v>0</v>
      </c>
      <c r="E725" t="s">
        <v>23</v>
      </c>
      <c r="F725">
        <v>4</v>
      </c>
      <c r="G725" t="s">
        <v>24</v>
      </c>
      <c r="H725">
        <v>3</v>
      </c>
      <c r="I725">
        <v>3</v>
      </c>
      <c r="J725" t="s">
        <v>27</v>
      </c>
      <c r="K725">
        <v>3</v>
      </c>
      <c r="L725">
        <v>10845</v>
      </c>
      <c r="M725" t="str" cm="1">
        <f t="array" ref="M725">_xlfn.IFS(L725&lt;= 7000,"Low",L725&lt;=15000,"Medium",L725&lt;=20000,"High")</f>
        <v>Medium</v>
      </c>
      <c r="N725" t="s">
        <v>22</v>
      </c>
      <c r="O725">
        <v>13</v>
      </c>
      <c r="P725">
        <v>3</v>
      </c>
      <c r="Q725">
        <v>2</v>
      </c>
      <c r="R725">
        <v>13</v>
      </c>
      <c r="S725">
        <v>3</v>
      </c>
      <c r="T725">
        <v>8</v>
      </c>
      <c r="U725">
        <v>7</v>
      </c>
    </row>
    <row r="726" spans="1:21" x14ac:dyDescent="0.35">
      <c r="A726">
        <v>24</v>
      </c>
      <c r="B726" t="str" cm="1">
        <f t="array" ref="B726">_xlfn.IFS(A726&gt;40,"Senior",A726&gt;30,"Adult",A726&gt;=18,"Teenager")</f>
        <v>Teenager</v>
      </c>
      <c r="C726" t="s">
        <v>22</v>
      </c>
      <c r="D726">
        <f t="shared" si="11"/>
        <v>0</v>
      </c>
      <c r="E726" t="s">
        <v>23</v>
      </c>
      <c r="F726">
        <v>4</v>
      </c>
      <c r="G726" t="s">
        <v>20</v>
      </c>
      <c r="H726">
        <v>2</v>
      </c>
      <c r="I726">
        <v>2</v>
      </c>
      <c r="J726" t="s">
        <v>27</v>
      </c>
      <c r="K726">
        <v>3</v>
      </c>
      <c r="L726">
        <v>4377</v>
      </c>
      <c r="M726" t="str" cm="1">
        <f t="array" ref="M726">_xlfn.IFS(L726&lt;= 7000,"Low",L726&lt;=15000,"Medium",L726&lt;=20000,"High")</f>
        <v>Low</v>
      </c>
      <c r="N726" t="s">
        <v>22</v>
      </c>
      <c r="O726">
        <v>15</v>
      </c>
      <c r="P726">
        <v>3</v>
      </c>
      <c r="Q726">
        <v>2</v>
      </c>
      <c r="R726">
        <v>5</v>
      </c>
      <c r="S726">
        <v>3</v>
      </c>
      <c r="T726">
        <v>4</v>
      </c>
      <c r="U726">
        <v>2</v>
      </c>
    </row>
    <row r="727" spans="1:21" x14ac:dyDescent="0.35">
      <c r="A727">
        <v>35</v>
      </c>
      <c r="B727" t="str" cm="1">
        <f t="array" ref="B727">_xlfn.IFS(A727&gt;40,"Senior",A727&gt;30,"Adult",A727&gt;=18,"Teenager")</f>
        <v>Adult</v>
      </c>
      <c r="C727" t="s">
        <v>18</v>
      </c>
      <c r="D727">
        <f t="shared" si="11"/>
        <v>1</v>
      </c>
      <c r="E727" t="s">
        <v>23</v>
      </c>
      <c r="F727">
        <v>3</v>
      </c>
      <c r="G727" t="s">
        <v>24</v>
      </c>
      <c r="H727">
        <v>2</v>
      </c>
      <c r="I727">
        <v>1</v>
      </c>
      <c r="J727" t="s">
        <v>26</v>
      </c>
      <c r="K727">
        <v>2</v>
      </c>
      <c r="L727">
        <v>3743</v>
      </c>
      <c r="M727" t="str" cm="1">
        <f t="array" ref="M727">_xlfn.IFS(L727&lt;= 7000,"Low",L727&lt;=15000,"Medium",L727&lt;=20000,"High")</f>
        <v>Low</v>
      </c>
      <c r="N727" t="s">
        <v>18</v>
      </c>
      <c r="O727">
        <v>24</v>
      </c>
      <c r="P727">
        <v>4</v>
      </c>
      <c r="Q727">
        <v>4</v>
      </c>
      <c r="R727">
        <v>5</v>
      </c>
      <c r="S727">
        <v>1</v>
      </c>
      <c r="T727">
        <v>4</v>
      </c>
      <c r="U727">
        <v>2</v>
      </c>
    </row>
    <row r="728" spans="1:21" x14ac:dyDescent="0.35">
      <c r="A728">
        <v>31</v>
      </c>
      <c r="B728" t="str" cm="1">
        <f t="array" ref="B728">_xlfn.IFS(A728&gt;40,"Senior",A728&gt;30,"Adult",A728&gt;=18,"Teenager")</f>
        <v>Adult</v>
      </c>
      <c r="C728" t="s">
        <v>22</v>
      </c>
      <c r="D728">
        <f t="shared" si="11"/>
        <v>0</v>
      </c>
      <c r="E728" t="s">
        <v>23</v>
      </c>
      <c r="F728">
        <v>3</v>
      </c>
      <c r="G728" t="s">
        <v>20</v>
      </c>
      <c r="H728">
        <v>3</v>
      </c>
      <c r="I728">
        <v>2</v>
      </c>
      <c r="J728" t="s">
        <v>27</v>
      </c>
      <c r="K728">
        <v>1</v>
      </c>
      <c r="L728">
        <v>4148</v>
      </c>
      <c r="M728" t="str" cm="1">
        <f t="array" ref="M728">_xlfn.IFS(L728&lt;= 7000,"Low",L728&lt;=15000,"Medium",L728&lt;=20000,"High")</f>
        <v>Low</v>
      </c>
      <c r="N728" t="s">
        <v>22</v>
      </c>
      <c r="O728">
        <v>12</v>
      </c>
      <c r="P728">
        <v>3</v>
      </c>
      <c r="Q728">
        <v>3</v>
      </c>
      <c r="R728">
        <v>4</v>
      </c>
      <c r="S728">
        <v>3</v>
      </c>
      <c r="T728">
        <v>4</v>
      </c>
      <c r="U728">
        <v>3</v>
      </c>
    </row>
    <row r="729" spans="1:21" x14ac:dyDescent="0.35">
      <c r="A729">
        <v>18</v>
      </c>
      <c r="B729" t="str" cm="1">
        <f t="array" ref="B729">_xlfn.IFS(A729&gt;40,"Senior",A729&gt;30,"Adult",A729&gt;=18,"Teenager")</f>
        <v>Teenager</v>
      </c>
      <c r="C729" t="s">
        <v>22</v>
      </c>
      <c r="D729">
        <f t="shared" si="11"/>
        <v>0</v>
      </c>
      <c r="E729" t="s">
        <v>23</v>
      </c>
      <c r="F729">
        <v>2</v>
      </c>
      <c r="G729" t="s">
        <v>24</v>
      </c>
      <c r="H729">
        <v>3</v>
      </c>
      <c r="I729">
        <v>1</v>
      </c>
      <c r="J729" t="s">
        <v>25</v>
      </c>
      <c r="K729">
        <v>4</v>
      </c>
      <c r="L729">
        <v>1051</v>
      </c>
      <c r="M729" t="str" cm="1">
        <f t="array" ref="M729">_xlfn.IFS(L729&lt;= 7000,"Low",L729&lt;=15000,"Medium",L729&lt;=20000,"High")</f>
        <v>Low</v>
      </c>
      <c r="N729" t="s">
        <v>22</v>
      </c>
      <c r="O729">
        <v>15</v>
      </c>
      <c r="P729">
        <v>3</v>
      </c>
      <c r="Q729">
        <v>4</v>
      </c>
      <c r="R729">
        <v>0</v>
      </c>
      <c r="S729">
        <v>3</v>
      </c>
      <c r="T729">
        <v>0</v>
      </c>
      <c r="U729">
        <v>0</v>
      </c>
    </row>
    <row r="730" spans="1:21" x14ac:dyDescent="0.35">
      <c r="A730">
        <v>54</v>
      </c>
      <c r="B730" t="str" cm="1">
        <f t="array" ref="B730">_xlfn.IFS(A730&gt;40,"Senior",A730&gt;30,"Adult",A730&gt;=18,"Teenager")</f>
        <v>Senior</v>
      </c>
      <c r="C730" t="s">
        <v>22</v>
      </c>
      <c r="D730">
        <f t="shared" si="11"/>
        <v>0</v>
      </c>
      <c r="E730" t="s">
        <v>23</v>
      </c>
      <c r="F730">
        <v>3</v>
      </c>
      <c r="G730" t="s">
        <v>20</v>
      </c>
      <c r="H730">
        <v>3</v>
      </c>
      <c r="I730">
        <v>3</v>
      </c>
      <c r="J730" t="s">
        <v>27</v>
      </c>
      <c r="K730">
        <v>3</v>
      </c>
      <c r="L730">
        <v>10739</v>
      </c>
      <c r="M730" t="str" cm="1">
        <f t="array" ref="M730">_xlfn.IFS(L730&lt;= 7000,"Low",L730&lt;=15000,"Medium",L730&lt;=20000,"High")</f>
        <v>Medium</v>
      </c>
      <c r="N730" t="s">
        <v>22</v>
      </c>
      <c r="O730">
        <v>11</v>
      </c>
      <c r="P730">
        <v>3</v>
      </c>
      <c r="Q730">
        <v>3</v>
      </c>
      <c r="R730">
        <v>22</v>
      </c>
      <c r="S730">
        <v>3</v>
      </c>
      <c r="T730">
        <v>10</v>
      </c>
      <c r="U730">
        <v>7</v>
      </c>
    </row>
    <row r="731" spans="1:21" x14ac:dyDescent="0.35">
      <c r="A731">
        <v>35</v>
      </c>
      <c r="B731" t="str" cm="1">
        <f t="array" ref="B731">_xlfn.IFS(A731&gt;40,"Senior",A731&gt;30,"Adult",A731&gt;=18,"Teenager")</f>
        <v>Adult</v>
      </c>
      <c r="C731" t="s">
        <v>22</v>
      </c>
      <c r="D731">
        <f t="shared" si="11"/>
        <v>0</v>
      </c>
      <c r="E731" t="s">
        <v>23</v>
      </c>
      <c r="F731">
        <v>3</v>
      </c>
      <c r="G731" t="s">
        <v>20</v>
      </c>
      <c r="H731">
        <v>3</v>
      </c>
      <c r="I731">
        <v>3</v>
      </c>
      <c r="J731" t="s">
        <v>28</v>
      </c>
      <c r="K731">
        <v>3</v>
      </c>
      <c r="L731">
        <v>10388</v>
      </c>
      <c r="M731" t="str" cm="1">
        <f t="array" ref="M731">_xlfn.IFS(L731&lt;= 7000,"Low",L731&lt;=15000,"Medium",L731&lt;=20000,"High")</f>
        <v>Medium</v>
      </c>
      <c r="N731" t="s">
        <v>18</v>
      </c>
      <c r="O731">
        <v>11</v>
      </c>
      <c r="P731">
        <v>3</v>
      </c>
      <c r="Q731">
        <v>3</v>
      </c>
      <c r="R731">
        <v>16</v>
      </c>
      <c r="S731">
        <v>2</v>
      </c>
      <c r="T731">
        <v>16</v>
      </c>
      <c r="U731">
        <v>10</v>
      </c>
    </row>
    <row r="732" spans="1:21" x14ac:dyDescent="0.35">
      <c r="A732">
        <v>30</v>
      </c>
      <c r="B732" t="str" cm="1">
        <f t="array" ref="B732">_xlfn.IFS(A732&gt;40,"Senior",A732&gt;30,"Adult",A732&gt;=18,"Teenager")</f>
        <v>Teenager</v>
      </c>
      <c r="C732" t="s">
        <v>22</v>
      </c>
      <c r="D732">
        <f t="shared" si="11"/>
        <v>0</v>
      </c>
      <c r="E732" t="s">
        <v>23</v>
      </c>
      <c r="F732">
        <v>2</v>
      </c>
      <c r="G732" t="s">
        <v>20</v>
      </c>
      <c r="H732">
        <v>4</v>
      </c>
      <c r="I732">
        <v>3</v>
      </c>
      <c r="J732" t="s">
        <v>31</v>
      </c>
      <c r="K732">
        <v>1</v>
      </c>
      <c r="L732">
        <v>11416</v>
      </c>
      <c r="M732" t="str" cm="1">
        <f t="array" ref="M732">_xlfn.IFS(L732&lt;= 7000,"Low",L732&lt;=15000,"Medium",L732&lt;=20000,"High")</f>
        <v>Medium</v>
      </c>
      <c r="N732" t="s">
        <v>18</v>
      </c>
      <c r="O732">
        <v>12</v>
      </c>
      <c r="P732">
        <v>3</v>
      </c>
      <c r="Q732">
        <v>3</v>
      </c>
      <c r="R732">
        <v>9</v>
      </c>
      <c r="S732">
        <v>2</v>
      </c>
      <c r="T732">
        <v>8</v>
      </c>
      <c r="U732">
        <v>7</v>
      </c>
    </row>
    <row r="733" spans="1:21" x14ac:dyDescent="0.35">
      <c r="A733">
        <v>20</v>
      </c>
      <c r="B733" t="str" cm="1">
        <f t="array" ref="B733">_xlfn.IFS(A733&gt;40,"Senior",A733&gt;30,"Adult",A733&gt;=18,"Teenager")</f>
        <v>Teenager</v>
      </c>
      <c r="C733" t="s">
        <v>18</v>
      </c>
      <c r="D733">
        <f t="shared" si="11"/>
        <v>1</v>
      </c>
      <c r="E733" t="s">
        <v>23</v>
      </c>
      <c r="F733">
        <v>4</v>
      </c>
      <c r="G733" t="s">
        <v>20</v>
      </c>
      <c r="H733">
        <v>2</v>
      </c>
      <c r="I733">
        <v>1</v>
      </c>
      <c r="J733" t="s">
        <v>25</v>
      </c>
      <c r="K733">
        <v>1</v>
      </c>
      <c r="L733">
        <v>2600</v>
      </c>
      <c r="M733" t="str" cm="1">
        <f t="array" ref="M733">_xlfn.IFS(L733&lt;= 7000,"Low",L733&lt;=15000,"Medium",L733&lt;=20000,"High")</f>
        <v>Low</v>
      </c>
      <c r="N733" t="s">
        <v>18</v>
      </c>
      <c r="O733">
        <v>15</v>
      </c>
      <c r="P733">
        <v>3</v>
      </c>
      <c r="Q733">
        <v>1</v>
      </c>
      <c r="R733">
        <v>1</v>
      </c>
      <c r="S733">
        <v>3</v>
      </c>
      <c r="T733">
        <v>1</v>
      </c>
      <c r="U733">
        <v>0</v>
      </c>
    </row>
    <row r="734" spans="1:21" x14ac:dyDescent="0.35">
      <c r="A734">
        <v>30</v>
      </c>
      <c r="B734" t="str" cm="1">
        <f t="array" ref="B734">_xlfn.IFS(A734&gt;40,"Senior",A734&gt;30,"Adult",A734&gt;=18,"Teenager")</f>
        <v>Teenager</v>
      </c>
      <c r="C734" t="s">
        <v>18</v>
      </c>
      <c r="D734">
        <f t="shared" si="11"/>
        <v>1</v>
      </c>
      <c r="E734" t="s">
        <v>23</v>
      </c>
      <c r="F734">
        <v>2</v>
      </c>
      <c r="G734" t="s">
        <v>20</v>
      </c>
      <c r="H734">
        <v>3</v>
      </c>
      <c r="I734">
        <v>1</v>
      </c>
      <c r="J734" t="s">
        <v>26</v>
      </c>
      <c r="K734">
        <v>2</v>
      </c>
      <c r="L734">
        <v>2422</v>
      </c>
      <c r="M734" t="str" cm="1">
        <f t="array" ref="M734">_xlfn.IFS(L734&lt;= 7000,"Low",L734&lt;=15000,"Medium",L734&lt;=20000,"High")</f>
        <v>Low</v>
      </c>
      <c r="N734" t="s">
        <v>22</v>
      </c>
      <c r="O734">
        <v>17</v>
      </c>
      <c r="P734">
        <v>3</v>
      </c>
      <c r="Q734">
        <v>1</v>
      </c>
      <c r="R734">
        <v>4</v>
      </c>
      <c r="S734">
        <v>3</v>
      </c>
      <c r="T734">
        <v>3</v>
      </c>
      <c r="U734">
        <v>2</v>
      </c>
    </row>
    <row r="735" spans="1:21" x14ac:dyDescent="0.35">
      <c r="A735">
        <v>26</v>
      </c>
      <c r="B735" t="str" cm="1">
        <f t="array" ref="B735">_xlfn.IFS(A735&gt;40,"Senior",A735&gt;30,"Adult",A735&gt;=18,"Teenager")</f>
        <v>Teenager</v>
      </c>
      <c r="C735" t="s">
        <v>22</v>
      </c>
      <c r="D735">
        <f t="shared" si="11"/>
        <v>0</v>
      </c>
      <c r="E735" t="s">
        <v>23</v>
      </c>
      <c r="F735">
        <v>4</v>
      </c>
      <c r="G735" t="s">
        <v>24</v>
      </c>
      <c r="H735">
        <v>4</v>
      </c>
      <c r="I735">
        <v>2</v>
      </c>
      <c r="J735" t="s">
        <v>27</v>
      </c>
      <c r="K735">
        <v>4</v>
      </c>
      <c r="L735">
        <v>5472</v>
      </c>
      <c r="M735" t="str" cm="1">
        <f t="array" ref="M735">_xlfn.IFS(L735&lt;= 7000,"Low",L735&lt;=15000,"Medium",L735&lt;=20000,"High")</f>
        <v>Low</v>
      </c>
      <c r="N735" t="s">
        <v>22</v>
      </c>
      <c r="O735">
        <v>12</v>
      </c>
      <c r="P735">
        <v>3</v>
      </c>
      <c r="Q735">
        <v>2</v>
      </c>
      <c r="R735">
        <v>8</v>
      </c>
      <c r="S735">
        <v>3</v>
      </c>
      <c r="T735">
        <v>8</v>
      </c>
      <c r="U735">
        <v>7</v>
      </c>
    </row>
    <row r="736" spans="1:21" x14ac:dyDescent="0.35">
      <c r="A736">
        <v>22</v>
      </c>
      <c r="B736" t="str" cm="1">
        <f t="array" ref="B736">_xlfn.IFS(A736&gt;40,"Senior",A736&gt;30,"Adult",A736&gt;=18,"Teenager")</f>
        <v>Teenager</v>
      </c>
      <c r="C736" t="s">
        <v>22</v>
      </c>
      <c r="D736">
        <f t="shared" si="11"/>
        <v>0</v>
      </c>
      <c r="E736" t="s">
        <v>23</v>
      </c>
      <c r="F736">
        <v>2</v>
      </c>
      <c r="G736" t="s">
        <v>24</v>
      </c>
      <c r="H736">
        <v>1</v>
      </c>
      <c r="I736">
        <v>1</v>
      </c>
      <c r="J736" t="s">
        <v>26</v>
      </c>
      <c r="K736">
        <v>1</v>
      </c>
      <c r="L736">
        <v>2451</v>
      </c>
      <c r="M736" t="str" cm="1">
        <f t="array" ref="M736">_xlfn.IFS(L736&lt;= 7000,"Low",L736&lt;=15000,"Medium",L736&lt;=20000,"High")</f>
        <v>Low</v>
      </c>
      <c r="N736" t="s">
        <v>22</v>
      </c>
      <c r="O736">
        <v>15</v>
      </c>
      <c r="P736">
        <v>3</v>
      </c>
      <c r="Q736">
        <v>1</v>
      </c>
      <c r="R736">
        <v>4</v>
      </c>
      <c r="S736">
        <v>2</v>
      </c>
      <c r="T736">
        <v>4</v>
      </c>
      <c r="U736">
        <v>3</v>
      </c>
    </row>
    <row r="737" spans="1:21" x14ac:dyDescent="0.35">
      <c r="A737">
        <v>48</v>
      </c>
      <c r="B737" t="str" cm="1">
        <f t="array" ref="B737">_xlfn.IFS(A737&gt;40,"Senior",A737&gt;30,"Adult",A737&gt;=18,"Teenager")</f>
        <v>Senior</v>
      </c>
      <c r="C737" t="s">
        <v>22</v>
      </c>
      <c r="D737">
        <f t="shared" si="11"/>
        <v>0</v>
      </c>
      <c r="E737" t="s">
        <v>23</v>
      </c>
      <c r="F737">
        <v>1</v>
      </c>
      <c r="G737" t="s">
        <v>24</v>
      </c>
      <c r="H737">
        <v>2</v>
      </c>
      <c r="I737">
        <v>2</v>
      </c>
      <c r="J737" t="s">
        <v>28</v>
      </c>
      <c r="K737">
        <v>3</v>
      </c>
      <c r="L737">
        <v>4240</v>
      </c>
      <c r="M737" t="str" cm="1">
        <f t="array" ref="M737">_xlfn.IFS(L737&lt;= 7000,"Low",L737&lt;=15000,"Medium",L737&lt;=20000,"High")</f>
        <v>Low</v>
      </c>
      <c r="N737" t="s">
        <v>22</v>
      </c>
      <c r="O737">
        <v>13</v>
      </c>
      <c r="P737">
        <v>3</v>
      </c>
      <c r="Q737">
        <v>4</v>
      </c>
      <c r="R737">
        <v>19</v>
      </c>
      <c r="S737">
        <v>3</v>
      </c>
      <c r="T737">
        <v>2</v>
      </c>
      <c r="U737">
        <v>2</v>
      </c>
    </row>
    <row r="738" spans="1:21" x14ac:dyDescent="0.35">
      <c r="A738">
        <v>48</v>
      </c>
      <c r="B738" t="str" cm="1">
        <f t="array" ref="B738">_xlfn.IFS(A738&gt;40,"Senior",A738&gt;30,"Adult",A738&gt;=18,"Teenager")</f>
        <v>Senior</v>
      </c>
      <c r="C738" t="s">
        <v>22</v>
      </c>
      <c r="D738">
        <f t="shared" si="11"/>
        <v>0</v>
      </c>
      <c r="E738" t="s">
        <v>23</v>
      </c>
      <c r="F738">
        <v>3</v>
      </c>
      <c r="G738" t="s">
        <v>24</v>
      </c>
      <c r="H738">
        <v>2</v>
      </c>
      <c r="I738">
        <v>3</v>
      </c>
      <c r="J738" t="s">
        <v>28</v>
      </c>
      <c r="K738">
        <v>3</v>
      </c>
      <c r="L738">
        <v>10999</v>
      </c>
      <c r="M738" t="str" cm="1">
        <f t="array" ref="M738">_xlfn.IFS(L738&lt;= 7000,"Low",L738&lt;=15000,"Medium",L738&lt;=20000,"High")</f>
        <v>Medium</v>
      </c>
      <c r="N738" t="s">
        <v>22</v>
      </c>
      <c r="O738">
        <v>14</v>
      </c>
      <c r="P738">
        <v>3</v>
      </c>
      <c r="Q738">
        <v>2</v>
      </c>
      <c r="R738">
        <v>27</v>
      </c>
      <c r="S738">
        <v>3</v>
      </c>
      <c r="T738">
        <v>15</v>
      </c>
      <c r="U738">
        <v>11</v>
      </c>
    </row>
    <row r="739" spans="1:21" x14ac:dyDescent="0.35">
      <c r="A739">
        <v>41</v>
      </c>
      <c r="B739" t="str" cm="1">
        <f t="array" ref="B739">_xlfn.IFS(A739&gt;40,"Senior",A739&gt;30,"Adult",A739&gt;=18,"Teenager")</f>
        <v>Senior</v>
      </c>
      <c r="C739" t="s">
        <v>22</v>
      </c>
      <c r="D739">
        <f t="shared" si="11"/>
        <v>0</v>
      </c>
      <c r="E739" t="s">
        <v>23</v>
      </c>
      <c r="F739">
        <v>4</v>
      </c>
      <c r="G739" t="s">
        <v>20</v>
      </c>
      <c r="H739">
        <v>3</v>
      </c>
      <c r="I739">
        <v>2</v>
      </c>
      <c r="J739" t="s">
        <v>27</v>
      </c>
      <c r="K739">
        <v>3</v>
      </c>
      <c r="L739">
        <v>5003</v>
      </c>
      <c r="M739" t="str" cm="1">
        <f t="array" ref="M739">_xlfn.IFS(L739&lt;= 7000,"Low",L739&lt;=15000,"Medium",L739&lt;=20000,"High")</f>
        <v>Low</v>
      </c>
      <c r="N739" t="s">
        <v>22</v>
      </c>
      <c r="O739">
        <v>14</v>
      </c>
      <c r="P739">
        <v>3</v>
      </c>
      <c r="Q739">
        <v>2</v>
      </c>
      <c r="R739">
        <v>8</v>
      </c>
      <c r="S739">
        <v>3</v>
      </c>
      <c r="T739">
        <v>2</v>
      </c>
      <c r="U739">
        <v>2</v>
      </c>
    </row>
    <row r="740" spans="1:21" x14ac:dyDescent="0.35">
      <c r="A740">
        <v>39</v>
      </c>
      <c r="B740" t="str" cm="1">
        <f t="array" ref="B740">_xlfn.IFS(A740&gt;40,"Senior",A740&gt;30,"Adult",A740&gt;=18,"Teenager")</f>
        <v>Adult</v>
      </c>
      <c r="C740" t="s">
        <v>22</v>
      </c>
      <c r="D740">
        <f t="shared" si="11"/>
        <v>0</v>
      </c>
      <c r="E740" t="s">
        <v>23</v>
      </c>
      <c r="F740">
        <v>4</v>
      </c>
      <c r="G740" t="s">
        <v>20</v>
      </c>
      <c r="H740">
        <v>2</v>
      </c>
      <c r="I740">
        <v>4</v>
      </c>
      <c r="J740" t="s">
        <v>27</v>
      </c>
      <c r="K740">
        <v>4</v>
      </c>
      <c r="L740">
        <v>12742</v>
      </c>
      <c r="M740" t="str" cm="1">
        <f t="array" ref="M740">_xlfn.IFS(L740&lt;= 7000,"Low",L740&lt;=15000,"Medium",L740&lt;=20000,"High")</f>
        <v>Medium</v>
      </c>
      <c r="N740" t="s">
        <v>22</v>
      </c>
      <c r="O740">
        <v>16</v>
      </c>
      <c r="P740">
        <v>3</v>
      </c>
      <c r="Q740">
        <v>3</v>
      </c>
      <c r="R740">
        <v>21</v>
      </c>
      <c r="S740">
        <v>3</v>
      </c>
      <c r="T740">
        <v>21</v>
      </c>
      <c r="U740">
        <v>6</v>
      </c>
    </row>
    <row r="741" spans="1:21" x14ac:dyDescent="0.35">
      <c r="A741">
        <v>27</v>
      </c>
      <c r="B741" t="str" cm="1">
        <f t="array" ref="B741">_xlfn.IFS(A741&gt;40,"Senior",A741&gt;30,"Adult",A741&gt;=18,"Teenager")</f>
        <v>Teenager</v>
      </c>
      <c r="C741" t="s">
        <v>22</v>
      </c>
      <c r="D741">
        <f t="shared" si="11"/>
        <v>0</v>
      </c>
      <c r="E741" t="s">
        <v>23</v>
      </c>
      <c r="F741">
        <v>1</v>
      </c>
      <c r="G741" t="s">
        <v>20</v>
      </c>
      <c r="H741">
        <v>3</v>
      </c>
      <c r="I741">
        <v>2</v>
      </c>
      <c r="J741" t="s">
        <v>27</v>
      </c>
      <c r="K741">
        <v>4</v>
      </c>
      <c r="L741">
        <v>4227</v>
      </c>
      <c r="M741" t="str" cm="1">
        <f t="array" ref="M741">_xlfn.IFS(L741&lt;= 7000,"Low",L741&lt;=15000,"Medium",L741&lt;=20000,"High")</f>
        <v>Low</v>
      </c>
      <c r="N741" t="s">
        <v>22</v>
      </c>
      <c r="O741">
        <v>18</v>
      </c>
      <c r="P741">
        <v>3</v>
      </c>
      <c r="Q741">
        <v>2</v>
      </c>
      <c r="R741">
        <v>4</v>
      </c>
      <c r="S741">
        <v>3</v>
      </c>
      <c r="T741">
        <v>3</v>
      </c>
      <c r="U741">
        <v>2</v>
      </c>
    </row>
    <row r="742" spans="1:21" x14ac:dyDescent="0.35">
      <c r="A742">
        <v>35</v>
      </c>
      <c r="B742" t="str" cm="1">
        <f t="array" ref="B742">_xlfn.IFS(A742&gt;40,"Senior",A742&gt;30,"Adult",A742&gt;=18,"Teenager")</f>
        <v>Adult</v>
      </c>
      <c r="C742" t="s">
        <v>22</v>
      </c>
      <c r="D742">
        <f t="shared" si="11"/>
        <v>0</v>
      </c>
      <c r="E742" t="s">
        <v>23</v>
      </c>
      <c r="F742">
        <v>2</v>
      </c>
      <c r="G742" t="s">
        <v>24</v>
      </c>
      <c r="H742">
        <v>3</v>
      </c>
      <c r="I742">
        <v>1</v>
      </c>
      <c r="J742" t="s">
        <v>26</v>
      </c>
      <c r="K742">
        <v>4</v>
      </c>
      <c r="L742">
        <v>3917</v>
      </c>
      <c r="M742" t="str" cm="1">
        <f t="array" ref="M742">_xlfn.IFS(L742&lt;= 7000,"Low",L742&lt;=15000,"Medium",L742&lt;=20000,"High")</f>
        <v>Low</v>
      </c>
      <c r="N742" t="s">
        <v>22</v>
      </c>
      <c r="O742">
        <v>20</v>
      </c>
      <c r="P742">
        <v>4</v>
      </c>
      <c r="Q742">
        <v>1</v>
      </c>
      <c r="R742">
        <v>3</v>
      </c>
      <c r="S742">
        <v>2</v>
      </c>
      <c r="T742">
        <v>3</v>
      </c>
      <c r="U742">
        <v>2</v>
      </c>
    </row>
    <row r="743" spans="1:21" x14ac:dyDescent="0.35">
      <c r="A743">
        <v>42</v>
      </c>
      <c r="B743" t="str" cm="1">
        <f t="array" ref="B743">_xlfn.IFS(A743&gt;40,"Senior",A743&gt;30,"Adult",A743&gt;=18,"Teenager")</f>
        <v>Senior</v>
      </c>
      <c r="C743" t="s">
        <v>22</v>
      </c>
      <c r="D743">
        <f t="shared" si="11"/>
        <v>0</v>
      </c>
      <c r="E743" t="s">
        <v>19</v>
      </c>
      <c r="F743">
        <v>4</v>
      </c>
      <c r="G743" t="s">
        <v>24</v>
      </c>
      <c r="H743">
        <v>3</v>
      </c>
      <c r="I743">
        <v>5</v>
      </c>
      <c r="J743" t="s">
        <v>29</v>
      </c>
      <c r="K743">
        <v>3</v>
      </c>
      <c r="L743">
        <v>18303</v>
      </c>
      <c r="M743" t="str" cm="1">
        <f t="array" ref="M743">_xlfn.IFS(L743&lt;= 7000,"Low",L743&lt;=15000,"Medium",L743&lt;=20000,"High")</f>
        <v>High</v>
      </c>
      <c r="N743" t="s">
        <v>22</v>
      </c>
      <c r="O743">
        <v>13</v>
      </c>
      <c r="P743">
        <v>3</v>
      </c>
      <c r="Q743">
        <v>2</v>
      </c>
      <c r="R743">
        <v>21</v>
      </c>
      <c r="S743">
        <v>4</v>
      </c>
      <c r="T743">
        <v>1</v>
      </c>
      <c r="U743">
        <v>0</v>
      </c>
    </row>
    <row r="744" spans="1:21" x14ac:dyDescent="0.35">
      <c r="A744">
        <v>50</v>
      </c>
      <c r="B744" t="str" cm="1">
        <f t="array" ref="B744">_xlfn.IFS(A744&gt;40,"Senior",A744&gt;30,"Adult",A744&gt;=18,"Teenager")</f>
        <v>Senior</v>
      </c>
      <c r="C744" t="s">
        <v>22</v>
      </c>
      <c r="D744">
        <f t="shared" si="11"/>
        <v>0</v>
      </c>
      <c r="E744" t="s">
        <v>23</v>
      </c>
      <c r="F744">
        <v>1</v>
      </c>
      <c r="G744" t="s">
        <v>24</v>
      </c>
      <c r="H744">
        <v>3</v>
      </c>
      <c r="I744">
        <v>1</v>
      </c>
      <c r="J744" t="s">
        <v>26</v>
      </c>
      <c r="K744">
        <v>4</v>
      </c>
      <c r="L744">
        <v>2380</v>
      </c>
      <c r="M744" t="str" cm="1">
        <f t="array" ref="M744">_xlfn.IFS(L744&lt;= 7000,"Low",L744&lt;=15000,"Medium",L744&lt;=20000,"High")</f>
        <v>Low</v>
      </c>
      <c r="N744" t="s">
        <v>22</v>
      </c>
      <c r="O744">
        <v>18</v>
      </c>
      <c r="P744">
        <v>3</v>
      </c>
      <c r="Q744">
        <v>2</v>
      </c>
      <c r="R744">
        <v>8</v>
      </c>
      <c r="S744">
        <v>3</v>
      </c>
      <c r="T744">
        <v>1</v>
      </c>
      <c r="U744">
        <v>0</v>
      </c>
    </row>
    <row r="745" spans="1:21" x14ac:dyDescent="0.35">
      <c r="A745">
        <v>59</v>
      </c>
      <c r="B745" t="str" cm="1">
        <f t="array" ref="B745">_xlfn.IFS(A745&gt;40,"Senior",A745&gt;30,"Adult",A745&gt;=18,"Teenager")</f>
        <v>Senior</v>
      </c>
      <c r="C745" t="s">
        <v>22</v>
      </c>
      <c r="D745">
        <f t="shared" si="11"/>
        <v>0</v>
      </c>
      <c r="E745" t="s">
        <v>23</v>
      </c>
      <c r="F745">
        <v>3</v>
      </c>
      <c r="G745" t="s">
        <v>20</v>
      </c>
      <c r="H745">
        <v>2</v>
      </c>
      <c r="I745">
        <v>4</v>
      </c>
      <c r="J745" t="s">
        <v>27</v>
      </c>
      <c r="K745">
        <v>4</v>
      </c>
      <c r="L745">
        <v>13726</v>
      </c>
      <c r="M745" t="str" cm="1">
        <f t="array" ref="M745">_xlfn.IFS(L745&lt;= 7000,"Low",L745&lt;=15000,"Medium",L745&lt;=20000,"High")</f>
        <v>Medium</v>
      </c>
      <c r="N745" t="s">
        <v>18</v>
      </c>
      <c r="O745">
        <v>13</v>
      </c>
      <c r="P745">
        <v>3</v>
      </c>
      <c r="Q745">
        <v>1</v>
      </c>
      <c r="R745">
        <v>30</v>
      </c>
      <c r="S745">
        <v>3</v>
      </c>
      <c r="T745">
        <v>5</v>
      </c>
      <c r="U745">
        <v>3</v>
      </c>
    </row>
    <row r="746" spans="1:21" x14ac:dyDescent="0.35">
      <c r="A746">
        <v>37</v>
      </c>
      <c r="B746" t="str" cm="1">
        <f t="array" ref="B746">_xlfn.IFS(A746&gt;40,"Senior",A746&gt;30,"Adult",A746&gt;=18,"Teenager")</f>
        <v>Adult</v>
      </c>
      <c r="C746" t="s">
        <v>18</v>
      </c>
      <c r="D746">
        <f t="shared" si="11"/>
        <v>1</v>
      </c>
      <c r="E746" t="s">
        <v>23</v>
      </c>
      <c r="F746">
        <v>1</v>
      </c>
      <c r="G746" t="s">
        <v>20</v>
      </c>
      <c r="H746">
        <v>1</v>
      </c>
      <c r="I746">
        <v>2</v>
      </c>
      <c r="J746" t="s">
        <v>28</v>
      </c>
      <c r="K746">
        <v>2</v>
      </c>
      <c r="L746">
        <v>4777</v>
      </c>
      <c r="M746" t="str" cm="1">
        <f t="array" ref="M746">_xlfn.IFS(L746&lt;= 7000,"Low",L746&lt;=15000,"Medium",L746&lt;=20000,"High")</f>
        <v>Low</v>
      </c>
      <c r="N746" t="s">
        <v>22</v>
      </c>
      <c r="O746">
        <v>15</v>
      </c>
      <c r="P746">
        <v>3</v>
      </c>
      <c r="Q746">
        <v>1</v>
      </c>
      <c r="R746">
        <v>15</v>
      </c>
      <c r="S746">
        <v>1</v>
      </c>
      <c r="T746">
        <v>1</v>
      </c>
      <c r="U746">
        <v>0</v>
      </c>
    </row>
    <row r="747" spans="1:21" x14ac:dyDescent="0.35">
      <c r="A747">
        <v>55</v>
      </c>
      <c r="B747" t="str" cm="1">
        <f t="array" ref="B747">_xlfn.IFS(A747&gt;40,"Senior",A747&gt;30,"Adult",A747&gt;=18,"Teenager")</f>
        <v>Senior</v>
      </c>
      <c r="C747" t="s">
        <v>22</v>
      </c>
      <c r="D747">
        <f t="shared" si="11"/>
        <v>0</v>
      </c>
      <c r="E747" t="s">
        <v>23</v>
      </c>
      <c r="F747">
        <v>3</v>
      </c>
      <c r="G747" t="s">
        <v>24</v>
      </c>
      <c r="H747">
        <v>3</v>
      </c>
      <c r="I747">
        <v>2</v>
      </c>
      <c r="J747" t="s">
        <v>28</v>
      </c>
      <c r="K747">
        <v>2</v>
      </c>
      <c r="L747">
        <v>6385</v>
      </c>
      <c r="M747" t="str" cm="1">
        <f t="array" ref="M747">_xlfn.IFS(L747&lt;= 7000,"Low",L747&lt;=15000,"Medium",L747&lt;=20000,"High")</f>
        <v>Low</v>
      </c>
      <c r="N747" t="s">
        <v>18</v>
      </c>
      <c r="O747">
        <v>14</v>
      </c>
      <c r="P747">
        <v>3</v>
      </c>
      <c r="Q747">
        <v>4</v>
      </c>
      <c r="R747">
        <v>17</v>
      </c>
      <c r="S747">
        <v>3</v>
      </c>
      <c r="T747">
        <v>8</v>
      </c>
      <c r="U747">
        <v>7</v>
      </c>
    </row>
    <row r="748" spans="1:21" x14ac:dyDescent="0.35">
      <c r="A748">
        <v>41</v>
      </c>
      <c r="B748" t="str" cm="1">
        <f t="array" ref="B748">_xlfn.IFS(A748&gt;40,"Senior",A748&gt;30,"Adult",A748&gt;=18,"Teenager")</f>
        <v>Senior</v>
      </c>
      <c r="C748" t="s">
        <v>22</v>
      </c>
      <c r="D748">
        <f t="shared" si="11"/>
        <v>0</v>
      </c>
      <c r="E748" t="s">
        <v>23</v>
      </c>
      <c r="F748">
        <v>2</v>
      </c>
      <c r="G748" t="s">
        <v>20</v>
      </c>
      <c r="H748">
        <v>1</v>
      </c>
      <c r="I748">
        <v>5</v>
      </c>
      <c r="J748" t="s">
        <v>31</v>
      </c>
      <c r="K748">
        <v>3</v>
      </c>
      <c r="L748">
        <v>19973</v>
      </c>
      <c r="M748" t="str" cm="1">
        <f t="array" ref="M748">_xlfn.IFS(L748&lt;= 7000,"Low",L748&lt;=15000,"Medium",L748&lt;=20000,"High")</f>
        <v>High</v>
      </c>
      <c r="N748" t="s">
        <v>22</v>
      </c>
      <c r="O748">
        <v>22</v>
      </c>
      <c r="P748">
        <v>4</v>
      </c>
      <c r="Q748">
        <v>2</v>
      </c>
      <c r="R748">
        <v>21</v>
      </c>
      <c r="S748">
        <v>3</v>
      </c>
      <c r="T748">
        <v>21</v>
      </c>
      <c r="U748">
        <v>16</v>
      </c>
    </row>
    <row r="749" spans="1:21" x14ac:dyDescent="0.35">
      <c r="A749">
        <v>38</v>
      </c>
      <c r="B749" t="str" cm="1">
        <f t="array" ref="B749">_xlfn.IFS(A749&gt;40,"Senior",A749&gt;30,"Adult",A749&gt;=18,"Teenager")</f>
        <v>Adult</v>
      </c>
      <c r="C749" t="s">
        <v>22</v>
      </c>
      <c r="D749">
        <f t="shared" si="11"/>
        <v>0</v>
      </c>
      <c r="E749" t="s">
        <v>19</v>
      </c>
      <c r="F749">
        <v>2</v>
      </c>
      <c r="G749" t="s">
        <v>24</v>
      </c>
      <c r="H749">
        <v>3</v>
      </c>
      <c r="I749">
        <v>2</v>
      </c>
      <c r="J749" t="s">
        <v>21</v>
      </c>
      <c r="K749">
        <v>4</v>
      </c>
      <c r="L749">
        <v>6861</v>
      </c>
      <c r="M749" t="str" cm="1">
        <f t="array" ref="M749">_xlfn.IFS(L749&lt;= 7000,"Low",L749&lt;=15000,"Medium",L749&lt;=20000,"High")</f>
        <v>Low</v>
      </c>
      <c r="N749" t="s">
        <v>18</v>
      </c>
      <c r="O749">
        <v>12</v>
      </c>
      <c r="P749">
        <v>3</v>
      </c>
      <c r="Q749">
        <v>3</v>
      </c>
      <c r="R749">
        <v>19</v>
      </c>
      <c r="S749">
        <v>3</v>
      </c>
      <c r="T749">
        <v>1</v>
      </c>
      <c r="U749">
        <v>0</v>
      </c>
    </row>
    <row r="750" spans="1:21" x14ac:dyDescent="0.35">
      <c r="A750">
        <v>26</v>
      </c>
      <c r="B750" t="str" cm="1">
        <f t="array" ref="B750">_xlfn.IFS(A750&gt;40,"Senior",A750&gt;30,"Adult",A750&gt;=18,"Teenager")</f>
        <v>Teenager</v>
      </c>
      <c r="C750" t="s">
        <v>18</v>
      </c>
      <c r="D750">
        <f t="shared" si="11"/>
        <v>1</v>
      </c>
      <c r="E750" t="s">
        <v>19</v>
      </c>
      <c r="F750">
        <v>2</v>
      </c>
      <c r="G750" t="s">
        <v>24</v>
      </c>
      <c r="H750">
        <v>1</v>
      </c>
      <c r="I750">
        <v>2</v>
      </c>
      <c r="J750" t="s">
        <v>21</v>
      </c>
      <c r="K750">
        <v>1</v>
      </c>
      <c r="L750">
        <v>4969</v>
      </c>
      <c r="M750" t="str" cm="1">
        <f t="array" ref="M750">_xlfn.IFS(L750&lt;= 7000,"Low",L750&lt;=15000,"Medium",L750&lt;=20000,"High")</f>
        <v>Low</v>
      </c>
      <c r="N750" t="s">
        <v>22</v>
      </c>
      <c r="O750">
        <v>18</v>
      </c>
      <c r="P750">
        <v>3</v>
      </c>
      <c r="Q750">
        <v>4</v>
      </c>
      <c r="R750">
        <v>7</v>
      </c>
      <c r="S750">
        <v>3</v>
      </c>
      <c r="T750">
        <v>2</v>
      </c>
      <c r="U750">
        <v>2</v>
      </c>
    </row>
    <row r="751" spans="1:21" x14ac:dyDescent="0.35">
      <c r="A751">
        <v>52</v>
      </c>
      <c r="B751" t="str" cm="1">
        <f t="array" ref="B751">_xlfn.IFS(A751&gt;40,"Senior",A751&gt;30,"Adult",A751&gt;=18,"Teenager")</f>
        <v>Senior</v>
      </c>
      <c r="C751" t="s">
        <v>18</v>
      </c>
      <c r="D751">
        <f t="shared" si="11"/>
        <v>1</v>
      </c>
      <c r="E751" t="s">
        <v>19</v>
      </c>
      <c r="F751">
        <v>1</v>
      </c>
      <c r="G751" t="s">
        <v>20</v>
      </c>
      <c r="H751">
        <v>1</v>
      </c>
      <c r="I751">
        <v>5</v>
      </c>
      <c r="J751" t="s">
        <v>29</v>
      </c>
      <c r="K751">
        <v>4</v>
      </c>
      <c r="L751">
        <v>19845</v>
      </c>
      <c r="M751" t="str" cm="1">
        <f t="array" ref="M751">_xlfn.IFS(L751&lt;= 7000,"Low",L751&lt;=15000,"Medium",L751&lt;=20000,"High")</f>
        <v>High</v>
      </c>
      <c r="N751" t="s">
        <v>22</v>
      </c>
      <c r="O751">
        <v>15</v>
      </c>
      <c r="P751">
        <v>3</v>
      </c>
      <c r="Q751">
        <v>4</v>
      </c>
      <c r="R751">
        <v>33</v>
      </c>
      <c r="S751">
        <v>3</v>
      </c>
      <c r="T751">
        <v>32</v>
      </c>
      <c r="U751">
        <v>14</v>
      </c>
    </row>
    <row r="752" spans="1:21" x14ac:dyDescent="0.35">
      <c r="A752">
        <v>44</v>
      </c>
      <c r="B752" t="str" cm="1">
        <f t="array" ref="B752">_xlfn.IFS(A752&gt;40,"Senior",A752&gt;30,"Adult",A752&gt;=18,"Teenager")</f>
        <v>Senior</v>
      </c>
      <c r="C752" t="s">
        <v>22</v>
      </c>
      <c r="D752">
        <f t="shared" si="11"/>
        <v>0</v>
      </c>
      <c r="E752" t="s">
        <v>19</v>
      </c>
      <c r="F752">
        <v>4</v>
      </c>
      <c r="G752" t="s">
        <v>20</v>
      </c>
      <c r="H752">
        <v>4</v>
      </c>
      <c r="I752">
        <v>4</v>
      </c>
      <c r="J752" t="s">
        <v>21</v>
      </c>
      <c r="K752">
        <v>4</v>
      </c>
      <c r="L752">
        <v>13320</v>
      </c>
      <c r="M752" t="str" cm="1">
        <f t="array" ref="M752">_xlfn.IFS(L752&lt;= 7000,"Low",L752&lt;=15000,"Medium",L752&lt;=20000,"High")</f>
        <v>Medium</v>
      </c>
      <c r="N752" t="s">
        <v>18</v>
      </c>
      <c r="O752">
        <v>18</v>
      </c>
      <c r="P752">
        <v>3</v>
      </c>
      <c r="Q752">
        <v>3</v>
      </c>
      <c r="R752">
        <v>23</v>
      </c>
      <c r="S752">
        <v>3</v>
      </c>
      <c r="T752">
        <v>12</v>
      </c>
      <c r="U752">
        <v>11</v>
      </c>
    </row>
    <row r="753" spans="1:21" x14ac:dyDescent="0.35">
      <c r="A753">
        <v>50</v>
      </c>
      <c r="B753" t="str" cm="1">
        <f t="array" ref="B753">_xlfn.IFS(A753&gt;40,"Senior",A753&gt;30,"Adult",A753&gt;=18,"Teenager")</f>
        <v>Senior</v>
      </c>
      <c r="C753" t="s">
        <v>22</v>
      </c>
      <c r="D753">
        <f t="shared" si="11"/>
        <v>0</v>
      </c>
      <c r="E753" t="s">
        <v>19</v>
      </c>
      <c r="F753">
        <v>4</v>
      </c>
      <c r="G753" t="s">
        <v>20</v>
      </c>
      <c r="H753">
        <v>3</v>
      </c>
      <c r="I753">
        <v>2</v>
      </c>
      <c r="J753" t="s">
        <v>21</v>
      </c>
      <c r="K753">
        <v>3</v>
      </c>
      <c r="L753">
        <v>6347</v>
      </c>
      <c r="M753" t="str" cm="1">
        <f t="array" ref="M753">_xlfn.IFS(L753&lt;= 7000,"Low",L753&lt;=15000,"Medium",L753&lt;=20000,"High")</f>
        <v>Low</v>
      </c>
      <c r="N753" t="s">
        <v>22</v>
      </c>
      <c r="O753">
        <v>12</v>
      </c>
      <c r="P753">
        <v>3</v>
      </c>
      <c r="Q753">
        <v>1</v>
      </c>
      <c r="R753">
        <v>19</v>
      </c>
      <c r="S753">
        <v>3</v>
      </c>
      <c r="T753">
        <v>18</v>
      </c>
      <c r="U753">
        <v>7</v>
      </c>
    </row>
    <row r="754" spans="1:21" x14ac:dyDescent="0.35">
      <c r="A754">
        <v>36</v>
      </c>
      <c r="B754" t="str" cm="1">
        <f t="array" ref="B754">_xlfn.IFS(A754&gt;40,"Senior",A754&gt;30,"Adult",A754&gt;=18,"Teenager")</f>
        <v>Adult</v>
      </c>
      <c r="C754" t="s">
        <v>18</v>
      </c>
      <c r="D754">
        <f t="shared" si="11"/>
        <v>1</v>
      </c>
      <c r="E754" t="s">
        <v>23</v>
      </c>
      <c r="F754">
        <v>3</v>
      </c>
      <c r="G754" t="s">
        <v>20</v>
      </c>
      <c r="H754">
        <v>4</v>
      </c>
      <c r="I754">
        <v>1</v>
      </c>
      <c r="J754" t="s">
        <v>26</v>
      </c>
      <c r="K754">
        <v>1</v>
      </c>
      <c r="L754">
        <v>2743</v>
      </c>
      <c r="M754" t="str" cm="1">
        <f t="array" ref="M754">_xlfn.IFS(L754&lt;= 7000,"Low",L754&lt;=15000,"Medium",L754&lt;=20000,"High")</f>
        <v>Low</v>
      </c>
      <c r="N754" t="s">
        <v>22</v>
      </c>
      <c r="O754">
        <v>16</v>
      </c>
      <c r="P754">
        <v>3</v>
      </c>
      <c r="Q754">
        <v>3</v>
      </c>
      <c r="R754">
        <v>18</v>
      </c>
      <c r="S754">
        <v>3</v>
      </c>
      <c r="T754">
        <v>17</v>
      </c>
      <c r="U754">
        <v>13</v>
      </c>
    </row>
    <row r="755" spans="1:21" x14ac:dyDescent="0.35">
      <c r="A755">
        <v>39</v>
      </c>
      <c r="B755" t="str" cm="1">
        <f t="array" ref="B755">_xlfn.IFS(A755&gt;40,"Senior",A755&gt;30,"Adult",A755&gt;=18,"Teenager")</f>
        <v>Adult</v>
      </c>
      <c r="C755" t="s">
        <v>22</v>
      </c>
      <c r="D755">
        <f t="shared" si="11"/>
        <v>0</v>
      </c>
      <c r="E755" t="s">
        <v>23</v>
      </c>
      <c r="F755">
        <v>4</v>
      </c>
      <c r="G755" t="s">
        <v>20</v>
      </c>
      <c r="H755">
        <v>3</v>
      </c>
      <c r="I755">
        <v>3</v>
      </c>
      <c r="J755" t="s">
        <v>27</v>
      </c>
      <c r="K755">
        <v>1</v>
      </c>
      <c r="L755">
        <v>10880</v>
      </c>
      <c r="M755" t="str" cm="1">
        <f t="array" ref="M755">_xlfn.IFS(L755&lt;= 7000,"Low",L755&lt;=15000,"Medium",L755&lt;=20000,"High")</f>
        <v>Medium</v>
      </c>
      <c r="N755" t="s">
        <v>18</v>
      </c>
      <c r="O755">
        <v>13</v>
      </c>
      <c r="P755">
        <v>3</v>
      </c>
      <c r="Q755">
        <v>3</v>
      </c>
      <c r="R755">
        <v>21</v>
      </c>
      <c r="S755">
        <v>3</v>
      </c>
      <c r="T755">
        <v>21</v>
      </c>
      <c r="U755">
        <v>6</v>
      </c>
    </row>
    <row r="756" spans="1:21" x14ac:dyDescent="0.35">
      <c r="A756">
        <v>33</v>
      </c>
      <c r="B756" t="str" cm="1">
        <f t="array" ref="B756">_xlfn.IFS(A756&gt;40,"Senior",A756&gt;30,"Adult",A756&gt;=18,"Teenager")</f>
        <v>Adult</v>
      </c>
      <c r="C756" t="s">
        <v>22</v>
      </c>
      <c r="D756">
        <f t="shared" si="11"/>
        <v>0</v>
      </c>
      <c r="E756" t="s">
        <v>19</v>
      </c>
      <c r="F756">
        <v>2</v>
      </c>
      <c r="G756" t="s">
        <v>20</v>
      </c>
      <c r="H756">
        <v>2</v>
      </c>
      <c r="I756">
        <v>1</v>
      </c>
      <c r="J756" t="s">
        <v>30</v>
      </c>
      <c r="K756">
        <v>4</v>
      </c>
      <c r="L756">
        <v>2342</v>
      </c>
      <c r="M756" t="str" cm="1">
        <f t="array" ref="M756">_xlfn.IFS(L756&lt;= 7000,"Low",L756&lt;=15000,"Medium",L756&lt;=20000,"High")</f>
        <v>Low</v>
      </c>
      <c r="N756" t="s">
        <v>22</v>
      </c>
      <c r="O756">
        <v>19</v>
      </c>
      <c r="P756">
        <v>3</v>
      </c>
      <c r="Q756">
        <v>4</v>
      </c>
      <c r="R756">
        <v>3</v>
      </c>
      <c r="S756">
        <v>2</v>
      </c>
      <c r="T756">
        <v>2</v>
      </c>
      <c r="U756">
        <v>2</v>
      </c>
    </row>
    <row r="757" spans="1:21" x14ac:dyDescent="0.35">
      <c r="A757">
        <v>45</v>
      </c>
      <c r="B757" t="str" cm="1">
        <f t="array" ref="B757">_xlfn.IFS(A757&gt;40,"Senior",A757&gt;30,"Adult",A757&gt;=18,"Teenager")</f>
        <v>Senior</v>
      </c>
      <c r="C757" t="s">
        <v>22</v>
      </c>
      <c r="D757">
        <f t="shared" si="11"/>
        <v>0</v>
      </c>
      <c r="E757" t="s">
        <v>19</v>
      </c>
      <c r="F757">
        <v>4</v>
      </c>
      <c r="G757" t="s">
        <v>20</v>
      </c>
      <c r="H757">
        <v>3</v>
      </c>
      <c r="I757">
        <v>4</v>
      </c>
      <c r="J757" t="s">
        <v>29</v>
      </c>
      <c r="K757">
        <v>4</v>
      </c>
      <c r="L757">
        <v>17650</v>
      </c>
      <c r="M757" t="str" cm="1">
        <f t="array" ref="M757">_xlfn.IFS(L757&lt;= 7000,"Low",L757&lt;=15000,"Medium",L757&lt;=20000,"High")</f>
        <v>High</v>
      </c>
      <c r="N757" t="s">
        <v>22</v>
      </c>
      <c r="O757">
        <v>13</v>
      </c>
      <c r="P757">
        <v>3</v>
      </c>
      <c r="Q757">
        <v>2</v>
      </c>
      <c r="R757">
        <v>26</v>
      </c>
      <c r="S757">
        <v>4</v>
      </c>
      <c r="T757">
        <v>9</v>
      </c>
      <c r="U757">
        <v>3</v>
      </c>
    </row>
    <row r="758" spans="1:21" x14ac:dyDescent="0.35">
      <c r="A758">
        <v>32</v>
      </c>
      <c r="B758" t="str" cm="1">
        <f t="array" ref="B758">_xlfn.IFS(A758&gt;40,"Senior",A758&gt;30,"Adult",A758&gt;=18,"Teenager")</f>
        <v>Adult</v>
      </c>
      <c r="C758" t="s">
        <v>22</v>
      </c>
      <c r="D758">
        <f t="shared" si="11"/>
        <v>0</v>
      </c>
      <c r="E758" t="s">
        <v>23</v>
      </c>
      <c r="F758">
        <v>4</v>
      </c>
      <c r="G758" t="s">
        <v>20</v>
      </c>
      <c r="H758">
        <v>3</v>
      </c>
      <c r="I758">
        <v>1</v>
      </c>
      <c r="J758" t="s">
        <v>26</v>
      </c>
      <c r="K758">
        <v>3</v>
      </c>
      <c r="L758">
        <v>4025</v>
      </c>
      <c r="M758" t="str" cm="1">
        <f t="array" ref="M758">_xlfn.IFS(L758&lt;= 7000,"Low",L758&lt;=15000,"Medium",L758&lt;=20000,"High")</f>
        <v>Low</v>
      </c>
      <c r="N758" t="s">
        <v>22</v>
      </c>
      <c r="O758">
        <v>12</v>
      </c>
      <c r="P758">
        <v>3</v>
      </c>
      <c r="Q758">
        <v>2</v>
      </c>
      <c r="R758">
        <v>10</v>
      </c>
      <c r="S758">
        <v>3</v>
      </c>
      <c r="T758">
        <v>8</v>
      </c>
      <c r="U758">
        <v>7</v>
      </c>
    </row>
    <row r="759" spans="1:21" x14ac:dyDescent="0.35">
      <c r="A759">
        <v>34</v>
      </c>
      <c r="B759" t="str" cm="1">
        <f t="array" ref="B759">_xlfn.IFS(A759&gt;40,"Senior",A759&gt;30,"Adult",A759&gt;=18,"Teenager")</f>
        <v>Adult</v>
      </c>
      <c r="C759" t="s">
        <v>22</v>
      </c>
      <c r="D759">
        <f t="shared" si="11"/>
        <v>0</v>
      </c>
      <c r="E759" t="s">
        <v>19</v>
      </c>
      <c r="F759">
        <v>2</v>
      </c>
      <c r="G759" t="s">
        <v>24</v>
      </c>
      <c r="H759">
        <v>4</v>
      </c>
      <c r="I759">
        <v>2</v>
      </c>
      <c r="J759" t="s">
        <v>21</v>
      </c>
      <c r="K759">
        <v>4</v>
      </c>
      <c r="L759">
        <v>9725</v>
      </c>
      <c r="M759" t="str" cm="1">
        <f t="array" ref="M759">_xlfn.IFS(L759&lt;= 7000,"Low",L759&lt;=15000,"Medium",L759&lt;=20000,"High")</f>
        <v>Medium</v>
      </c>
      <c r="N759" t="s">
        <v>22</v>
      </c>
      <c r="O759">
        <v>11</v>
      </c>
      <c r="P759">
        <v>3</v>
      </c>
      <c r="Q759">
        <v>4</v>
      </c>
      <c r="R759">
        <v>16</v>
      </c>
      <c r="S759">
        <v>2</v>
      </c>
      <c r="T759">
        <v>15</v>
      </c>
      <c r="U759">
        <v>1</v>
      </c>
    </row>
    <row r="760" spans="1:21" x14ac:dyDescent="0.35">
      <c r="A760">
        <v>59</v>
      </c>
      <c r="B760" t="str" cm="1">
        <f t="array" ref="B760">_xlfn.IFS(A760&gt;40,"Senior",A760&gt;30,"Adult",A760&gt;=18,"Teenager")</f>
        <v>Senior</v>
      </c>
      <c r="C760" t="s">
        <v>22</v>
      </c>
      <c r="D760">
        <f t="shared" si="11"/>
        <v>0</v>
      </c>
      <c r="E760" t="s">
        <v>19</v>
      </c>
      <c r="F760">
        <v>2</v>
      </c>
      <c r="G760" t="s">
        <v>24</v>
      </c>
      <c r="H760">
        <v>3</v>
      </c>
      <c r="I760">
        <v>3</v>
      </c>
      <c r="J760" t="s">
        <v>29</v>
      </c>
      <c r="K760">
        <v>4</v>
      </c>
      <c r="L760">
        <v>11904</v>
      </c>
      <c r="M760" t="str" cm="1">
        <f t="array" ref="M760">_xlfn.IFS(L760&lt;= 7000,"Low",L760&lt;=15000,"Medium",L760&lt;=20000,"High")</f>
        <v>Medium</v>
      </c>
      <c r="N760" t="s">
        <v>18</v>
      </c>
      <c r="O760">
        <v>14</v>
      </c>
      <c r="P760">
        <v>3</v>
      </c>
      <c r="Q760">
        <v>3</v>
      </c>
      <c r="R760">
        <v>14</v>
      </c>
      <c r="S760">
        <v>1</v>
      </c>
      <c r="T760">
        <v>6</v>
      </c>
      <c r="U760">
        <v>4</v>
      </c>
    </row>
    <row r="761" spans="1:21" x14ac:dyDescent="0.35">
      <c r="A761">
        <v>45</v>
      </c>
      <c r="B761" t="str" cm="1">
        <f t="array" ref="B761">_xlfn.IFS(A761&gt;40,"Senior",A761&gt;30,"Adult",A761&gt;=18,"Teenager")</f>
        <v>Senior</v>
      </c>
      <c r="C761" t="s">
        <v>22</v>
      </c>
      <c r="D761">
        <f t="shared" si="11"/>
        <v>0</v>
      </c>
      <c r="E761" t="s">
        <v>32</v>
      </c>
      <c r="F761">
        <v>2</v>
      </c>
      <c r="G761" t="s">
        <v>24</v>
      </c>
      <c r="H761">
        <v>3</v>
      </c>
      <c r="I761">
        <v>1</v>
      </c>
      <c r="J761" t="s">
        <v>32</v>
      </c>
      <c r="K761">
        <v>2</v>
      </c>
      <c r="L761">
        <v>2177</v>
      </c>
      <c r="M761" t="str" cm="1">
        <f t="array" ref="M761">_xlfn.IFS(L761&lt;= 7000,"Low",L761&lt;=15000,"Medium",L761&lt;=20000,"High")</f>
        <v>Low</v>
      </c>
      <c r="N761" t="s">
        <v>22</v>
      </c>
      <c r="O761">
        <v>16</v>
      </c>
      <c r="P761">
        <v>3</v>
      </c>
      <c r="Q761">
        <v>1</v>
      </c>
      <c r="R761">
        <v>6</v>
      </c>
      <c r="S761">
        <v>3</v>
      </c>
      <c r="T761">
        <v>6</v>
      </c>
      <c r="U761">
        <v>3</v>
      </c>
    </row>
    <row r="762" spans="1:21" x14ac:dyDescent="0.35">
      <c r="A762">
        <v>53</v>
      </c>
      <c r="B762" t="str" cm="1">
        <f t="array" ref="B762">_xlfn.IFS(A762&gt;40,"Senior",A762&gt;30,"Adult",A762&gt;=18,"Teenager")</f>
        <v>Senior</v>
      </c>
      <c r="C762" t="s">
        <v>22</v>
      </c>
      <c r="D762">
        <f t="shared" si="11"/>
        <v>0</v>
      </c>
      <c r="E762" t="s">
        <v>19</v>
      </c>
      <c r="F762">
        <v>3</v>
      </c>
      <c r="G762" t="s">
        <v>20</v>
      </c>
      <c r="H762">
        <v>2</v>
      </c>
      <c r="I762">
        <v>3</v>
      </c>
      <c r="J762" t="s">
        <v>21</v>
      </c>
      <c r="K762">
        <v>2</v>
      </c>
      <c r="L762">
        <v>7525</v>
      </c>
      <c r="M762" t="str" cm="1">
        <f t="array" ref="M762">_xlfn.IFS(L762&lt;= 7000,"Low",L762&lt;=15000,"Medium",L762&lt;=20000,"High")</f>
        <v>Medium</v>
      </c>
      <c r="N762" t="s">
        <v>22</v>
      </c>
      <c r="O762">
        <v>12</v>
      </c>
      <c r="P762">
        <v>3</v>
      </c>
      <c r="Q762">
        <v>1</v>
      </c>
      <c r="R762">
        <v>30</v>
      </c>
      <c r="S762">
        <v>3</v>
      </c>
      <c r="T762">
        <v>15</v>
      </c>
      <c r="U762">
        <v>7</v>
      </c>
    </row>
    <row r="763" spans="1:21" x14ac:dyDescent="0.35">
      <c r="A763">
        <v>36</v>
      </c>
      <c r="B763" t="str" cm="1">
        <f t="array" ref="B763">_xlfn.IFS(A763&gt;40,"Senior",A763&gt;30,"Adult",A763&gt;=18,"Teenager")</f>
        <v>Adult</v>
      </c>
      <c r="C763" t="s">
        <v>18</v>
      </c>
      <c r="D763">
        <f t="shared" si="11"/>
        <v>1</v>
      </c>
      <c r="E763" t="s">
        <v>23</v>
      </c>
      <c r="F763">
        <v>1</v>
      </c>
      <c r="G763" t="s">
        <v>24</v>
      </c>
      <c r="H763">
        <v>3</v>
      </c>
      <c r="I763">
        <v>2</v>
      </c>
      <c r="J763" t="s">
        <v>26</v>
      </c>
      <c r="K763">
        <v>3</v>
      </c>
      <c r="L763">
        <v>4834</v>
      </c>
      <c r="M763" t="str" cm="1">
        <f t="array" ref="M763">_xlfn.IFS(L763&lt;= 7000,"Low",L763&lt;=15000,"Medium",L763&lt;=20000,"High")</f>
        <v>Low</v>
      </c>
      <c r="N763" t="s">
        <v>22</v>
      </c>
      <c r="O763">
        <v>14</v>
      </c>
      <c r="P763">
        <v>3</v>
      </c>
      <c r="Q763">
        <v>2</v>
      </c>
      <c r="R763">
        <v>9</v>
      </c>
      <c r="S763">
        <v>2</v>
      </c>
      <c r="T763">
        <v>1</v>
      </c>
      <c r="U763">
        <v>0</v>
      </c>
    </row>
    <row r="764" spans="1:21" x14ac:dyDescent="0.35">
      <c r="A764">
        <v>26</v>
      </c>
      <c r="B764" t="str" cm="1">
        <f t="array" ref="B764">_xlfn.IFS(A764&gt;40,"Senior",A764&gt;30,"Adult",A764&gt;=18,"Teenager")</f>
        <v>Teenager</v>
      </c>
      <c r="C764" t="s">
        <v>18</v>
      </c>
      <c r="D764">
        <f t="shared" si="11"/>
        <v>1</v>
      </c>
      <c r="E764" t="s">
        <v>23</v>
      </c>
      <c r="F764">
        <v>1</v>
      </c>
      <c r="G764" t="s">
        <v>24</v>
      </c>
      <c r="H764">
        <v>3</v>
      </c>
      <c r="I764">
        <v>1</v>
      </c>
      <c r="J764" t="s">
        <v>25</v>
      </c>
      <c r="K764">
        <v>1</v>
      </c>
      <c r="L764">
        <v>2042</v>
      </c>
      <c r="M764" t="str" cm="1">
        <f t="array" ref="M764">_xlfn.IFS(L764&lt;= 7000,"Low",L764&lt;=15000,"Medium",L764&lt;=20000,"High")</f>
        <v>Low</v>
      </c>
      <c r="N764" t="s">
        <v>18</v>
      </c>
      <c r="O764">
        <v>14</v>
      </c>
      <c r="P764">
        <v>3</v>
      </c>
      <c r="Q764">
        <v>2</v>
      </c>
      <c r="R764">
        <v>6</v>
      </c>
      <c r="S764">
        <v>3</v>
      </c>
      <c r="T764">
        <v>3</v>
      </c>
      <c r="U764">
        <v>2</v>
      </c>
    </row>
    <row r="765" spans="1:21" x14ac:dyDescent="0.35">
      <c r="A765">
        <v>34</v>
      </c>
      <c r="B765" t="str" cm="1">
        <f t="array" ref="B765">_xlfn.IFS(A765&gt;40,"Senior",A765&gt;30,"Adult",A765&gt;=18,"Teenager")</f>
        <v>Adult</v>
      </c>
      <c r="C765" t="s">
        <v>22</v>
      </c>
      <c r="D765">
        <f t="shared" si="11"/>
        <v>0</v>
      </c>
      <c r="E765" t="s">
        <v>19</v>
      </c>
      <c r="F765">
        <v>3</v>
      </c>
      <c r="G765" t="s">
        <v>20</v>
      </c>
      <c r="H765">
        <v>3</v>
      </c>
      <c r="I765">
        <v>1</v>
      </c>
      <c r="J765" t="s">
        <v>30</v>
      </c>
      <c r="K765">
        <v>3</v>
      </c>
      <c r="L765">
        <v>2220</v>
      </c>
      <c r="M765" t="str" cm="1">
        <f t="array" ref="M765">_xlfn.IFS(L765&lt;= 7000,"Low",L765&lt;=15000,"Medium",L765&lt;=20000,"High")</f>
        <v>Low</v>
      </c>
      <c r="N765" t="s">
        <v>18</v>
      </c>
      <c r="O765">
        <v>19</v>
      </c>
      <c r="P765">
        <v>3</v>
      </c>
      <c r="Q765">
        <v>4</v>
      </c>
      <c r="R765">
        <v>1</v>
      </c>
      <c r="S765">
        <v>3</v>
      </c>
      <c r="T765">
        <v>1</v>
      </c>
      <c r="U765">
        <v>1</v>
      </c>
    </row>
    <row r="766" spans="1:21" x14ac:dyDescent="0.35">
      <c r="A766">
        <v>28</v>
      </c>
      <c r="B766" t="str" cm="1">
        <f t="array" ref="B766">_xlfn.IFS(A766&gt;40,"Senior",A766&gt;30,"Adult",A766&gt;=18,"Teenager")</f>
        <v>Teenager</v>
      </c>
      <c r="C766" t="s">
        <v>22</v>
      </c>
      <c r="D766">
        <f t="shared" si="11"/>
        <v>0</v>
      </c>
      <c r="E766" t="s">
        <v>19</v>
      </c>
      <c r="F766">
        <v>4</v>
      </c>
      <c r="G766" t="s">
        <v>24</v>
      </c>
      <c r="H766">
        <v>3</v>
      </c>
      <c r="I766">
        <v>1</v>
      </c>
      <c r="J766" t="s">
        <v>30</v>
      </c>
      <c r="K766">
        <v>2</v>
      </c>
      <c r="L766">
        <v>1052</v>
      </c>
      <c r="M766" t="str" cm="1">
        <f t="array" ref="M766">_xlfn.IFS(L766&lt;= 7000,"Low",L766&lt;=15000,"Medium",L766&lt;=20000,"High")</f>
        <v>Low</v>
      </c>
      <c r="N766" t="s">
        <v>22</v>
      </c>
      <c r="O766">
        <v>22</v>
      </c>
      <c r="P766">
        <v>4</v>
      </c>
      <c r="Q766">
        <v>2</v>
      </c>
      <c r="R766">
        <v>1</v>
      </c>
      <c r="S766">
        <v>3</v>
      </c>
      <c r="T766">
        <v>1</v>
      </c>
      <c r="U766">
        <v>0</v>
      </c>
    </row>
    <row r="767" spans="1:21" x14ac:dyDescent="0.35">
      <c r="A767">
        <v>38</v>
      </c>
      <c r="B767" t="str" cm="1">
        <f t="array" ref="B767">_xlfn.IFS(A767&gt;40,"Senior",A767&gt;30,"Adult",A767&gt;=18,"Teenager")</f>
        <v>Adult</v>
      </c>
      <c r="C767" t="s">
        <v>22</v>
      </c>
      <c r="D767">
        <f t="shared" si="11"/>
        <v>0</v>
      </c>
      <c r="E767" t="s">
        <v>23</v>
      </c>
      <c r="F767">
        <v>3</v>
      </c>
      <c r="G767" t="s">
        <v>24</v>
      </c>
      <c r="H767">
        <v>3</v>
      </c>
      <c r="I767">
        <v>1</v>
      </c>
      <c r="J767" t="s">
        <v>25</v>
      </c>
      <c r="K767">
        <v>3</v>
      </c>
      <c r="L767">
        <v>2821</v>
      </c>
      <c r="M767" t="str" cm="1">
        <f t="array" ref="M767">_xlfn.IFS(L767&lt;= 7000,"Low",L767&lt;=15000,"Medium",L767&lt;=20000,"High")</f>
        <v>Low</v>
      </c>
      <c r="N767" t="s">
        <v>22</v>
      </c>
      <c r="O767">
        <v>16</v>
      </c>
      <c r="P767">
        <v>3</v>
      </c>
      <c r="Q767">
        <v>1</v>
      </c>
      <c r="R767">
        <v>8</v>
      </c>
      <c r="S767">
        <v>3</v>
      </c>
      <c r="T767">
        <v>2</v>
      </c>
      <c r="U767">
        <v>2</v>
      </c>
    </row>
    <row r="768" spans="1:21" x14ac:dyDescent="0.35">
      <c r="A768">
        <v>50</v>
      </c>
      <c r="B768" t="str" cm="1">
        <f t="array" ref="B768">_xlfn.IFS(A768&gt;40,"Senior",A768&gt;30,"Adult",A768&gt;=18,"Teenager")</f>
        <v>Senior</v>
      </c>
      <c r="C768" t="s">
        <v>22</v>
      </c>
      <c r="D768">
        <f t="shared" si="11"/>
        <v>0</v>
      </c>
      <c r="E768" t="s">
        <v>23</v>
      </c>
      <c r="F768">
        <v>2</v>
      </c>
      <c r="G768" t="s">
        <v>24</v>
      </c>
      <c r="H768">
        <v>3</v>
      </c>
      <c r="I768">
        <v>5</v>
      </c>
      <c r="J768" t="s">
        <v>31</v>
      </c>
      <c r="K768">
        <v>3</v>
      </c>
      <c r="L768">
        <v>19237</v>
      </c>
      <c r="M768" t="str" cm="1">
        <f t="array" ref="M768">_xlfn.IFS(L768&lt;= 7000,"Low",L768&lt;=15000,"Medium",L768&lt;=20000,"High")</f>
        <v>High</v>
      </c>
      <c r="N768" t="s">
        <v>18</v>
      </c>
      <c r="O768">
        <v>11</v>
      </c>
      <c r="P768">
        <v>3</v>
      </c>
      <c r="Q768">
        <v>4</v>
      </c>
      <c r="R768">
        <v>29</v>
      </c>
      <c r="S768">
        <v>2</v>
      </c>
      <c r="T768">
        <v>8</v>
      </c>
      <c r="U768">
        <v>1</v>
      </c>
    </row>
    <row r="769" spans="1:21" x14ac:dyDescent="0.35">
      <c r="A769">
        <v>37</v>
      </c>
      <c r="B769" t="str" cm="1">
        <f t="array" ref="B769">_xlfn.IFS(A769&gt;40,"Senior",A769&gt;30,"Adult",A769&gt;=18,"Teenager")</f>
        <v>Adult</v>
      </c>
      <c r="C769" t="s">
        <v>22</v>
      </c>
      <c r="D769">
        <f t="shared" si="11"/>
        <v>0</v>
      </c>
      <c r="E769" t="s">
        <v>23</v>
      </c>
      <c r="F769">
        <v>4</v>
      </c>
      <c r="G769" t="s">
        <v>20</v>
      </c>
      <c r="H769">
        <v>3</v>
      </c>
      <c r="I769">
        <v>2</v>
      </c>
      <c r="J769" t="s">
        <v>28</v>
      </c>
      <c r="K769">
        <v>2</v>
      </c>
      <c r="L769">
        <v>4107</v>
      </c>
      <c r="M769" t="str" cm="1">
        <f t="array" ref="M769">_xlfn.IFS(L769&lt;= 7000,"Low",L769&lt;=15000,"Medium",L769&lt;=20000,"High")</f>
        <v>Low</v>
      </c>
      <c r="N769" t="s">
        <v>22</v>
      </c>
      <c r="O769">
        <v>15</v>
      </c>
      <c r="P769">
        <v>3</v>
      </c>
      <c r="Q769">
        <v>1</v>
      </c>
      <c r="R769">
        <v>8</v>
      </c>
      <c r="S769">
        <v>2</v>
      </c>
      <c r="T769">
        <v>4</v>
      </c>
      <c r="U769">
        <v>3</v>
      </c>
    </row>
    <row r="770" spans="1:21" x14ac:dyDescent="0.35">
      <c r="A770">
        <v>40</v>
      </c>
      <c r="B770" t="str" cm="1">
        <f t="array" ref="B770">_xlfn.IFS(A770&gt;40,"Senior",A770&gt;30,"Adult",A770&gt;=18,"Teenager")</f>
        <v>Adult</v>
      </c>
      <c r="C770" t="s">
        <v>22</v>
      </c>
      <c r="D770">
        <f t="shared" si="11"/>
        <v>0</v>
      </c>
      <c r="E770" t="s">
        <v>19</v>
      </c>
      <c r="F770">
        <v>3</v>
      </c>
      <c r="G770" t="s">
        <v>24</v>
      </c>
      <c r="H770">
        <v>3</v>
      </c>
      <c r="I770">
        <v>2</v>
      </c>
      <c r="J770" t="s">
        <v>21</v>
      </c>
      <c r="K770">
        <v>1</v>
      </c>
      <c r="L770">
        <v>8396</v>
      </c>
      <c r="M770" t="str" cm="1">
        <f t="array" ref="M770">_xlfn.IFS(L770&lt;= 7000,"Low",L770&lt;=15000,"Medium",L770&lt;=20000,"High")</f>
        <v>Medium</v>
      </c>
      <c r="N770" t="s">
        <v>22</v>
      </c>
      <c r="O770">
        <v>14</v>
      </c>
      <c r="P770">
        <v>3</v>
      </c>
      <c r="Q770">
        <v>2</v>
      </c>
      <c r="R770">
        <v>8</v>
      </c>
      <c r="S770">
        <v>2</v>
      </c>
      <c r="T770">
        <v>7</v>
      </c>
      <c r="U770">
        <v>7</v>
      </c>
    </row>
    <row r="771" spans="1:21" x14ac:dyDescent="0.35">
      <c r="A771">
        <v>26</v>
      </c>
      <c r="B771" t="str" cm="1">
        <f t="array" ref="B771">_xlfn.IFS(A771&gt;40,"Senior",A771&gt;30,"Adult",A771&gt;=18,"Teenager")</f>
        <v>Teenager</v>
      </c>
      <c r="C771" t="s">
        <v>22</v>
      </c>
      <c r="D771">
        <f t="shared" ref="D771:D834" si="12">IF(C771="Yes",1,0)</f>
        <v>0</v>
      </c>
      <c r="E771" t="s">
        <v>23</v>
      </c>
      <c r="F771">
        <v>1</v>
      </c>
      <c r="G771" t="s">
        <v>20</v>
      </c>
      <c r="H771">
        <v>2</v>
      </c>
      <c r="I771">
        <v>1</v>
      </c>
      <c r="J771" t="s">
        <v>25</v>
      </c>
      <c r="K771">
        <v>3</v>
      </c>
      <c r="L771">
        <v>2007</v>
      </c>
      <c r="M771" t="str" cm="1">
        <f t="array" ref="M771">_xlfn.IFS(L771&lt;= 7000,"Low",L771&lt;=15000,"Medium",L771&lt;=20000,"High")</f>
        <v>Low</v>
      </c>
      <c r="N771" t="s">
        <v>22</v>
      </c>
      <c r="O771">
        <v>13</v>
      </c>
      <c r="P771">
        <v>3</v>
      </c>
      <c r="Q771">
        <v>3</v>
      </c>
      <c r="R771">
        <v>5</v>
      </c>
      <c r="S771">
        <v>3</v>
      </c>
      <c r="T771">
        <v>5</v>
      </c>
      <c r="U771">
        <v>3</v>
      </c>
    </row>
    <row r="772" spans="1:21" x14ac:dyDescent="0.35">
      <c r="A772">
        <v>46</v>
      </c>
      <c r="B772" t="str" cm="1">
        <f t="array" ref="B772">_xlfn.IFS(A772&gt;40,"Senior",A772&gt;30,"Adult",A772&gt;=18,"Teenager")</f>
        <v>Senior</v>
      </c>
      <c r="C772" t="s">
        <v>22</v>
      </c>
      <c r="D772">
        <f t="shared" si="12"/>
        <v>0</v>
      </c>
      <c r="E772" t="s">
        <v>23</v>
      </c>
      <c r="F772">
        <v>4</v>
      </c>
      <c r="G772" t="s">
        <v>24</v>
      </c>
      <c r="H772">
        <v>3</v>
      </c>
      <c r="I772">
        <v>5</v>
      </c>
      <c r="J772" t="s">
        <v>31</v>
      </c>
      <c r="K772">
        <v>4</v>
      </c>
      <c r="L772">
        <v>19627</v>
      </c>
      <c r="M772" t="str" cm="1">
        <f t="array" ref="M772">_xlfn.IFS(L772&lt;= 7000,"Low",L772&lt;=15000,"Medium",L772&lt;=20000,"High")</f>
        <v>High</v>
      </c>
      <c r="N772" t="s">
        <v>22</v>
      </c>
      <c r="O772">
        <v>17</v>
      </c>
      <c r="P772">
        <v>3</v>
      </c>
      <c r="Q772">
        <v>4</v>
      </c>
      <c r="R772">
        <v>23</v>
      </c>
      <c r="S772">
        <v>3</v>
      </c>
      <c r="T772">
        <v>2</v>
      </c>
      <c r="U772">
        <v>2</v>
      </c>
    </row>
    <row r="773" spans="1:21" x14ac:dyDescent="0.35">
      <c r="A773">
        <v>54</v>
      </c>
      <c r="B773" t="str" cm="1">
        <f t="array" ref="B773">_xlfn.IFS(A773&gt;40,"Senior",A773&gt;30,"Adult",A773&gt;=18,"Teenager")</f>
        <v>Senior</v>
      </c>
      <c r="C773" t="s">
        <v>22</v>
      </c>
      <c r="D773">
        <f t="shared" si="12"/>
        <v>0</v>
      </c>
      <c r="E773" t="s">
        <v>19</v>
      </c>
      <c r="F773">
        <v>3</v>
      </c>
      <c r="G773" t="s">
        <v>20</v>
      </c>
      <c r="H773">
        <v>2</v>
      </c>
      <c r="I773">
        <v>3</v>
      </c>
      <c r="J773" t="s">
        <v>21</v>
      </c>
      <c r="K773">
        <v>3</v>
      </c>
      <c r="L773">
        <v>10686</v>
      </c>
      <c r="M773" t="str" cm="1">
        <f t="array" ref="M773">_xlfn.IFS(L773&lt;= 7000,"Low",L773&lt;=15000,"Medium",L773&lt;=20000,"High")</f>
        <v>Medium</v>
      </c>
      <c r="N773" t="s">
        <v>22</v>
      </c>
      <c r="O773">
        <v>11</v>
      </c>
      <c r="P773">
        <v>3</v>
      </c>
      <c r="Q773">
        <v>2</v>
      </c>
      <c r="R773">
        <v>13</v>
      </c>
      <c r="S773">
        <v>3</v>
      </c>
      <c r="T773">
        <v>9</v>
      </c>
      <c r="U773">
        <v>4</v>
      </c>
    </row>
    <row r="774" spans="1:21" x14ac:dyDescent="0.35">
      <c r="A774">
        <v>56</v>
      </c>
      <c r="B774" t="str" cm="1">
        <f t="array" ref="B774">_xlfn.IFS(A774&gt;40,"Senior",A774&gt;30,"Adult",A774&gt;=18,"Teenager")</f>
        <v>Senior</v>
      </c>
      <c r="C774" t="s">
        <v>22</v>
      </c>
      <c r="D774">
        <f t="shared" si="12"/>
        <v>0</v>
      </c>
      <c r="E774" t="s">
        <v>23</v>
      </c>
      <c r="F774">
        <v>1</v>
      </c>
      <c r="G774" t="s">
        <v>20</v>
      </c>
      <c r="H774">
        <v>3</v>
      </c>
      <c r="I774">
        <v>1</v>
      </c>
      <c r="J774" t="s">
        <v>25</v>
      </c>
      <c r="K774">
        <v>3</v>
      </c>
      <c r="L774">
        <v>2942</v>
      </c>
      <c r="M774" t="str" cm="1">
        <f t="array" ref="M774">_xlfn.IFS(L774&lt;= 7000,"Low",L774&lt;=15000,"Medium",L774&lt;=20000,"High")</f>
        <v>Low</v>
      </c>
      <c r="N774" t="s">
        <v>22</v>
      </c>
      <c r="O774">
        <v>19</v>
      </c>
      <c r="P774">
        <v>3</v>
      </c>
      <c r="Q774">
        <v>2</v>
      </c>
      <c r="R774">
        <v>18</v>
      </c>
      <c r="S774">
        <v>3</v>
      </c>
      <c r="T774">
        <v>5</v>
      </c>
      <c r="U774">
        <v>4</v>
      </c>
    </row>
    <row r="775" spans="1:21" x14ac:dyDescent="0.35">
      <c r="A775">
        <v>36</v>
      </c>
      <c r="B775" t="str" cm="1">
        <f t="array" ref="B775">_xlfn.IFS(A775&gt;40,"Senior",A775&gt;30,"Adult",A775&gt;=18,"Teenager")</f>
        <v>Adult</v>
      </c>
      <c r="C775" t="s">
        <v>22</v>
      </c>
      <c r="D775">
        <f t="shared" si="12"/>
        <v>0</v>
      </c>
      <c r="E775" t="s">
        <v>23</v>
      </c>
      <c r="F775">
        <v>4</v>
      </c>
      <c r="G775" t="s">
        <v>20</v>
      </c>
      <c r="H775">
        <v>2</v>
      </c>
      <c r="I775">
        <v>3</v>
      </c>
      <c r="J775" t="s">
        <v>27</v>
      </c>
      <c r="K775">
        <v>4</v>
      </c>
      <c r="L775">
        <v>8858</v>
      </c>
      <c r="M775" t="str" cm="1">
        <f t="array" ref="M775">_xlfn.IFS(L775&lt;= 7000,"Low",L775&lt;=15000,"Medium",L775&lt;=20000,"High")</f>
        <v>Medium</v>
      </c>
      <c r="N775" t="s">
        <v>22</v>
      </c>
      <c r="O775">
        <v>11</v>
      </c>
      <c r="P775">
        <v>3</v>
      </c>
      <c r="Q775">
        <v>2</v>
      </c>
      <c r="R775">
        <v>15</v>
      </c>
      <c r="S775">
        <v>2</v>
      </c>
      <c r="T775">
        <v>14</v>
      </c>
      <c r="U775">
        <v>8</v>
      </c>
    </row>
    <row r="776" spans="1:21" x14ac:dyDescent="0.35">
      <c r="A776">
        <v>55</v>
      </c>
      <c r="B776" t="str" cm="1">
        <f t="array" ref="B776">_xlfn.IFS(A776&gt;40,"Senior",A776&gt;30,"Adult",A776&gt;=18,"Teenager")</f>
        <v>Senior</v>
      </c>
      <c r="C776" t="s">
        <v>22</v>
      </c>
      <c r="D776">
        <f t="shared" si="12"/>
        <v>0</v>
      </c>
      <c r="E776" t="s">
        <v>23</v>
      </c>
      <c r="F776">
        <v>3</v>
      </c>
      <c r="G776" t="s">
        <v>24</v>
      </c>
      <c r="H776">
        <v>2</v>
      </c>
      <c r="I776">
        <v>4</v>
      </c>
      <c r="J776" t="s">
        <v>29</v>
      </c>
      <c r="K776">
        <v>1</v>
      </c>
      <c r="L776">
        <v>16756</v>
      </c>
      <c r="M776" t="str" cm="1">
        <f t="array" ref="M776">_xlfn.IFS(L776&lt;= 7000,"Low",L776&lt;=15000,"Medium",L776&lt;=20000,"High")</f>
        <v>High</v>
      </c>
      <c r="N776" t="s">
        <v>22</v>
      </c>
      <c r="O776">
        <v>15</v>
      </c>
      <c r="P776">
        <v>3</v>
      </c>
      <c r="Q776">
        <v>2</v>
      </c>
      <c r="R776">
        <v>31</v>
      </c>
      <c r="S776">
        <v>4</v>
      </c>
      <c r="T776">
        <v>9</v>
      </c>
      <c r="U776">
        <v>7</v>
      </c>
    </row>
    <row r="777" spans="1:21" x14ac:dyDescent="0.35">
      <c r="A777">
        <v>43</v>
      </c>
      <c r="B777" t="str" cm="1">
        <f t="array" ref="B777">_xlfn.IFS(A777&gt;40,"Senior",A777&gt;30,"Adult",A777&gt;=18,"Teenager")</f>
        <v>Senior</v>
      </c>
      <c r="C777" t="s">
        <v>22</v>
      </c>
      <c r="D777">
        <f t="shared" si="12"/>
        <v>0</v>
      </c>
      <c r="E777" t="s">
        <v>19</v>
      </c>
      <c r="F777">
        <v>3</v>
      </c>
      <c r="G777" t="s">
        <v>24</v>
      </c>
      <c r="H777">
        <v>2</v>
      </c>
      <c r="I777">
        <v>3</v>
      </c>
      <c r="J777" t="s">
        <v>21</v>
      </c>
      <c r="K777">
        <v>4</v>
      </c>
      <c r="L777">
        <v>10798</v>
      </c>
      <c r="M777" t="str" cm="1">
        <f t="array" ref="M777">_xlfn.IFS(L777&lt;= 7000,"Low",L777&lt;=15000,"Medium",L777&lt;=20000,"High")</f>
        <v>Medium</v>
      </c>
      <c r="N777" t="s">
        <v>22</v>
      </c>
      <c r="O777">
        <v>13</v>
      </c>
      <c r="P777">
        <v>3</v>
      </c>
      <c r="Q777">
        <v>3</v>
      </c>
      <c r="R777">
        <v>18</v>
      </c>
      <c r="S777">
        <v>3</v>
      </c>
      <c r="T777">
        <v>1</v>
      </c>
      <c r="U777">
        <v>0</v>
      </c>
    </row>
    <row r="778" spans="1:21" x14ac:dyDescent="0.35">
      <c r="A778">
        <v>20</v>
      </c>
      <c r="B778" t="str" cm="1">
        <f t="array" ref="B778">_xlfn.IFS(A778&gt;40,"Senior",A778&gt;30,"Adult",A778&gt;=18,"Teenager")</f>
        <v>Teenager</v>
      </c>
      <c r="C778" t="s">
        <v>18</v>
      </c>
      <c r="D778">
        <f t="shared" si="12"/>
        <v>1</v>
      </c>
      <c r="E778" t="s">
        <v>19</v>
      </c>
      <c r="F778">
        <v>4</v>
      </c>
      <c r="G778" t="s">
        <v>20</v>
      </c>
      <c r="H778">
        <v>3</v>
      </c>
      <c r="I778">
        <v>1</v>
      </c>
      <c r="J778" t="s">
        <v>30</v>
      </c>
      <c r="K778">
        <v>4</v>
      </c>
      <c r="L778">
        <v>2323</v>
      </c>
      <c r="M778" t="str" cm="1">
        <f t="array" ref="M778">_xlfn.IFS(L778&lt;= 7000,"Low",L778&lt;=15000,"Medium",L778&lt;=20000,"High")</f>
        <v>Low</v>
      </c>
      <c r="N778" t="s">
        <v>18</v>
      </c>
      <c r="O778">
        <v>14</v>
      </c>
      <c r="P778">
        <v>3</v>
      </c>
      <c r="Q778">
        <v>2</v>
      </c>
      <c r="R778">
        <v>2</v>
      </c>
      <c r="S778">
        <v>3</v>
      </c>
      <c r="T778">
        <v>2</v>
      </c>
      <c r="U778">
        <v>2</v>
      </c>
    </row>
    <row r="779" spans="1:21" x14ac:dyDescent="0.35">
      <c r="A779">
        <v>21</v>
      </c>
      <c r="B779" t="str" cm="1">
        <f t="array" ref="B779">_xlfn.IFS(A779&gt;40,"Senior",A779&gt;30,"Adult",A779&gt;=18,"Teenager")</f>
        <v>Teenager</v>
      </c>
      <c r="C779" t="s">
        <v>18</v>
      </c>
      <c r="D779">
        <f t="shared" si="12"/>
        <v>1</v>
      </c>
      <c r="E779" t="s">
        <v>23</v>
      </c>
      <c r="F779">
        <v>3</v>
      </c>
      <c r="G779" t="s">
        <v>20</v>
      </c>
      <c r="H779">
        <v>2</v>
      </c>
      <c r="I779">
        <v>1</v>
      </c>
      <c r="J779" t="s">
        <v>26</v>
      </c>
      <c r="K779">
        <v>1</v>
      </c>
      <c r="L779">
        <v>1416</v>
      </c>
      <c r="M779" t="str" cm="1">
        <f t="array" ref="M779">_xlfn.IFS(L779&lt;= 7000,"Low",L779&lt;=15000,"Medium",L779&lt;=20000,"High")</f>
        <v>Low</v>
      </c>
      <c r="N779" t="s">
        <v>22</v>
      </c>
      <c r="O779">
        <v>13</v>
      </c>
      <c r="P779">
        <v>3</v>
      </c>
      <c r="Q779">
        <v>1</v>
      </c>
      <c r="R779">
        <v>1</v>
      </c>
      <c r="S779">
        <v>2</v>
      </c>
      <c r="T779">
        <v>1</v>
      </c>
      <c r="U779">
        <v>0</v>
      </c>
    </row>
    <row r="780" spans="1:21" x14ac:dyDescent="0.35">
      <c r="A780">
        <v>46</v>
      </c>
      <c r="B780" t="str" cm="1">
        <f t="array" ref="B780">_xlfn.IFS(A780&gt;40,"Senior",A780&gt;30,"Adult",A780&gt;=18,"Teenager")</f>
        <v>Senior</v>
      </c>
      <c r="C780" t="s">
        <v>22</v>
      </c>
      <c r="D780">
        <f t="shared" si="12"/>
        <v>0</v>
      </c>
      <c r="E780" t="s">
        <v>23</v>
      </c>
      <c r="F780">
        <v>4</v>
      </c>
      <c r="G780" t="s">
        <v>20</v>
      </c>
      <c r="H780">
        <v>2</v>
      </c>
      <c r="I780">
        <v>2</v>
      </c>
      <c r="J780" t="s">
        <v>25</v>
      </c>
      <c r="K780">
        <v>1</v>
      </c>
      <c r="L780">
        <v>4615</v>
      </c>
      <c r="M780" t="str" cm="1">
        <f t="array" ref="M780">_xlfn.IFS(L780&lt;= 7000,"Low",L780&lt;=15000,"Medium",L780&lt;=20000,"High")</f>
        <v>Low</v>
      </c>
      <c r="N780" t="s">
        <v>18</v>
      </c>
      <c r="O780">
        <v>23</v>
      </c>
      <c r="P780">
        <v>4</v>
      </c>
      <c r="Q780">
        <v>1</v>
      </c>
      <c r="R780">
        <v>19</v>
      </c>
      <c r="S780">
        <v>3</v>
      </c>
      <c r="T780">
        <v>16</v>
      </c>
      <c r="U780">
        <v>13</v>
      </c>
    </row>
    <row r="781" spans="1:21" x14ac:dyDescent="0.35">
      <c r="A781">
        <v>51</v>
      </c>
      <c r="B781" t="str" cm="1">
        <f t="array" ref="B781">_xlfn.IFS(A781&gt;40,"Senior",A781&gt;30,"Adult",A781&gt;=18,"Teenager")</f>
        <v>Senior</v>
      </c>
      <c r="C781" t="s">
        <v>18</v>
      </c>
      <c r="D781">
        <f t="shared" si="12"/>
        <v>1</v>
      </c>
      <c r="E781" t="s">
        <v>23</v>
      </c>
      <c r="F781">
        <v>1</v>
      </c>
      <c r="G781" t="s">
        <v>24</v>
      </c>
      <c r="H781">
        <v>3</v>
      </c>
      <c r="I781">
        <v>1</v>
      </c>
      <c r="J781" t="s">
        <v>25</v>
      </c>
      <c r="K781">
        <v>3</v>
      </c>
      <c r="L781">
        <v>2461</v>
      </c>
      <c r="M781" t="str" cm="1">
        <f t="array" ref="M781">_xlfn.IFS(L781&lt;= 7000,"Low",L781&lt;=15000,"Medium",L781&lt;=20000,"High")</f>
        <v>Low</v>
      </c>
      <c r="N781" t="s">
        <v>18</v>
      </c>
      <c r="O781">
        <v>12</v>
      </c>
      <c r="P781">
        <v>3</v>
      </c>
      <c r="Q781">
        <v>3</v>
      </c>
      <c r="R781">
        <v>18</v>
      </c>
      <c r="S781">
        <v>4</v>
      </c>
      <c r="T781">
        <v>10</v>
      </c>
      <c r="U781">
        <v>0</v>
      </c>
    </row>
    <row r="782" spans="1:21" x14ac:dyDescent="0.35">
      <c r="A782">
        <v>28</v>
      </c>
      <c r="B782" t="str" cm="1">
        <f t="array" ref="B782">_xlfn.IFS(A782&gt;40,"Senior",A782&gt;30,"Adult",A782&gt;=18,"Teenager")</f>
        <v>Teenager</v>
      </c>
      <c r="C782" t="s">
        <v>18</v>
      </c>
      <c r="D782">
        <f t="shared" si="12"/>
        <v>1</v>
      </c>
      <c r="E782" t="s">
        <v>23</v>
      </c>
      <c r="F782">
        <v>2</v>
      </c>
      <c r="G782" t="s">
        <v>24</v>
      </c>
      <c r="H782">
        <v>2</v>
      </c>
      <c r="I782">
        <v>3</v>
      </c>
      <c r="J782" t="s">
        <v>28</v>
      </c>
      <c r="K782">
        <v>1</v>
      </c>
      <c r="L782">
        <v>8722</v>
      </c>
      <c r="M782" t="str" cm="1">
        <f t="array" ref="M782">_xlfn.IFS(L782&lt;= 7000,"Low",L782&lt;=15000,"Medium",L782&lt;=20000,"High")</f>
        <v>Medium</v>
      </c>
      <c r="N782" t="s">
        <v>22</v>
      </c>
      <c r="O782">
        <v>12</v>
      </c>
      <c r="P782">
        <v>3</v>
      </c>
      <c r="Q782">
        <v>1</v>
      </c>
      <c r="R782">
        <v>10</v>
      </c>
      <c r="S782">
        <v>2</v>
      </c>
      <c r="T782">
        <v>10</v>
      </c>
      <c r="U782">
        <v>7</v>
      </c>
    </row>
    <row r="783" spans="1:21" x14ac:dyDescent="0.35">
      <c r="A783">
        <v>26</v>
      </c>
      <c r="B783" t="str" cm="1">
        <f t="array" ref="B783">_xlfn.IFS(A783&gt;40,"Senior",A783&gt;30,"Adult",A783&gt;=18,"Teenager")</f>
        <v>Teenager</v>
      </c>
      <c r="C783" t="s">
        <v>22</v>
      </c>
      <c r="D783">
        <f t="shared" si="12"/>
        <v>0</v>
      </c>
      <c r="E783" t="s">
        <v>23</v>
      </c>
      <c r="F783">
        <v>1</v>
      </c>
      <c r="G783" t="s">
        <v>24</v>
      </c>
      <c r="H783">
        <v>2</v>
      </c>
      <c r="I783">
        <v>1</v>
      </c>
      <c r="J783" t="s">
        <v>26</v>
      </c>
      <c r="K783">
        <v>1</v>
      </c>
      <c r="L783">
        <v>3955</v>
      </c>
      <c r="M783" t="str" cm="1">
        <f t="array" ref="M783">_xlfn.IFS(L783&lt;= 7000,"Low",L783&lt;=15000,"Medium",L783&lt;=20000,"High")</f>
        <v>Low</v>
      </c>
      <c r="N783" t="s">
        <v>22</v>
      </c>
      <c r="O783">
        <v>16</v>
      </c>
      <c r="P783">
        <v>3</v>
      </c>
      <c r="Q783">
        <v>1</v>
      </c>
      <c r="R783">
        <v>6</v>
      </c>
      <c r="S783">
        <v>3</v>
      </c>
      <c r="T783">
        <v>5</v>
      </c>
      <c r="U783">
        <v>3</v>
      </c>
    </row>
    <row r="784" spans="1:21" x14ac:dyDescent="0.35">
      <c r="A784">
        <v>30</v>
      </c>
      <c r="B784" t="str" cm="1">
        <f t="array" ref="B784">_xlfn.IFS(A784&gt;40,"Senior",A784&gt;30,"Adult",A784&gt;=18,"Teenager")</f>
        <v>Teenager</v>
      </c>
      <c r="C784" t="s">
        <v>22</v>
      </c>
      <c r="D784">
        <f t="shared" si="12"/>
        <v>0</v>
      </c>
      <c r="E784" t="s">
        <v>23</v>
      </c>
      <c r="F784">
        <v>3</v>
      </c>
      <c r="G784" t="s">
        <v>24</v>
      </c>
      <c r="H784">
        <v>3</v>
      </c>
      <c r="I784">
        <v>2</v>
      </c>
      <c r="J784" t="s">
        <v>27</v>
      </c>
      <c r="K784">
        <v>1</v>
      </c>
      <c r="L784">
        <v>9957</v>
      </c>
      <c r="M784" t="str" cm="1">
        <f t="array" ref="M784">_xlfn.IFS(L784&lt;= 7000,"Low",L784&lt;=15000,"Medium",L784&lt;=20000,"High")</f>
        <v>Medium</v>
      </c>
      <c r="N784" t="s">
        <v>22</v>
      </c>
      <c r="O784">
        <v>15</v>
      </c>
      <c r="P784">
        <v>3</v>
      </c>
      <c r="Q784">
        <v>3</v>
      </c>
      <c r="R784">
        <v>7</v>
      </c>
      <c r="S784">
        <v>2</v>
      </c>
      <c r="T784">
        <v>6</v>
      </c>
      <c r="U784">
        <v>2</v>
      </c>
    </row>
    <row r="785" spans="1:21" x14ac:dyDescent="0.35">
      <c r="A785">
        <v>41</v>
      </c>
      <c r="B785" t="str" cm="1">
        <f t="array" ref="B785">_xlfn.IFS(A785&gt;40,"Senior",A785&gt;30,"Adult",A785&gt;=18,"Teenager")</f>
        <v>Senior</v>
      </c>
      <c r="C785" t="s">
        <v>22</v>
      </c>
      <c r="D785">
        <f t="shared" si="12"/>
        <v>0</v>
      </c>
      <c r="E785" t="s">
        <v>23</v>
      </c>
      <c r="F785">
        <v>2</v>
      </c>
      <c r="G785" t="s">
        <v>20</v>
      </c>
      <c r="H785">
        <v>4</v>
      </c>
      <c r="I785">
        <v>1</v>
      </c>
      <c r="J785" t="s">
        <v>25</v>
      </c>
      <c r="K785">
        <v>3</v>
      </c>
      <c r="L785">
        <v>3376</v>
      </c>
      <c r="M785" t="str" cm="1">
        <f t="array" ref="M785">_xlfn.IFS(L785&lt;= 7000,"Low",L785&lt;=15000,"Medium",L785&lt;=20000,"High")</f>
        <v>Low</v>
      </c>
      <c r="N785" t="s">
        <v>22</v>
      </c>
      <c r="O785">
        <v>13</v>
      </c>
      <c r="P785">
        <v>3</v>
      </c>
      <c r="Q785">
        <v>3</v>
      </c>
      <c r="R785">
        <v>10</v>
      </c>
      <c r="S785">
        <v>3</v>
      </c>
      <c r="T785">
        <v>10</v>
      </c>
      <c r="U785">
        <v>6</v>
      </c>
    </row>
    <row r="786" spans="1:21" x14ac:dyDescent="0.35">
      <c r="A786">
        <v>38</v>
      </c>
      <c r="B786" t="str" cm="1">
        <f t="array" ref="B786">_xlfn.IFS(A786&gt;40,"Senior",A786&gt;30,"Adult",A786&gt;=18,"Teenager")</f>
        <v>Adult</v>
      </c>
      <c r="C786" t="s">
        <v>22</v>
      </c>
      <c r="D786">
        <f t="shared" si="12"/>
        <v>0</v>
      </c>
      <c r="E786" t="s">
        <v>23</v>
      </c>
      <c r="F786">
        <v>3</v>
      </c>
      <c r="G786" t="s">
        <v>20</v>
      </c>
      <c r="H786">
        <v>2</v>
      </c>
      <c r="I786">
        <v>3</v>
      </c>
      <c r="J786" t="s">
        <v>28</v>
      </c>
      <c r="K786">
        <v>3</v>
      </c>
      <c r="L786">
        <v>8823</v>
      </c>
      <c r="M786" t="str" cm="1">
        <f t="array" ref="M786">_xlfn.IFS(L786&lt;= 7000,"Low",L786&lt;=15000,"Medium",L786&lt;=20000,"High")</f>
        <v>Medium</v>
      </c>
      <c r="N786" t="s">
        <v>22</v>
      </c>
      <c r="O786">
        <v>18</v>
      </c>
      <c r="P786">
        <v>3</v>
      </c>
      <c r="Q786">
        <v>1</v>
      </c>
      <c r="R786">
        <v>20</v>
      </c>
      <c r="S786">
        <v>2</v>
      </c>
      <c r="T786">
        <v>19</v>
      </c>
      <c r="U786">
        <v>9</v>
      </c>
    </row>
    <row r="787" spans="1:21" x14ac:dyDescent="0.35">
      <c r="A787">
        <v>40</v>
      </c>
      <c r="B787" t="str" cm="1">
        <f t="array" ref="B787">_xlfn.IFS(A787&gt;40,"Senior",A787&gt;30,"Adult",A787&gt;=18,"Teenager")</f>
        <v>Adult</v>
      </c>
      <c r="C787" t="s">
        <v>22</v>
      </c>
      <c r="D787">
        <f t="shared" si="12"/>
        <v>0</v>
      </c>
      <c r="E787" t="s">
        <v>23</v>
      </c>
      <c r="F787">
        <v>1</v>
      </c>
      <c r="G787" t="s">
        <v>24</v>
      </c>
      <c r="H787">
        <v>3</v>
      </c>
      <c r="I787">
        <v>3</v>
      </c>
      <c r="J787" t="s">
        <v>28</v>
      </c>
      <c r="K787">
        <v>4</v>
      </c>
      <c r="L787">
        <v>10322</v>
      </c>
      <c r="M787" t="str" cm="1">
        <f t="array" ref="M787">_xlfn.IFS(L787&lt;= 7000,"Low",L787&lt;=15000,"Medium",L787&lt;=20000,"High")</f>
        <v>Medium</v>
      </c>
      <c r="N787" t="s">
        <v>22</v>
      </c>
      <c r="O787">
        <v>20</v>
      </c>
      <c r="P787">
        <v>4</v>
      </c>
      <c r="Q787">
        <v>4</v>
      </c>
      <c r="R787">
        <v>14</v>
      </c>
      <c r="S787">
        <v>3</v>
      </c>
      <c r="T787">
        <v>11</v>
      </c>
      <c r="U787">
        <v>10</v>
      </c>
    </row>
    <row r="788" spans="1:21" x14ac:dyDescent="0.35">
      <c r="A788">
        <v>27</v>
      </c>
      <c r="B788" t="str" cm="1">
        <f t="array" ref="B788">_xlfn.IFS(A788&gt;40,"Senior",A788&gt;30,"Adult",A788&gt;=18,"Teenager")</f>
        <v>Teenager</v>
      </c>
      <c r="C788" t="s">
        <v>22</v>
      </c>
      <c r="D788">
        <f t="shared" si="12"/>
        <v>0</v>
      </c>
      <c r="E788" t="s">
        <v>23</v>
      </c>
      <c r="F788">
        <v>1</v>
      </c>
      <c r="G788" t="s">
        <v>24</v>
      </c>
      <c r="H788">
        <v>1</v>
      </c>
      <c r="I788">
        <v>1</v>
      </c>
      <c r="J788" t="s">
        <v>26</v>
      </c>
      <c r="K788">
        <v>3</v>
      </c>
      <c r="L788">
        <v>4621</v>
      </c>
      <c r="M788" t="str" cm="1">
        <f t="array" ref="M788">_xlfn.IFS(L788&lt;= 7000,"Low",L788&lt;=15000,"Medium",L788&lt;=20000,"High")</f>
        <v>Low</v>
      </c>
      <c r="N788" t="s">
        <v>22</v>
      </c>
      <c r="O788">
        <v>19</v>
      </c>
      <c r="P788">
        <v>3</v>
      </c>
      <c r="Q788">
        <v>4</v>
      </c>
      <c r="R788">
        <v>3</v>
      </c>
      <c r="S788">
        <v>3</v>
      </c>
      <c r="T788">
        <v>3</v>
      </c>
      <c r="U788">
        <v>2</v>
      </c>
    </row>
    <row r="789" spans="1:21" x14ac:dyDescent="0.35">
      <c r="A789">
        <v>55</v>
      </c>
      <c r="B789" t="str" cm="1">
        <f t="array" ref="B789">_xlfn.IFS(A789&gt;40,"Senior",A789&gt;30,"Adult",A789&gt;=18,"Teenager")</f>
        <v>Senior</v>
      </c>
      <c r="C789" t="s">
        <v>22</v>
      </c>
      <c r="D789">
        <f t="shared" si="12"/>
        <v>0</v>
      </c>
      <c r="E789" t="s">
        <v>23</v>
      </c>
      <c r="F789">
        <v>4</v>
      </c>
      <c r="G789" t="s">
        <v>24</v>
      </c>
      <c r="H789">
        <v>3</v>
      </c>
      <c r="I789">
        <v>3</v>
      </c>
      <c r="J789" t="s">
        <v>27</v>
      </c>
      <c r="K789">
        <v>2</v>
      </c>
      <c r="L789">
        <v>10976</v>
      </c>
      <c r="M789" t="str" cm="1">
        <f t="array" ref="M789">_xlfn.IFS(L789&lt;= 7000,"Low",L789&lt;=15000,"Medium",L789&lt;=20000,"High")</f>
        <v>Medium</v>
      </c>
      <c r="N789" t="s">
        <v>22</v>
      </c>
      <c r="O789">
        <v>18</v>
      </c>
      <c r="P789">
        <v>3</v>
      </c>
      <c r="Q789">
        <v>2</v>
      </c>
      <c r="R789">
        <v>23</v>
      </c>
      <c r="S789">
        <v>3</v>
      </c>
      <c r="T789">
        <v>3</v>
      </c>
      <c r="U789">
        <v>2</v>
      </c>
    </row>
    <row r="790" spans="1:21" x14ac:dyDescent="0.35">
      <c r="A790">
        <v>28</v>
      </c>
      <c r="B790" t="str" cm="1">
        <f t="array" ref="B790">_xlfn.IFS(A790&gt;40,"Senior",A790&gt;30,"Adult",A790&gt;=18,"Teenager")</f>
        <v>Teenager</v>
      </c>
      <c r="C790" t="s">
        <v>22</v>
      </c>
      <c r="D790">
        <f t="shared" si="12"/>
        <v>0</v>
      </c>
      <c r="E790" t="s">
        <v>23</v>
      </c>
      <c r="F790">
        <v>3</v>
      </c>
      <c r="G790" t="s">
        <v>20</v>
      </c>
      <c r="H790">
        <v>3</v>
      </c>
      <c r="I790">
        <v>2</v>
      </c>
      <c r="J790" t="s">
        <v>25</v>
      </c>
      <c r="K790">
        <v>3</v>
      </c>
      <c r="L790">
        <v>3660</v>
      </c>
      <c r="M790" t="str" cm="1">
        <f t="array" ref="M790">_xlfn.IFS(L790&lt;= 7000,"Low",L790&lt;=15000,"Medium",L790&lt;=20000,"High")</f>
        <v>Low</v>
      </c>
      <c r="N790" t="s">
        <v>22</v>
      </c>
      <c r="O790">
        <v>13</v>
      </c>
      <c r="P790">
        <v>3</v>
      </c>
      <c r="Q790">
        <v>4</v>
      </c>
      <c r="R790">
        <v>10</v>
      </c>
      <c r="S790">
        <v>4</v>
      </c>
      <c r="T790">
        <v>8</v>
      </c>
      <c r="U790">
        <v>7</v>
      </c>
    </row>
    <row r="791" spans="1:21" x14ac:dyDescent="0.35">
      <c r="A791">
        <v>44</v>
      </c>
      <c r="B791" t="str" cm="1">
        <f t="array" ref="B791">_xlfn.IFS(A791&gt;40,"Senior",A791&gt;30,"Adult",A791&gt;=18,"Teenager")</f>
        <v>Senior</v>
      </c>
      <c r="C791" t="s">
        <v>18</v>
      </c>
      <c r="D791">
        <f t="shared" si="12"/>
        <v>1</v>
      </c>
      <c r="E791" t="s">
        <v>32</v>
      </c>
      <c r="F791">
        <v>2</v>
      </c>
      <c r="G791" t="s">
        <v>24</v>
      </c>
      <c r="H791">
        <v>2</v>
      </c>
      <c r="I791">
        <v>3</v>
      </c>
      <c r="J791" t="s">
        <v>32</v>
      </c>
      <c r="K791">
        <v>1</v>
      </c>
      <c r="L791">
        <v>10482</v>
      </c>
      <c r="M791" t="str" cm="1">
        <f t="array" ref="M791">_xlfn.IFS(L791&lt;= 7000,"Low",L791&lt;=15000,"Medium",L791&lt;=20000,"High")</f>
        <v>Medium</v>
      </c>
      <c r="N791" t="s">
        <v>22</v>
      </c>
      <c r="O791">
        <v>14</v>
      </c>
      <c r="P791">
        <v>3</v>
      </c>
      <c r="Q791">
        <v>4</v>
      </c>
      <c r="R791">
        <v>24</v>
      </c>
      <c r="S791">
        <v>3</v>
      </c>
      <c r="T791">
        <v>20</v>
      </c>
      <c r="U791">
        <v>6</v>
      </c>
    </row>
    <row r="792" spans="1:21" x14ac:dyDescent="0.35">
      <c r="A792">
        <v>33</v>
      </c>
      <c r="B792" t="str" cm="1">
        <f t="array" ref="B792">_xlfn.IFS(A792&gt;40,"Senior",A792&gt;30,"Adult",A792&gt;=18,"Teenager")</f>
        <v>Adult</v>
      </c>
      <c r="C792" t="s">
        <v>22</v>
      </c>
      <c r="D792">
        <f t="shared" si="12"/>
        <v>0</v>
      </c>
      <c r="E792" t="s">
        <v>23</v>
      </c>
      <c r="F792">
        <v>4</v>
      </c>
      <c r="G792" t="s">
        <v>24</v>
      </c>
      <c r="H792">
        <v>2</v>
      </c>
      <c r="I792">
        <v>3</v>
      </c>
      <c r="J792" t="s">
        <v>28</v>
      </c>
      <c r="K792">
        <v>4</v>
      </c>
      <c r="L792">
        <v>7119</v>
      </c>
      <c r="M792" t="str" cm="1">
        <f t="array" ref="M792">_xlfn.IFS(L792&lt;= 7000,"Low",L792&lt;=15000,"Medium",L792&lt;=20000,"High")</f>
        <v>Medium</v>
      </c>
      <c r="N792" t="s">
        <v>22</v>
      </c>
      <c r="O792">
        <v>15</v>
      </c>
      <c r="P792">
        <v>3</v>
      </c>
      <c r="Q792">
        <v>3</v>
      </c>
      <c r="R792">
        <v>9</v>
      </c>
      <c r="S792">
        <v>3</v>
      </c>
      <c r="T792">
        <v>3</v>
      </c>
      <c r="U792">
        <v>2</v>
      </c>
    </row>
    <row r="793" spans="1:21" x14ac:dyDescent="0.35">
      <c r="A793">
        <v>35</v>
      </c>
      <c r="B793" t="str" cm="1">
        <f t="array" ref="B793">_xlfn.IFS(A793&gt;40,"Senior",A793&gt;30,"Adult",A793&gt;=18,"Teenager")</f>
        <v>Adult</v>
      </c>
      <c r="C793" t="s">
        <v>18</v>
      </c>
      <c r="D793">
        <f t="shared" si="12"/>
        <v>1</v>
      </c>
      <c r="E793" t="s">
        <v>19</v>
      </c>
      <c r="F793">
        <v>4</v>
      </c>
      <c r="G793" t="s">
        <v>24</v>
      </c>
      <c r="H793">
        <v>3</v>
      </c>
      <c r="I793">
        <v>3</v>
      </c>
      <c r="J793" t="s">
        <v>21</v>
      </c>
      <c r="K793">
        <v>1</v>
      </c>
      <c r="L793">
        <v>9582</v>
      </c>
      <c r="M793" t="str" cm="1">
        <f t="array" ref="M793">_xlfn.IFS(L793&lt;= 7000,"Low",L793&lt;=15000,"Medium",L793&lt;=20000,"High")</f>
        <v>Medium</v>
      </c>
      <c r="N793" t="s">
        <v>18</v>
      </c>
      <c r="O793">
        <v>22</v>
      </c>
      <c r="P793">
        <v>4</v>
      </c>
      <c r="Q793">
        <v>1</v>
      </c>
      <c r="R793">
        <v>9</v>
      </c>
      <c r="S793">
        <v>3</v>
      </c>
      <c r="T793">
        <v>8</v>
      </c>
      <c r="U793">
        <v>7</v>
      </c>
    </row>
    <row r="794" spans="1:21" x14ac:dyDescent="0.35">
      <c r="A794">
        <v>33</v>
      </c>
      <c r="B794" t="str" cm="1">
        <f t="array" ref="B794">_xlfn.IFS(A794&gt;40,"Senior",A794&gt;30,"Adult",A794&gt;=18,"Teenager")</f>
        <v>Adult</v>
      </c>
      <c r="C794" t="s">
        <v>18</v>
      </c>
      <c r="D794">
        <f t="shared" si="12"/>
        <v>1</v>
      </c>
      <c r="E794" t="s">
        <v>23</v>
      </c>
      <c r="F794">
        <v>1</v>
      </c>
      <c r="G794" t="s">
        <v>20</v>
      </c>
      <c r="H794">
        <v>2</v>
      </c>
      <c r="I794">
        <v>2</v>
      </c>
      <c r="J794" t="s">
        <v>25</v>
      </c>
      <c r="K794">
        <v>3</v>
      </c>
      <c r="L794">
        <v>4508</v>
      </c>
      <c r="M794" t="str" cm="1">
        <f t="array" ref="M794">_xlfn.IFS(L794&lt;= 7000,"Low",L794&lt;=15000,"Medium",L794&lt;=20000,"High")</f>
        <v>Low</v>
      </c>
      <c r="N794" t="s">
        <v>22</v>
      </c>
      <c r="O794">
        <v>22</v>
      </c>
      <c r="P794">
        <v>4</v>
      </c>
      <c r="Q794">
        <v>2</v>
      </c>
      <c r="R794">
        <v>14</v>
      </c>
      <c r="S794">
        <v>3</v>
      </c>
      <c r="T794">
        <v>13</v>
      </c>
      <c r="U794">
        <v>7</v>
      </c>
    </row>
    <row r="795" spans="1:21" x14ac:dyDescent="0.35">
      <c r="A795">
        <v>28</v>
      </c>
      <c r="B795" t="str" cm="1">
        <f t="array" ref="B795">_xlfn.IFS(A795&gt;40,"Senior",A795&gt;30,"Adult",A795&gt;=18,"Teenager")</f>
        <v>Teenager</v>
      </c>
      <c r="C795" t="s">
        <v>22</v>
      </c>
      <c r="D795">
        <f t="shared" si="12"/>
        <v>0</v>
      </c>
      <c r="E795" t="s">
        <v>23</v>
      </c>
      <c r="F795">
        <v>1</v>
      </c>
      <c r="G795" t="s">
        <v>24</v>
      </c>
      <c r="H795">
        <v>3</v>
      </c>
      <c r="I795">
        <v>1</v>
      </c>
      <c r="J795" t="s">
        <v>26</v>
      </c>
      <c r="K795">
        <v>3</v>
      </c>
      <c r="L795">
        <v>2207</v>
      </c>
      <c r="M795" t="str" cm="1">
        <f t="array" ref="M795">_xlfn.IFS(L795&lt;= 7000,"Low",L795&lt;=15000,"Medium",L795&lt;=20000,"High")</f>
        <v>Low</v>
      </c>
      <c r="N795" t="s">
        <v>22</v>
      </c>
      <c r="O795">
        <v>16</v>
      </c>
      <c r="P795">
        <v>3</v>
      </c>
      <c r="Q795">
        <v>4</v>
      </c>
      <c r="R795">
        <v>4</v>
      </c>
      <c r="S795">
        <v>2</v>
      </c>
      <c r="T795">
        <v>4</v>
      </c>
      <c r="U795">
        <v>2</v>
      </c>
    </row>
    <row r="796" spans="1:21" x14ac:dyDescent="0.35">
      <c r="A796">
        <v>34</v>
      </c>
      <c r="B796" t="str" cm="1">
        <f t="array" ref="B796">_xlfn.IFS(A796&gt;40,"Senior",A796&gt;30,"Adult",A796&gt;=18,"Teenager")</f>
        <v>Adult</v>
      </c>
      <c r="C796" t="s">
        <v>22</v>
      </c>
      <c r="D796">
        <f t="shared" si="12"/>
        <v>0</v>
      </c>
      <c r="E796" t="s">
        <v>23</v>
      </c>
      <c r="F796">
        <v>1</v>
      </c>
      <c r="G796" t="s">
        <v>24</v>
      </c>
      <c r="H796">
        <v>3</v>
      </c>
      <c r="I796">
        <v>2</v>
      </c>
      <c r="J796" t="s">
        <v>28</v>
      </c>
      <c r="K796">
        <v>4</v>
      </c>
      <c r="L796">
        <v>7756</v>
      </c>
      <c r="M796" t="str" cm="1">
        <f t="array" ref="M796">_xlfn.IFS(L796&lt;= 7000,"Low",L796&lt;=15000,"Medium",L796&lt;=20000,"High")</f>
        <v>Medium</v>
      </c>
      <c r="N796" t="s">
        <v>22</v>
      </c>
      <c r="O796">
        <v>17</v>
      </c>
      <c r="P796">
        <v>3</v>
      </c>
      <c r="Q796">
        <v>3</v>
      </c>
      <c r="R796">
        <v>7</v>
      </c>
      <c r="S796">
        <v>2</v>
      </c>
      <c r="T796">
        <v>6</v>
      </c>
      <c r="U796">
        <v>2</v>
      </c>
    </row>
    <row r="797" spans="1:21" x14ac:dyDescent="0.35">
      <c r="A797">
        <v>37</v>
      </c>
      <c r="B797" t="str" cm="1">
        <f t="array" ref="B797">_xlfn.IFS(A797&gt;40,"Senior",A797&gt;30,"Adult",A797&gt;=18,"Teenager")</f>
        <v>Adult</v>
      </c>
      <c r="C797" t="s">
        <v>22</v>
      </c>
      <c r="D797">
        <f t="shared" si="12"/>
        <v>0</v>
      </c>
      <c r="E797" t="s">
        <v>19</v>
      </c>
      <c r="F797">
        <v>4</v>
      </c>
      <c r="G797" t="s">
        <v>20</v>
      </c>
      <c r="H797">
        <v>2</v>
      </c>
      <c r="I797">
        <v>2</v>
      </c>
      <c r="J797" t="s">
        <v>21</v>
      </c>
      <c r="K797">
        <v>4</v>
      </c>
      <c r="L797">
        <v>6694</v>
      </c>
      <c r="M797" t="str" cm="1">
        <f t="array" ref="M797">_xlfn.IFS(L797&lt;= 7000,"Low",L797&lt;=15000,"Medium",L797&lt;=20000,"High")</f>
        <v>Low</v>
      </c>
      <c r="N797" t="s">
        <v>18</v>
      </c>
      <c r="O797">
        <v>14</v>
      </c>
      <c r="P797">
        <v>3</v>
      </c>
      <c r="Q797">
        <v>3</v>
      </c>
      <c r="R797">
        <v>8</v>
      </c>
      <c r="S797">
        <v>3</v>
      </c>
      <c r="T797">
        <v>1</v>
      </c>
      <c r="U797">
        <v>0</v>
      </c>
    </row>
    <row r="798" spans="1:21" x14ac:dyDescent="0.35">
      <c r="A798">
        <v>25</v>
      </c>
      <c r="B798" t="str" cm="1">
        <f t="array" ref="B798">_xlfn.IFS(A798&gt;40,"Senior",A798&gt;30,"Adult",A798&gt;=18,"Teenager")</f>
        <v>Teenager</v>
      </c>
      <c r="C798" t="s">
        <v>18</v>
      </c>
      <c r="D798">
        <f t="shared" si="12"/>
        <v>1</v>
      </c>
      <c r="E798" t="s">
        <v>23</v>
      </c>
      <c r="F798">
        <v>4</v>
      </c>
      <c r="G798" t="s">
        <v>24</v>
      </c>
      <c r="H798">
        <v>3</v>
      </c>
      <c r="I798">
        <v>1</v>
      </c>
      <c r="J798" t="s">
        <v>26</v>
      </c>
      <c r="K798">
        <v>4</v>
      </c>
      <c r="L798">
        <v>3691</v>
      </c>
      <c r="M798" t="str" cm="1">
        <f t="array" ref="M798">_xlfn.IFS(L798&lt;= 7000,"Low",L798&lt;=15000,"Medium",L798&lt;=20000,"High")</f>
        <v>Low</v>
      </c>
      <c r="N798" t="s">
        <v>18</v>
      </c>
      <c r="O798">
        <v>15</v>
      </c>
      <c r="P798">
        <v>3</v>
      </c>
      <c r="Q798">
        <v>2</v>
      </c>
      <c r="R798">
        <v>7</v>
      </c>
      <c r="S798">
        <v>4</v>
      </c>
      <c r="T798">
        <v>7</v>
      </c>
      <c r="U798">
        <v>7</v>
      </c>
    </row>
    <row r="799" spans="1:21" x14ac:dyDescent="0.35">
      <c r="A799">
        <v>26</v>
      </c>
      <c r="B799" t="str" cm="1">
        <f t="array" ref="B799">_xlfn.IFS(A799&gt;40,"Senior",A799&gt;30,"Adult",A799&gt;=18,"Teenager")</f>
        <v>Teenager</v>
      </c>
      <c r="C799" t="s">
        <v>18</v>
      </c>
      <c r="D799">
        <f t="shared" si="12"/>
        <v>1</v>
      </c>
      <c r="E799" t="s">
        <v>23</v>
      </c>
      <c r="F799">
        <v>1</v>
      </c>
      <c r="G799" t="s">
        <v>24</v>
      </c>
      <c r="H799">
        <v>3</v>
      </c>
      <c r="I799">
        <v>1</v>
      </c>
      <c r="J799" t="s">
        <v>26</v>
      </c>
      <c r="K799">
        <v>3</v>
      </c>
      <c r="L799">
        <v>2377</v>
      </c>
      <c r="M799" t="str" cm="1">
        <f t="array" ref="M799">_xlfn.IFS(L799&lt;= 7000,"Low",L799&lt;=15000,"Medium",L799&lt;=20000,"High")</f>
        <v>Low</v>
      </c>
      <c r="N799" t="s">
        <v>22</v>
      </c>
      <c r="O799">
        <v>20</v>
      </c>
      <c r="P799">
        <v>4</v>
      </c>
      <c r="Q799">
        <v>3</v>
      </c>
      <c r="R799">
        <v>1</v>
      </c>
      <c r="S799">
        <v>2</v>
      </c>
      <c r="T799">
        <v>1</v>
      </c>
      <c r="U799">
        <v>1</v>
      </c>
    </row>
    <row r="800" spans="1:21" x14ac:dyDescent="0.35">
      <c r="A800">
        <v>33</v>
      </c>
      <c r="B800" t="str" cm="1">
        <f t="array" ref="B800">_xlfn.IFS(A800&gt;40,"Senior",A800&gt;30,"Adult",A800&gt;=18,"Teenager")</f>
        <v>Adult</v>
      </c>
      <c r="C800" t="s">
        <v>18</v>
      </c>
      <c r="D800">
        <f t="shared" si="12"/>
        <v>1</v>
      </c>
      <c r="E800" t="s">
        <v>23</v>
      </c>
      <c r="F800">
        <v>1</v>
      </c>
      <c r="G800" t="s">
        <v>24</v>
      </c>
      <c r="H800">
        <v>2</v>
      </c>
      <c r="I800">
        <v>1</v>
      </c>
      <c r="J800" t="s">
        <v>25</v>
      </c>
      <c r="K800">
        <v>2</v>
      </c>
      <c r="L800">
        <v>2313</v>
      </c>
      <c r="M800" t="str" cm="1">
        <f t="array" ref="M800">_xlfn.IFS(L800&lt;= 7000,"Low",L800&lt;=15000,"Medium",L800&lt;=20000,"High")</f>
        <v>Low</v>
      </c>
      <c r="N800" t="s">
        <v>18</v>
      </c>
      <c r="O800">
        <v>20</v>
      </c>
      <c r="P800">
        <v>4</v>
      </c>
      <c r="Q800">
        <v>2</v>
      </c>
      <c r="R800">
        <v>5</v>
      </c>
      <c r="S800">
        <v>3</v>
      </c>
      <c r="T800">
        <v>2</v>
      </c>
      <c r="U800">
        <v>2</v>
      </c>
    </row>
    <row r="801" spans="1:21" x14ac:dyDescent="0.35">
      <c r="A801">
        <v>42</v>
      </c>
      <c r="B801" t="str" cm="1">
        <f t="array" ref="B801">_xlfn.IFS(A801&gt;40,"Senior",A801&gt;30,"Adult",A801&gt;=18,"Teenager")</f>
        <v>Senior</v>
      </c>
      <c r="C801" t="s">
        <v>22</v>
      </c>
      <c r="D801">
        <f t="shared" si="12"/>
        <v>0</v>
      </c>
      <c r="E801" t="s">
        <v>23</v>
      </c>
      <c r="F801">
        <v>4</v>
      </c>
      <c r="G801" t="s">
        <v>24</v>
      </c>
      <c r="H801">
        <v>3</v>
      </c>
      <c r="I801">
        <v>4</v>
      </c>
      <c r="J801" t="s">
        <v>29</v>
      </c>
      <c r="K801">
        <v>1</v>
      </c>
      <c r="L801">
        <v>17665</v>
      </c>
      <c r="M801" t="str" cm="1">
        <f t="array" ref="M801">_xlfn.IFS(L801&lt;= 7000,"Low",L801&lt;=15000,"Medium",L801&lt;=20000,"High")</f>
        <v>High</v>
      </c>
      <c r="N801" t="s">
        <v>22</v>
      </c>
      <c r="O801">
        <v>17</v>
      </c>
      <c r="P801">
        <v>3</v>
      </c>
      <c r="Q801">
        <v>4</v>
      </c>
      <c r="R801">
        <v>23</v>
      </c>
      <c r="S801">
        <v>3</v>
      </c>
      <c r="T801">
        <v>22</v>
      </c>
      <c r="U801">
        <v>6</v>
      </c>
    </row>
    <row r="802" spans="1:21" x14ac:dyDescent="0.35">
      <c r="A802">
        <v>28</v>
      </c>
      <c r="B802" t="str" cm="1">
        <f t="array" ref="B802">_xlfn.IFS(A802&gt;40,"Senior",A802&gt;30,"Adult",A802&gt;=18,"Teenager")</f>
        <v>Teenager</v>
      </c>
      <c r="C802" t="s">
        <v>18</v>
      </c>
      <c r="D802">
        <f t="shared" si="12"/>
        <v>1</v>
      </c>
      <c r="E802" t="s">
        <v>23</v>
      </c>
      <c r="F802">
        <v>1</v>
      </c>
      <c r="G802" t="s">
        <v>24</v>
      </c>
      <c r="H802">
        <v>2</v>
      </c>
      <c r="I802">
        <v>1</v>
      </c>
      <c r="J802" t="s">
        <v>26</v>
      </c>
      <c r="K802">
        <v>2</v>
      </c>
      <c r="L802">
        <v>2596</v>
      </c>
      <c r="M802" t="str" cm="1">
        <f t="array" ref="M802">_xlfn.IFS(L802&lt;= 7000,"Low",L802&lt;=15000,"Medium",L802&lt;=20000,"High")</f>
        <v>Low</v>
      </c>
      <c r="N802" t="s">
        <v>22</v>
      </c>
      <c r="O802">
        <v>15</v>
      </c>
      <c r="P802">
        <v>3</v>
      </c>
      <c r="Q802">
        <v>1</v>
      </c>
      <c r="R802">
        <v>1</v>
      </c>
      <c r="S802">
        <v>3</v>
      </c>
      <c r="T802">
        <v>1</v>
      </c>
      <c r="U802">
        <v>0</v>
      </c>
    </row>
    <row r="803" spans="1:21" x14ac:dyDescent="0.35">
      <c r="A803">
        <v>50</v>
      </c>
      <c r="B803" t="str" cm="1">
        <f t="array" ref="B803">_xlfn.IFS(A803&gt;40,"Senior",A803&gt;30,"Adult",A803&gt;=18,"Teenager")</f>
        <v>Senior</v>
      </c>
      <c r="C803" t="s">
        <v>18</v>
      </c>
      <c r="D803">
        <f t="shared" si="12"/>
        <v>1</v>
      </c>
      <c r="E803" t="s">
        <v>19</v>
      </c>
      <c r="F803">
        <v>4</v>
      </c>
      <c r="G803" t="s">
        <v>24</v>
      </c>
      <c r="H803">
        <v>3</v>
      </c>
      <c r="I803">
        <v>2</v>
      </c>
      <c r="J803" t="s">
        <v>21</v>
      </c>
      <c r="K803">
        <v>3</v>
      </c>
      <c r="L803">
        <v>4728</v>
      </c>
      <c r="M803" t="str" cm="1">
        <f t="array" ref="M803">_xlfn.IFS(L803&lt;= 7000,"Low",L803&lt;=15000,"Medium",L803&lt;=20000,"High")</f>
        <v>Low</v>
      </c>
      <c r="N803" t="s">
        <v>18</v>
      </c>
      <c r="O803">
        <v>14</v>
      </c>
      <c r="P803">
        <v>3</v>
      </c>
      <c r="Q803">
        <v>4</v>
      </c>
      <c r="R803">
        <v>5</v>
      </c>
      <c r="S803">
        <v>3</v>
      </c>
      <c r="T803">
        <v>0</v>
      </c>
      <c r="U803">
        <v>0</v>
      </c>
    </row>
    <row r="804" spans="1:21" x14ac:dyDescent="0.35">
      <c r="A804">
        <v>33</v>
      </c>
      <c r="B804" t="str" cm="1">
        <f t="array" ref="B804">_xlfn.IFS(A804&gt;40,"Senior",A804&gt;30,"Adult",A804&gt;=18,"Teenager")</f>
        <v>Adult</v>
      </c>
      <c r="C804" t="s">
        <v>22</v>
      </c>
      <c r="D804">
        <f t="shared" si="12"/>
        <v>0</v>
      </c>
      <c r="E804" t="s">
        <v>19</v>
      </c>
      <c r="F804">
        <v>4</v>
      </c>
      <c r="G804" t="s">
        <v>20</v>
      </c>
      <c r="H804">
        <v>3</v>
      </c>
      <c r="I804">
        <v>2</v>
      </c>
      <c r="J804" t="s">
        <v>21</v>
      </c>
      <c r="K804">
        <v>2</v>
      </c>
      <c r="L804">
        <v>4302</v>
      </c>
      <c r="M804" t="str" cm="1">
        <f t="array" ref="M804">_xlfn.IFS(L804&lt;= 7000,"Low",L804&lt;=15000,"Medium",L804&lt;=20000,"High")</f>
        <v>Low</v>
      </c>
      <c r="N804" t="s">
        <v>22</v>
      </c>
      <c r="O804">
        <v>17</v>
      </c>
      <c r="P804">
        <v>3</v>
      </c>
      <c r="Q804">
        <v>3</v>
      </c>
      <c r="R804">
        <v>4</v>
      </c>
      <c r="S804">
        <v>3</v>
      </c>
      <c r="T804">
        <v>3</v>
      </c>
      <c r="U804">
        <v>2</v>
      </c>
    </row>
    <row r="805" spans="1:21" x14ac:dyDescent="0.35">
      <c r="A805">
        <v>34</v>
      </c>
      <c r="B805" t="str" cm="1">
        <f t="array" ref="B805">_xlfn.IFS(A805&gt;40,"Senior",A805&gt;30,"Adult",A805&gt;=18,"Teenager")</f>
        <v>Adult</v>
      </c>
      <c r="C805" t="s">
        <v>22</v>
      </c>
      <c r="D805">
        <f t="shared" si="12"/>
        <v>0</v>
      </c>
      <c r="E805" t="s">
        <v>23</v>
      </c>
      <c r="F805">
        <v>3</v>
      </c>
      <c r="G805" t="s">
        <v>24</v>
      </c>
      <c r="H805">
        <v>2</v>
      </c>
      <c r="I805">
        <v>1</v>
      </c>
      <c r="J805" t="s">
        <v>25</v>
      </c>
      <c r="K805">
        <v>4</v>
      </c>
      <c r="L805">
        <v>2979</v>
      </c>
      <c r="M805" t="str" cm="1">
        <f t="array" ref="M805">_xlfn.IFS(L805&lt;= 7000,"Low",L805&lt;=15000,"Medium",L805&lt;=20000,"High")</f>
        <v>Low</v>
      </c>
      <c r="N805" t="s">
        <v>22</v>
      </c>
      <c r="O805">
        <v>17</v>
      </c>
      <c r="P805">
        <v>3</v>
      </c>
      <c r="Q805">
        <v>4</v>
      </c>
      <c r="R805">
        <v>6</v>
      </c>
      <c r="S805">
        <v>3</v>
      </c>
      <c r="T805">
        <v>0</v>
      </c>
      <c r="U805">
        <v>0</v>
      </c>
    </row>
    <row r="806" spans="1:21" x14ac:dyDescent="0.35">
      <c r="A806">
        <v>48</v>
      </c>
      <c r="B806" t="str" cm="1">
        <f t="array" ref="B806">_xlfn.IFS(A806&gt;40,"Senior",A806&gt;30,"Adult",A806&gt;=18,"Teenager")</f>
        <v>Senior</v>
      </c>
      <c r="C806" t="s">
        <v>22</v>
      </c>
      <c r="D806">
        <f t="shared" si="12"/>
        <v>0</v>
      </c>
      <c r="E806" t="s">
        <v>23</v>
      </c>
      <c r="F806">
        <v>1</v>
      </c>
      <c r="G806" t="s">
        <v>24</v>
      </c>
      <c r="H806">
        <v>4</v>
      </c>
      <c r="I806">
        <v>4</v>
      </c>
      <c r="J806" t="s">
        <v>29</v>
      </c>
      <c r="K806">
        <v>4</v>
      </c>
      <c r="L806">
        <v>16885</v>
      </c>
      <c r="M806" t="str" cm="1">
        <f t="array" ref="M806">_xlfn.IFS(L806&lt;= 7000,"Low",L806&lt;=15000,"Medium",L806&lt;=20000,"High")</f>
        <v>High</v>
      </c>
      <c r="N806" t="s">
        <v>22</v>
      </c>
      <c r="O806">
        <v>22</v>
      </c>
      <c r="P806">
        <v>4</v>
      </c>
      <c r="Q806">
        <v>3</v>
      </c>
      <c r="R806">
        <v>27</v>
      </c>
      <c r="S806">
        <v>2</v>
      </c>
      <c r="T806">
        <v>5</v>
      </c>
      <c r="U806">
        <v>4</v>
      </c>
    </row>
    <row r="807" spans="1:21" x14ac:dyDescent="0.35">
      <c r="A807">
        <v>45</v>
      </c>
      <c r="B807" t="str" cm="1">
        <f t="array" ref="B807">_xlfn.IFS(A807&gt;40,"Senior",A807&gt;30,"Adult",A807&gt;=18,"Teenager")</f>
        <v>Senior</v>
      </c>
      <c r="C807" t="s">
        <v>22</v>
      </c>
      <c r="D807">
        <f t="shared" si="12"/>
        <v>0</v>
      </c>
      <c r="E807" t="s">
        <v>19</v>
      </c>
      <c r="F807">
        <v>2</v>
      </c>
      <c r="G807" t="s">
        <v>20</v>
      </c>
      <c r="H807">
        <v>2</v>
      </c>
      <c r="I807">
        <v>2</v>
      </c>
      <c r="J807" t="s">
        <v>21</v>
      </c>
      <c r="K807">
        <v>3</v>
      </c>
      <c r="L807">
        <v>5593</v>
      </c>
      <c r="M807" t="str" cm="1">
        <f t="array" ref="M807">_xlfn.IFS(L807&lt;= 7000,"Low",L807&lt;=15000,"Medium",L807&lt;=20000,"High")</f>
        <v>Low</v>
      </c>
      <c r="N807" t="s">
        <v>22</v>
      </c>
      <c r="O807">
        <v>13</v>
      </c>
      <c r="P807">
        <v>3</v>
      </c>
      <c r="Q807">
        <v>4</v>
      </c>
      <c r="R807">
        <v>15</v>
      </c>
      <c r="S807">
        <v>3</v>
      </c>
      <c r="T807">
        <v>15</v>
      </c>
      <c r="U807">
        <v>10</v>
      </c>
    </row>
    <row r="808" spans="1:21" x14ac:dyDescent="0.35">
      <c r="A808">
        <v>52</v>
      </c>
      <c r="B808" t="str" cm="1">
        <f t="array" ref="B808">_xlfn.IFS(A808&gt;40,"Senior",A808&gt;30,"Adult",A808&gt;=18,"Teenager")</f>
        <v>Senior</v>
      </c>
      <c r="C808" t="s">
        <v>22</v>
      </c>
      <c r="D808">
        <f t="shared" si="12"/>
        <v>0</v>
      </c>
      <c r="E808" t="s">
        <v>23</v>
      </c>
      <c r="F808">
        <v>2</v>
      </c>
      <c r="G808" t="s">
        <v>24</v>
      </c>
      <c r="H808">
        <v>3</v>
      </c>
      <c r="I808">
        <v>3</v>
      </c>
      <c r="J808" t="s">
        <v>28</v>
      </c>
      <c r="K808">
        <v>2</v>
      </c>
      <c r="L808">
        <v>10445</v>
      </c>
      <c r="M808" t="str" cm="1">
        <f t="array" ref="M808">_xlfn.IFS(L808&lt;= 7000,"Low",L808&lt;=15000,"Medium",L808&lt;=20000,"High")</f>
        <v>Medium</v>
      </c>
      <c r="N808" t="s">
        <v>22</v>
      </c>
      <c r="O808">
        <v>19</v>
      </c>
      <c r="P808">
        <v>3</v>
      </c>
      <c r="Q808">
        <v>4</v>
      </c>
      <c r="R808">
        <v>18</v>
      </c>
      <c r="S808">
        <v>3</v>
      </c>
      <c r="T808">
        <v>8</v>
      </c>
      <c r="U808">
        <v>6</v>
      </c>
    </row>
    <row r="809" spans="1:21" x14ac:dyDescent="0.35">
      <c r="A809">
        <v>38</v>
      </c>
      <c r="B809" t="str" cm="1">
        <f t="array" ref="B809">_xlfn.IFS(A809&gt;40,"Senior",A809&gt;30,"Adult",A809&gt;=18,"Teenager")</f>
        <v>Adult</v>
      </c>
      <c r="C809" t="s">
        <v>22</v>
      </c>
      <c r="D809">
        <f t="shared" si="12"/>
        <v>0</v>
      </c>
      <c r="E809" t="s">
        <v>19</v>
      </c>
      <c r="F809">
        <v>3</v>
      </c>
      <c r="G809" t="s">
        <v>24</v>
      </c>
      <c r="H809">
        <v>2</v>
      </c>
      <c r="I809">
        <v>3</v>
      </c>
      <c r="J809" t="s">
        <v>21</v>
      </c>
      <c r="K809">
        <v>3</v>
      </c>
      <c r="L809">
        <v>8740</v>
      </c>
      <c r="M809" t="str" cm="1">
        <f t="array" ref="M809">_xlfn.IFS(L809&lt;= 7000,"Low",L809&lt;=15000,"Medium",L809&lt;=20000,"High")</f>
        <v>Medium</v>
      </c>
      <c r="N809" t="s">
        <v>18</v>
      </c>
      <c r="O809">
        <v>14</v>
      </c>
      <c r="P809">
        <v>3</v>
      </c>
      <c r="Q809">
        <v>2</v>
      </c>
      <c r="R809">
        <v>9</v>
      </c>
      <c r="S809">
        <v>3</v>
      </c>
      <c r="T809">
        <v>8</v>
      </c>
      <c r="U809">
        <v>7</v>
      </c>
    </row>
    <row r="810" spans="1:21" x14ac:dyDescent="0.35">
      <c r="A810">
        <v>29</v>
      </c>
      <c r="B810" t="str" cm="1">
        <f t="array" ref="B810">_xlfn.IFS(A810&gt;40,"Senior",A810&gt;30,"Adult",A810&gt;=18,"Teenager")</f>
        <v>Teenager</v>
      </c>
      <c r="C810" t="s">
        <v>22</v>
      </c>
      <c r="D810">
        <f t="shared" si="12"/>
        <v>0</v>
      </c>
      <c r="E810" t="s">
        <v>23</v>
      </c>
      <c r="F810">
        <v>3</v>
      </c>
      <c r="G810" t="s">
        <v>20</v>
      </c>
      <c r="H810">
        <v>3</v>
      </c>
      <c r="I810">
        <v>1</v>
      </c>
      <c r="J810" t="s">
        <v>25</v>
      </c>
      <c r="K810">
        <v>4</v>
      </c>
      <c r="L810">
        <v>2514</v>
      </c>
      <c r="M810" t="str" cm="1">
        <f t="array" ref="M810">_xlfn.IFS(L810&lt;= 7000,"Low",L810&lt;=15000,"Medium",L810&lt;=20000,"High")</f>
        <v>Low</v>
      </c>
      <c r="N810" t="s">
        <v>22</v>
      </c>
      <c r="O810">
        <v>22</v>
      </c>
      <c r="P810">
        <v>4</v>
      </c>
      <c r="Q810">
        <v>1</v>
      </c>
      <c r="R810">
        <v>11</v>
      </c>
      <c r="S810">
        <v>3</v>
      </c>
      <c r="T810">
        <v>7</v>
      </c>
      <c r="U810">
        <v>5</v>
      </c>
    </row>
    <row r="811" spans="1:21" x14ac:dyDescent="0.35">
      <c r="A811">
        <v>28</v>
      </c>
      <c r="B811" t="str" cm="1">
        <f t="array" ref="B811">_xlfn.IFS(A811&gt;40,"Senior",A811&gt;30,"Adult",A811&gt;=18,"Teenager")</f>
        <v>Teenager</v>
      </c>
      <c r="C811" t="s">
        <v>22</v>
      </c>
      <c r="D811">
        <f t="shared" si="12"/>
        <v>0</v>
      </c>
      <c r="E811" t="s">
        <v>23</v>
      </c>
      <c r="F811">
        <v>4</v>
      </c>
      <c r="G811" t="s">
        <v>20</v>
      </c>
      <c r="H811">
        <v>3</v>
      </c>
      <c r="I811">
        <v>3</v>
      </c>
      <c r="J811" t="s">
        <v>27</v>
      </c>
      <c r="K811">
        <v>2</v>
      </c>
      <c r="L811">
        <v>7655</v>
      </c>
      <c r="M811" t="str" cm="1">
        <f t="array" ref="M811">_xlfn.IFS(L811&lt;= 7000,"Low",L811&lt;=15000,"Medium",L811&lt;=20000,"High")</f>
        <v>Medium</v>
      </c>
      <c r="N811" t="s">
        <v>22</v>
      </c>
      <c r="O811">
        <v>17</v>
      </c>
      <c r="P811">
        <v>3</v>
      </c>
      <c r="Q811">
        <v>2</v>
      </c>
      <c r="R811">
        <v>10</v>
      </c>
      <c r="S811">
        <v>2</v>
      </c>
      <c r="T811">
        <v>9</v>
      </c>
      <c r="U811">
        <v>7</v>
      </c>
    </row>
    <row r="812" spans="1:21" x14ac:dyDescent="0.35">
      <c r="A812">
        <v>46</v>
      </c>
      <c r="B812" t="str" cm="1">
        <f t="array" ref="B812">_xlfn.IFS(A812&gt;40,"Senior",A812&gt;30,"Adult",A812&gt;=18,"Teenager")</f>
        <v>Senior</v>
      </c>
      <c r="C812" t="s">
        <v>22</v>
      </c>
      <c r="D812">
        <f t="shared" si="12"/>
        <v>0</v>
      </c>
      <c r="E812" t="s">
        <v>19</v>
      </c>
      <c r="F812">
        <v>1</v>
      </c>
      <c r="G812" t="s">
        <v>24</v>
      </c>
      <c r="H812">
        <v>3</v>
      </c>
      <c r="I812">
        <v>4</v>
      </c>
      <c r="J812" t="s">
        <v>29</v>
      </c>
      <c r="K812">
        <v>3</v>
      </c>
      <c r="L812">
        <v>17465</v>
      </c>
      <c r="M812" t="str" cm="1">
        <f t="array" ref="M812">_xlfn.IFS(L812&lt;= 7000,"Low",L812&lt;=15000,"Medium",L812&lt;=20000,"High")</f>
        <v>High</v>
      </c>
      <c r="N812" t="s">
        <v>22</v>
      </c>
      <c r="O812">
        <v>12</v>
      </c>
      <c r="P812">
        <v>3</v>
      </c>
      <c r="Q812">
        <v>4</v>
      </c>
      <c r="R812">
        <v>23</v>
      </c>
      <c r="S812">
        <v>3</v>
      </c>
      <c r="T812">
        <v>12</v>
      </c>
      <c r="U812">
        <v>9</v>
      </c>
    </row>
    <row r="813" spans="1:21" x14ac:dyDescent="0.35">
      <c r="A813">
        <v>38</v>
      </c>
      <c r="B813" t="str" cm="1">
        <f t="array" ref="B813">_xlfn.IFS(A813&gt;40,"Senior",A813&gt;30,"Adult",A813&gt;=18,"Teenager")</f>
        <v>Adult</v>
      </c>
      <c r="C813" t="s">
        <v>22</v>
      </c>
      <c r="D813">
        <f t="shared" si="12"/>
        <v>0</v>
      </c>
      <c r="E813" t="s">
        <v>19</v>
      </c>
      <c r="F813">
        <v>4</v>
      </c>
      <c r="G813" t="s">
        <v>24</v>
      </c>
      <c r="H813">
        <v>3</v>
      </c>
      <c r="I813">
        <v>3</v>
      </c>
      <c r="J813" t="s">
        <v>21</v>
      </c>
      <c r="K813">
        <v>2</v>
      </c>
      <c r="L813">
        <v>7351</v>
      </c>
      <c r="M813" t="str" cm="1">
        <f t="array" ref="M813">_xlfn.IFS(L813&lt;= 7000,"Low",L813&lt;=15000,"Medium",L813&lt;=20000,"High")</f>
        <v>Medium</v>
      </c>
      <c r="N813" t="s">
        <v>22</v>
      </c>
      <c r="O813">
        <v>16</v>
      </c>
      <c r="P813">
        <v>3</v>
      </c>
      <c r="Q813">
        <v>3</v>
      </c>
      <c r="R813">
        <v>10</v>
      </c>
      <c r="S813">
        <v>3</v>
      </c>
      <c r="T813">
        <v>1</v>
      </c>
      <c r="U813">
        <v>0</v>
      </c>
    </row>
    <row r="814" spans="1:21" x14ac:dyDescent="0.35">
      <c r="A814">
        <v>43</v>
      </c>
      <c r="B814" t="str" cm="1">
        <f t="array" ref="B814">_xlfn.IFS(A814&gt;40,"Senior",A814&gt;30,"Adult",A814&gt;=18,"Teenager")</f>
        <v>Senior</v>
      </c>
      <c r="C814" t="s">
        <v>22</v>
      </c>
      <c r="D814">
        <f t="shared" si="12"/>
        <v>0</v>
      </c>
      <c r="E814" t="s">
        <v>23</v>
      </c>
      <c r="F814">
        <v>3</v>
      </c>
      <c r="G814" t="s">
        <v>20</v>
      </c>
      <c r="H814">
        <v>3</v>
      </c>
      <c r="I814">
        <v>3</v>
      </c>
      <c r="J814" t="s">
        <v>27</v>
      </c>
      <c r="K814">
        <v>1</v>
      </c>
      <c r="L814">
        <v>10820</v>
      </c>
      <c r="M814" t="str" cm="1">
        <f t="array" ref="M814">_xlfn.IFS(L814&lt;= 7000,"Low",L814&lt;=15000,"Medium",L814&lt;=20000,"High")</f>
        <v>Medium</v>
      </c>
      <c r="N814" t="s">
        <v>22</v>
      </c>
      <c r="O814">
        <v>11</v>
      </c>
      <c r="P814">
        <v>3</v>
      </c>
      <c r="Q814">
        <v>3</v>
      </c>
      <c r="R814">
        <v>18</v>
      </c>
      <c r="S814">
        <v>3</v>
      </c>
      <c r="T814">
        <v>8</v>
      </c>
      <c r="U814">
        <v>7</v>
      </c>
    </row>
    <row r="815" spans="1:21" x14ac:dyDescent="0.35">
      <c r="A815">
        <v>39</v>
      </c>
      <c r="B815" t="str" cm="1">
        <f t="array" ref="B815">_xlfn.IFS(A815&gt;40,"Senior",A815&gt;30,"Adult",A815&gt;=18,"Teenager")</f>
        <v>Adult</v>
      </c>
      <c r="C815" t="s">
        <v>18</v>
      </c>
      <c r="D815">
        <f t="shared" si="12"/>
        <v>1</v>
      </c>
      <c r="E815" t="s">
        <v>23</v>
      </c>
      <c r="F815">
        <v>1</v>
      </c>
      <c r="G815" t="s">
        <v>24</v>
      </c>
      <c r="H815">
        <v>3</v>
      </c>
      <c r="I815">
        <v>4</v>
      </c>
      <c r="J815" t="s">
        <v>28</v>
      </c>
      <c r="K815">
        <v>4</v>
      </c>
      <c r="L815">
        <v>12169</v>
      </c>
      <c r="M815" t="str" cm="1">
        <f t="array" ref="M815">_xlfn.IFS(L815&lt;= 7000,"Low",L815&lt;=15000,"Medium",L815&lt;=20000,"High")</f>
        <v>Medium</v>
      </c>
      <c r="N815" t="s">
        <v>22</v>
      </c>
      <c r="O815">
        <v>11</v>
      </c>
      <c r="P815">
        <v>3</v>
      </c>
      <c r="Q815">
        <v>4</v>
      </c>
      <c r="R815">
        <v>21</v>
      </c>
      <c r="S815">
        <v>3</v>
      </c>
      <c r="T815">
        <v>18</v>
      </c>
      <c r="U815">
        <v>7</v>
      </c>
    </row>
    <row r="816" spans="1:21" x14ac:dyDescent="0.35">
      <c r="A816">
        <v>40</v>
      </c>
      <c r="B816" t="str" cm="1">
        <f t="array" ref="B816">_xlfn.IFS(A816&gt;40,"Senior",A816&gt;30,"Adult",A816&gt;=18,"Teenager")</f>
        <v>Adult</v>
      </c>
      <c r="C816" t="s">
        <v>22</v>
      </c>
      <c r="D816">
        <f t="shared" si="12"/>
        <v>0</v>
      </c>
      <c r="E816" t="s">
        <v>23</v>
      </c>
      <c r="F816">
        <v>3</v>
      </c>
      <c r="G816" t="s">
        <v>24</v>
      </c>
      <c r="H816">
        <v>2</v>
      </c>
      <c r="I816">
        <v>5</v>
      </c>
      <c r="J816" t="s">
        <v>31</v>
      </c>
      <c r="K816">
        <v>3</v>
      </c>
      <c r="L816">
        <v>19626</v>
      </c>
      <c r="M816" t="str" cm="1">
        <f t="array" ref="M816">_xlfn.IFS(L816&lt;= 7000,"Low",L816&lt;=15000,"Medium",L816&lt;=20000,"High")</f>
        <v>High</v>
      </c>
      <c r="N816" t="s">
        <v>22</v>
      </c>
      <c r="O816">
        <v>14</v>
      </c>
      <c r="P816">
        <v>3</v>
      </c>
      <c r="Q816">
        <v>1</v>
      </c>
      <c r="R816">
        <v>21</v>
      </c>
      <c r="S816">
        <v>4</v>
      </c>
      <c r="T816">
        <v>20</v>
      </c>
      <c r="U816">
        <v>7</v>
      </c>
    </row>
    <row r="817" spans="1:21" x14ac:dyDescent="0.35">
      <c r="A817">
        <v>21</v>
      </c>
      <c r="B817" t="str" cm="1">
        <f t="array" ref="B817">_xlfn.IFS(A817&gt;40,"Senior",A817&gt;30,"Adult",A817&gt;=18,"Teenager")</f>
        <v>Teenager</v>
      </c>
      <c r="C817" t="s">
        <v>22</v>
      </c>
      <c r="D817">
        <f t="shared" si="12"/>
        <v>0</v>
      </c>
      <c r="E817" t="s">
        <v>23</v>
      </c>
      <c r="F817">
        <v>4</v>
      </c>
      <c r="G817" t="s">
        <v>20</v>
      </c>
      <c r="H817">
        <v>2</v>
      </c>
      <c r="I817">
        <v>1</v>
      </c>
      <c r="J817" t="s">
        <v>25</v>
      </c>
      <c r="K817">
        <v>2</v>
      </c>
      <c r="L817">
        <v>2070</v>
      </c>
      <c r="M817" t="str" cm="1">
        <f t="array" ref="M817">_xlfn.IFS(L817&lt;= 7000,"Low",L817&lt;=15000,"Medium",L817&lt;=20000,"High")</f>
        <v>Low</v>
      </c>
      <c r="N817" t="s">
        <v>18</v>
      </c>
      <c r="O817">
        <v>11</v>
      </c>
      <c r="P817">
        <v>3</v>
      </c>
      <c r="Q817">
        <v>3</v>
      </c>
      <c r="R817">
        <v>2</v>
      </c>
      <c r="S817">
        <v>4</v>
      </c>
      <c r="T817">
        <v>2</v>
      </c>
      <c r="U817">
        <v>2</v>
      </c>
    </row>
    <row r="818" spans="1:21" x14ac:dyDescent="0.35">
      <c r="A818">
        <v>39</v>
      </c>
      <c r="B818" t="str" cm="1">
        <f t="array" ref="B818">_xlfn.IFS(A818&gt;40,"Senior",A818&gt;30,"Adult",A818&gt;=18,"Teenager")</f>
        <v>Adult</v>
      </c>
      <c r="C818" t="s">
        <v>22</v>
      </c>
      <c r="D818">
        <f t="shared" si="12"/>
        <v>0</v>
      </c>
      <c r="E818" t="s">
        <v>23</v>
      </c>
      <c r="F818">
        <v>3</v>
      </c>
      <c r="G818" t="s">
        <v>24</v>
      </c>
      <c r="H818">
        <v>3</v>
      </c>
      <c r="I818">
        <v>2</v>
      </c>
      <c r="J818" t="s">
        <v>26</v>
      </c>
      <c r="K818">
        <v>2</v>
      </c>
      <c r="L818">
        <v>6782</v>
      </c>
      <c r="M818" t="str" cm="1">
        <f t="array" ref="M818">_xlfn.IFS(L818&lt;= 7000,"Low",L818&lt;=15000,"Medium",L818&lt;=20000,"High")</f>
        <v>Low</v>
      </c>
      <c r="N818" t="s">
        <v>22</v>
      </c>
      <c r="O818">
        <v>15</v>
      </c>
      <c r="P818">
        <v>3</v>
      </c>
      <c r="Q818">
        <v>3</v>
      </c>
      <c r="R818">
        <v>9</v>
      </c>
      <c r="S818">
        <v>2</v>
      </c>
      <c r="T818">
        <v>5</v>
      </c>
      <c r="U818">
        <v>4</v>
      </c>
    </row>
    <row r="819" spans="1:21" x14ac:dyDescent="0.35">
      <c r="A819">
        <v>36</v>
      </c>
      <c r="B819" t="str" cm="1">
        <f t="array" ref="B819">_xlfn.IFS(A819&gt;40,"Senior",A819&gt;30,"Adult",A819&gt;=18,"Teenager")</f>
        <v>Adult</v>
      </c>
      <c r="C819" t="s">
        <v>22</v>
      </c>
      <c r="D819">
        <f t="shared" si="12"/>
        <v>0</v>
      </c>
      <c r="E819" t="s">
        <v>23</v>
      </c>
      <c r="F819">
        <v>1</v>
      </c>
      <c r="G819" t="s">
        <v>24</v>
      </c>
      <c r="H819">
        <v>3</v>
      </c>
      <c r="I819">
        <v>2</v>
      </c>
      <c r="J819" t="s">
        <v>27</v>
      </c>
      <c r="K819">
        <v>4</v>
      </c>
      <c r="L819">
        <v>7779</v>
      </c>
      <c r="M819" t="str" cm="1">
        <f t="array" ref="M819">_xlfn.IFS(L819&lt;= 7000,"Low",L819&lt;=15000,"Medium",L819&lt;=20000,"High")</f>
        <v>Medium</v>
      </c>
      <c r="N819" t="s">
        <v>22</v>
      </c>
      <c r="O819">
        <v>20</v>
      </c>
      <c r="P819">
        <v>4</v>
      </c>
      <c r="Q819">
        <v>1</v>
      </c>
      <c r="R819">
        <v>18</v>
      </c>
      <c r="S819">
        <v>3</v>
      </c>
      <c r="T819">
        <v>11</v>
      </c>
      <c r="U819">
        <v>9</v>
      </c>
    </row>
    <row r="820" spans="1:21" x14ac:dyDescent="0.35">
      <c r="A820">
        <v>31</v>
      </c>
      <c r="B820" t="str" cm="1">
        <f t="array" ref="B820">_xlfn.IFS(A820&gt;40,"Senior",A820&gt;30,"Adult",A820&gt;=18,"Teenager")</f>
        <v>Adult</v>
      </c>
      <c r="C820" t="s">
        <v>22</v>
      </c>
      <c r="D820">
        <f t="shared" si="12"/>
        <v>0</v>
      </c>
      <c r="E820" t="s">
        <v>19</v>
      </c>
      <c r="F820">
        <v>3</v>
      </c>
      <c r="G820" t="s">
        <v>24</v>
      </c>
      <c r="H820">
        <v>4</v>
      </c>
      <c r="I820">
        <v>1</v>
      </c>
      <c r="J820" t="s">
        <v>30</v>
      </c>
      <c r="K820">
        <v>4</v>
      </c>
      <c r="L820">
        <v>2791</v>
      </c>
      <c r="M820" t="str" cm="1">
        <f t="array" ref="M820">_xlfn.IFS(L820&lt;= 7000,"Low",L820&lt;=15000,"Medium",L820&lt;=20000,"High")</f>
        <v>Low</v>
      </c>
      <c r="N820" t="s">
        <v>22</v>
      </c>
      <c r="O820">
        <v>12</v>
      </c>
      <c r="P820">
        <v>3</v>
      </c>
      <c r="Q820">
        <v>1</v>
      </c>
      <c r="R820">
        <v>3</v>
      </c>
      <c r="S820">
        <v>3</v>
      </c>
      <c r="T820">
        <v>2</v>
      </c>
      <c r="U820">
        <v>2</v>
      </c>
    </row>
    <row r="821" spans="1:21" x14ac:dyDescent="0.35">
      <c r="A821">
        <v>28</v>
      </c>
      <c r="B821" t="str" cm="1">
        <f t="array" ref="B821">_xlfn.IFS(A821&gt;40,"Senior",A821&gt;30,"Adult",A821&gt;=18,"Teenager")</f>
        <v>Teenager</v>
      </c>
      <c r="C821" t="s">
        <v>22</v>
      </c>
      <c r="D821">
        <f t="shared" si="12"/>
        <v>0</v>
      </c>
      <c r="E821" t="s">
        <v>23</v>
      </c>
      <c r="F821">
        <v>1</v>
      </c>
      <c r="G821" t="s">
        <v>24</v>
      </c>
      <c r="H821">
        <v>2</v>
      </c>
      <c r="I821">
        <v>1</v>
      </c>
      <c r="J821" t="s">
        <v>25</v>
      </c>
      <c r="K821">
        <v>2</v>
      </c>
      <c r="L821">
        <v>3201</v>
      </c>
      <c r="M821" t="str" cm="1">
        <f t="array" ref="M821">_xlfn.IFS(L821&lt;= 7000,"Low",L821&lt;=15000,"Medium",L821&lt;=20000,"High")</f>
        <v>Low</v>
      </c>
      <c r="N821" t="s">
        <v>22</v>
      </c>
      <c r="O821">
        <v>17</v>
      </c>
      <c r="P821">
        <v>3</v>
      </c>
      <c r="Q821">
        <v>1</v>
      </c>
      <c r="R821">
        <v>6</v>
      </c>
      <c r="S821">
        <v>1</v>
      </c>
      <c r="T821">
        <v>5</v>
      </c>
      <c r="U821">
        <v>3</v>
      </c>
    </row>
    <row r="822" spans="1:21" x14ac:dyDescent="0.35">
      <c r="A822">
        <v>35</v>
      </c>
      <c r="B822" t="str" cm="1">
        <f t="array" ref="B822">_xlfn.IFS(A822&gt;40,"Senior",A822&gt;30,"Adult",A822&gt;=18,"Teenager")</f>
        <v>Adult</v>
      </c>
      <c r="C822" t="s">
        <v>22</v>
      </c>
      <c r="D822">
        <f t="shared" si="12"/>
        <v>0</v>
      </c>
      <c r="E822" t="s">
        <v>19</v>
      </c>
      <c r="F822">
        <v>4</v>
      </c>
      <c r="G822" t="s">
        <v>24</v>
      </c>
      <c r="H822">
        <v>3</v>
      </c>
      <c r="I822">
        <v>2</v>
      </c>
      <c r="J822" t="s">
        <v>21</v>
      </c>
      <c r="K822">
        <v>4</v>
      </c>
      <c r="L822">
        <v>4968</v>
      </c>
      <c r="M822" t="str" cm="1">
        <f t="array" ref="M822">_xlfn.IFS(L822&lt;= 7000,"Low",L822&lt;=15000,"Medium",L822&lt;=20000,"High")</f>
        <v>Low</v>
      </c>
      <c r="N822" t="s">
        <v>22</v>
      </c>
      <c r="O822">
        <v>11</v>
      </c>
      <c r="P822">
        <v>3</v>
      </c>
      <c r="Q822">
        <v>4</v>
      </c>
      <c r="R822">
        <v>5</v>
      </c>
      <c r="S822">
        <v>3</v>
      </c>
      <c r="T822">
        <v>5</v>
      </c>
      <c r="U822">
        <v>2</v>
      </c>
    </row>
    <row r="823" spans="1:21" x14ac:dyDescent="0.35">
      <c r="A823">
        <v>49</v>
      </c>
      <c r="B823" t="str" cm="1">
        <f t="array" ref="B823">_xlfn.IFS(A823&gt;40,"Senior",A823&gt;30,"Adult",A823&gt;=18,"Teenager")</f>
        <v>Senior</v>
      </c>
      <c r="C823" t="s">
        <v>22</v>
      </c>
      <c r="D823">
        <f t="shared" si="12"/>
        <v>0</v>
      </c>
      <c r="E823" t="s">
        <v>19</v>
      </c>
      <c r="F823">
        <v>4</v>
      </c>
      <c r="G823" t="s">
        <v>24</v>
      </c>
      <c r="H823">
        <v>2</v>
      </c>
      <c r="I823">
        <v>4</v>
      </c>
      <c r="J823" t="s">
        <v>21</v>
      </c>
      <c r="K823">
        <v>2</v>
      </c>
      <c r="L823">
        <v>13120</v>
      </c>
      <c r="M823" t="str" cm="1">
        <f t="array" ref="M823">_xlfn.IFS(L823&lt;= 7000,"Low",L823&lt;=15000,"Medium",L823&lt;=20000,"High")</f>
        <v>Medium</v>
      </c>
      <c r="N823" t="s">
        <v>22</v>
      </c>
      <c r="O823">
        <v>17</v>
      </c>
      <c r="P823">
        <v>3</v>
      </c>
      <c r="Q823">
        <v>2</v>
      </c>
      <c r="R823">
        <v>22</v>
      </c>
      <c r="S823">
        <v>3</v>
      </c>
      <c r="T823">
        <v>9</v>
      </c>
      <c r="U823">
        <v>8</v>
      </c>
    </row>
    <row r="824" spans="1:21" x14ac:dyDescent="0.35">
      <c r="A824">
        <v>34</v>
      </c>
      <c r="B824" t="str" cm="1">
        <f t="array" ref="B824">_xlfn.IFS(A824&gt;40,"Senior",A824&gt;30,"Adult",A824&gt;=18,"Teenager")</f>
        <v>Adult</v>
      </c>
      <c r="C824" t="s">
        <v>22</v>
      </c>
      <c r="D824">
        <f t="shared" si="12"/>
        <v>0</v>
      </c>
      <c r="E824" t="s">
        <v>23</v>
      </c>
      <c r="F824">
        <v>4</v>
      </c>
      <c r="G824" t="s">
        <v>24</v>
      </c>
      <c r="H824">
        <v>3</v>
      </c>
      <c r="I824">
        <v>2</v>
      </c>
      <c r="J824" t="s">
        <v>27</v>
      </c>
      <c r="K824">
        <v>3</v>
      </c>
      <c r="L824">
        <v>4033</v>
      </c>
      <c r="M824" t="str" cm="1">
        <f t="array" ref="M824">_xlfn.IFS(L824&lt;= 7000,"Low",L824&lt;=15000,"Medium",L824&lt;=20000,"High")</f>
        <v>Low</v>
      </c>
      <c r="N824" t="s">
        <v>22</v>
      </c>
      <c r="O824">
        <v>11</v>
      </c>
      <c r="P824">
        <v>3</v>
      </c>
      <c r="Q824">
        <v>4</v>
      </c>
      <c r="R824">
        <v>5</v>
      </c>
      <c r="S824">
        <v>2</v>
      </c>
      <c r="T824">
        <v>3</v>
      </c>
      <c r="U824">
        <v>2</v>
      </c>
    </row>
    <row r="825" spans="1:21" x14ac:dyDescent="0.35">
      <c r="A825">
        <v>29</v>
      </c>
      <c r="B825" t="str" cm="1">
        <f t="array" ref="B825">_xlfn.IFS(A825&gt;40,"Senior",A825&gt;30,"Adult",A825&gt;=18,"Teenager")</f>
        <v>Teenager</v>
      </c>
      <c r="C825" t="s">
        <v>22</v>
      </c>
      <c r="D825">
        <f t="shared" si="12"/>
        <v>0</v>
      </c>
      <c r="E825" t="s">
        <v>23</v>
      </c>
      <c r="F825">
        <v>4</v>
      </c>
      <c r="G825" t="s">
        <v>20</v>
      </c>
      <c r="H825">
        <v>3</v>
      </c>
      <c r="I825">
        <v>1</v>
      </c>
      <c r="J825" t="s">
        <v>25</v>
      </c>
      <c r="K825">
        <v>2</v>
      </c>
      <c r="L825">
        <v>3291</v>
      </c>
      <c r="M825" t="str" cm="1">
        <f t="array" ref="M825">_xlfn.IFS(L825&lt;= 7000,"Low",L825&lt;=15000,"Medium",L825&lt;=20000,"High")</f>
        <v>Low</v>
      </c>
      <c r="N825" t="s">
        <v>22</v>
      </c>
      <c r="O825">
        <v>14</v>
      </c>
      <c r="P825">
        <v>3</v>
      </c>
      <c r="Q825">
        <v>4</v>
      </c>
      <c r="R825">
        <v>8</v>
      </c>
      <c r="S825">
        <v>2</v>
      </c>
      <c r="T825">
        <v>7</v>
      </c>
      <c r="U825">
        <v>5</v>
      </c>
    </row>
    <row r="826" spans="1:21" x14ac:dyDescent="0.35">
      <c r="A826">
        <v>42</v>
      </c>
      <c r="B826" t="str" cm="1">
        <f t="array" ref="B826">_xlfn.IFS(A826&gt;40,"Senior",A826&gt;30,"Adult",A826&gt;=18,"Teenager")</f>
        <v>Senior</v>
      </c>
      <c r="C826" t="s">
        <v>22</v>
      </c>
      <c r="D826">
        <f t="shared" si="12"/>
        <v>0</v>
      </c>
      <c r="E826" t="s">
        <v>23</v>
      </c>
      <c r="F826">
        <v>2</v>
      </c>
      <c r="G826" t="s">
        <v>24</v>
      </c>
      <c r="H826">
        <v>1</v>
      </c>
      <c r="I826">
        <v>2</v>
      </c>
      <c r="J826" t="s">
        <v>26</v>
      </c>
      <c r="K826">
        <v>4</v>
      </c>
      <c r="L826">
        <v>4272</v>
      </c>
      <c r="M826" t="str" cm="1">
        <f t="array" ref="M826">_xlfn.IFS(L826&lt;= 7000,"Low",L826&lt;=15000,"Medium",L826&lt;=20000,"High")</f>
        <v>Low</v>
      </c>
      <c r="N826" t="s">
        <v>22</v>
      </c>
      <c r="O826">
        <v>19</v>
      </c>
      <c r="P826">
        <v>3</v>
      </c>
      <c r="Q826">
        <v>1</v>
      </c>
      <c r="R826">
        <v>16</v>
      </c>
      <c r="S826">
        <v>3</v>
      </c>
      <c r="T826">
        <v>1</v>
      </c>
      <c r="U826">
        <v>0</v>
      </c>
    </row>
    <row r="827" spans="1:21" x14ac:dyDescent="0.35">
      <c r="A827">
        <v>29</v>
      </c>
      <c r="B827" t="str" cm="1">
        <f t="array" ref="B827">_xlfn.IFS(A827&gt;40,"Senior",A827&gt;30,"Adult",A827&gt;=18,"Teenager")</f>
        <v>Teenager</v>
      </c>
      <c r="C827" t="s">
        <v>22</v>
      </c>
      <c r="D827">
        <f t="shared" si="12"/>
        <v>0</v>
      </c>
      <c r="E827" t="s">
        <v>23</v>
      </c>
      <c r="F827">
        <v>2</v>
      </c>
      <c r="G827" t="s">
        <v>24</v>
      </c>
      <c r="H827">
        <v>2</v>
      </c>
      <c r="I827">
        <v>2</v>
      </c>
      <c r="J827" t="s">
        <v>27</v>
      </c>
      <c r="K827">
        <v>4</v>
      </c>
      <c r="L827">
        <v>5056</v>
      </c>
      <c r="M827" t="str" cm="1">
        <f t="array" ref="M827">_xlfn.IFS(L827&lt;= 7000,"Low",L827&lt;=15000,"Medium",L827&lt;=20000,"High")</f>
        <v>Low</v>
      </c>
      <c r="N827" t="s">
        <v>18</v>
      </c>
      <c r="O827">
        <v>15</v>
      </c>
      <c r="P827">
        <v>3</v>
      </c>
      <c r="Q827">
        <v>3</v>
      </c>
      <c r="R827">
        <v>10</v>
      </c>
      <c r="S827">
        <v>2</v>
      </c>
      <c r="T827">
        <v>10</v>
      </c>
      <c r="U827">
        <v>7</v>
      </c>
    </row>
    <row r="828" spans="1:21" x14ac:dyDescent="0.35">
      <c r="A828">
        <v>38</v>
      </c>
      <c r="B828" t="str" cm="1">
        <f t="array" ref="B828">_xlfn.IFS(A828&gt;40,"Senior",A828&gt;30,"Adult",A828&gt;=18,"Teenager")</f>
        <v>Adult</v>
      </c>
      <c r="C828" t="s">
        <v>22</v>
      </c>
      <c r="D828">
        <f t="shared" si="12"/>
        <v>0</v>
      </c>
      <c r="E828" t="s">
        <v>32</v>
      </c>
      <c r="F828">
        <v>3</v>
      </c>
      <c r="G828" t="s">
        <v>24</v>
      </c>
      <c r="H828">
        <v>4</v>
      </c>
      <c r="I828">
        <v>1</v>
      </c>
      <c r="J828" t="s">
        <v>32</v>
      </c>
      <c r="K828">
        <v>3</v>
      </c>
      <c r="L828">
        <v>2844</v>
      </c>
      <c r="M828" t="str" cm="1">
        <f t="array" ref="M828">_xlfn.IFS(L828&lt;= 7000,"Low",L828&lt;=15000,"Medium",L828&lt;=20000,"High")</f>
        <v>Low</v>
      </c>
      <c r="N828" t="s">
        <v>22</v>
      </c>
      <c r="O828">
        <v>13</v>
      </c>
      <c r="P828">
        <v>3</v>
      </c>
      <c r="Q828">
        <v>4</v>
      </c>
      <c r="R828">
        <v>7</v>
      </c>
      <c r="S828">
        <v>4</v>
      </c>
      <c r="T828">
        <v>7</v>
      </c>
      <c r="U828">
        <v>6</v>
      </c>
    </row>
    <row r="829" spans="1:21" x14ac:dyDescent="0.35">
      <c r="A829">
        <v>28</v>
      </c>
      <c r="B829" t="str" cm="1">
        <f t="array" ref="B829">_xlfn.IFS(A829&gt;40,"Senior",A829&gt;30,"Adult",A829&gt;=18,"Teenager")</f>
        <v>Teenager</v>
      </c>
      <c r="C829" t="s">
        <v>22</v>
      </c>
      <c r="D829">
        <f t="shared" si="12"/>
        <v>0</v>
      </c>
      <c r="E829" t="s">
        <v>23</v>
      </c>
      <c r="F829">
        <v>3</v>
      </c>
      <c r="G829" t="s">
        <v>24</v>
      </c>
      <c r="H829">
        <v>2</v>
      </c>
      <c r="I829">
        <v>1</v>
      </c>
      <c r="J829" t="s">
        <v>25</v>
      </c>
      <c r="K829">
        <v>3</v>
      </c>
      <c r="L829">
        <v>2703</v>
      </c>
      <c r="M829" t="str" cm="1">
        <f t="array" ref="M829">_xlfn.IFS(L829&lt;= 7000,"Low",L829&lt;=15000,"Medium",L829&lt;=20000,"High")</f>
        <v>Low</v>
      </c>
      <c r="N829" t="s">
        <v>18</v>
      </c>
      <c r="O829">
        <v>14</v>
      </c>
      <c r="P829">
        <v>3</v>
      </c>
      <c r="Q829">
        <v>4</v>
      </c>
      <c r="R829">
        <v>3</v>
      </c>
      <c r="S829">
        <v>3</v>
      </c>
      <c r="T829">
        <v>3</v>
      </c>
      <c r="U829">
        <v>1</v>
      </c>
    </row>
    <row r="830" spans="1:21" x14ac:dyDescent="0.35">
      <c r="A830">
        <v>18</v>
      </c>
      <c r="B830" t="str" cm="1">
        <f t="array" ref="B830">_xlfn.IFS(A830&gt;40,"Senior",A830&gt;30,"Adult",A830&gt;=18,"Teenager")</f>
        <v>Teenager</v>
      </c>
      <c r="C830" t="s">
        <v>18</v>
      </c>
      <c r="D830">
        <f t="shared" si="12"/>
        <v>1</v>
      </c>
      <c r="E830" t="s">
        <v>23</v>
      </c>
      <c r="F830">
        <v>3</v>
      </c>
      <c r="G830" t="s">
        <v>24</v>
      </c>
      <c r="H830">
        <v>3</v>
      </c>
      <c r="I830">
        <v>1</v>
      </c>
      <c r="J830" t="s">
        <v>26</v>
      </c>
      <c r="K830">
        <v>3</v>
      </c>
      <c r="L830">
        <v>1904</v>
      </c>
      <c r="M830" t="str" cm="1">
        <f t="array" ref="M830">_xlfn.IFS(L830&lt;= 7000,"Low",L830&lt;=15000,"Medium",L830&lt;=20000,"High")</f>
        <v>Low</v>
      </c>
      <c r="N830" t="s">
        <v>22</v>
      </c>
      <c r="O830">
        <v>12</v>
      </c>
      <c r="P830">
        <v>3</v>
      </c>
      <c r="Q830">
        <v>4</v>
      </c>
      <c r="R830">
        <v>0</v>
      </c>
      <c r="S830">
        <v>3</v>
      </c>
      <c r="T830">
        <v>0</v>
      </c>
      <c r="U830">
        <v>0</v>
      </c>
    </row>
    <row r="831" spans="1:21" x14ac:dyDescent="0.35">
      <c r="A831">
        <v>33</v>
      </c>
      <c r="B831" t="str" cm="1">
        <f t="array" ref="B831">_xlfn.IFS(A831&gt;40,"Senior",A831&gt;30,"Adult",A831&gt;=18,"Teenager")</f>
        <v>Adult</v>
      </c>
      <c r="C831" t="s">
        <v>18</v>
      </c>
      <c r="D831">
        <f t="shared" si="12"/>
        <v>1</v>
      </c>
      <c r="E831" t="s">
        <v>19</v>
      </c>
      <c r="F831">
        <v>1</v>
      </c>
      <c r="G831" t="s">
        <v>20</v>
      </c>
      <c r="H831">
        <v>3</v>
      </c>
      <c r="I831">
        <v>2</v>
      </c>
      <c r="J831" t="s">
        <v>21</v>
      </c>
      <c r="K831">
        <v>1</v>
      </c>
      <c r="L831">
        <v>8224</v>
      </c>
      <c r="M831" t="str" cm="1">
        <f t="array" ref="M831">_xlfn.IFS(L831&lt;= 7000,"Low",L831&lt;=15000,"Medium",L831&lt;=20000,"High")</f>
        <v>Medium</v>
      </c>
      <c r="N831" t="s">
        <v>18</v>
      </c>
      <c r="O831">
        <v>17</v>
      </c>
      <c r="P831">
        <v>3</v>
      </c>
      <c r="Q831">
        <v>1</v>
      </c>
      <c r="R831">
        <v>6</v>
      </c>
      <c r="S831">
        <v>3</v>
      </c>
      <c r="T831">
        <v>5</v>
      </c>
      <c r="U831">
        <v>2</v>
      </c>
    </row>
    <row r="832" spans="1:21" x14ac:dyDescent="0.35">
      <c r="A832">
        <v>41</v>
      </c>
      <c r="B832" t="str" cm="1">
        <f t="array" ref="B832">_xlfn.IFS(A832&gt;40,"Senior",A832&gt;30,"Adult",A832&gt;=18,"Teenager")</f>
        <v>Senior</v>
      </c>
      <c r="C832" t="s">
        <v>22</v>
      </c>
      <c r="D832">
        <f t="shared" si="12"/>
        <v>0</v>
      </c>
      <c r="E832" t="s">
        <v>23</v>
      </c>
      <c r="F832">
        <v>2</v>
      </c>
      <c r="G832" t="s">
        <v>24</v>
      </c>
      <c r="H832">
        <v>3</v>
      </c>
      <c r="I832">
        <v>1</v>
      </c>
      <c r="J832" t="s">
        <v>26</v>
      </c>
      <c r="K832">
        <v>4</v>
      </c>
      <c r="L832">
        <v>4766</v>
      </c>
      <c r="M832" t="str" cm="1">
        <f t="array" ref="M832">_xlfn.IFS(L832&lt;= 7000,"Low",L832&lt;=15000,"Medium",L832&lt;=20000,"High")</f>
        <v>Low</v>
      </c>
      <c r="N832" t="s">
        <v>18</v>
      </c>
      <c r="O832">
        <v>11</v>
      </c>
      <c r="P832">
        <v>3</v>
      </c>
      <c r="Q832">
        <v>1</v>
      </c>
      <c r="R832">
        <v>6</v>
      </c>
      <c r="S832">
        <v>3</v>
      </c>
      <c r="T832">
        <v>1</v>
      </c>
      <c r="U832">
        <v>0</v>
      </c>
    </row>
    <row r="833" spans="1:21" x14ac:dyDescent="0.35">
      <c r="A833">
        <v>31</v>
      </c>
      <c r="B833" t="str" cm="1">
        <f t="array" ref="B833">_xlfn.IFS(A833&gt;40,"Senior",A833&gt;30,"Adult",A833&gt;=18,"Teenager")</f>
        <v>Adult</v>
      </c>
      <c r="C833" t="s">
        <v>18</v>
      </c>
      <c r="D833">
        <f t="shared" si="12"/>
        <v>1</v>
      </c>
      <c r="E833" t="s">
        <v>23</v>
      </c>
      <c r="F833">
        <v>3</v>
      </c>
      <c r="G833" t="s">
        <v>24</v>
      </c>
      <c r="H833">
        <v>3</v>
      </c>
      <c r="I833">
        <v>1</v>
      </c>
      <c r="J833" t="s">
        <v>26</v>
      </c>
      <c r="K833">
        <v>3</v>
      </c>
      <c r="L833">
        <v>2610</v>
      </c>
      <c r="M833" t="str" cm="1">
        <f t="array" ref="M833">_xlfn.IFS(L833&lt;= 7000,"Low",L833&lt;=15000,"Medium",L833&lt;=20000,"High")</f>
        <v>Low</v>
      </c>
      <c r="N833" t="s">
        <v>22</v>
      </c>
      <c r="O833">
        <v>12</v>
      </c>
      <c r="P833">
        <v>3</v>
      </c>
      <c r="Q833">
        <v>3</v>
      </c>
      <c r="R833">
        <v>2</v>
      </c>
      <c r="S833">
        <v>2</v>
      </c>
      <c r="T833">
        <v>2</v>
      </c>
      <c r="U833">
        <v>2</v>
      </c>
    </row>
    <row r="834" spans="1:21" x14ac:dyDescent="0.35">
      <c r="A834">
        <v>37</v>
      </c>
      <c r="B834" t="str" cm="1">
        <f t="array" ref="B834">_xlfn.IFS(A834&gt;40,"Senior",A834&gt;30,"Adult",A834&gt;=18,"Teenager")</f>
        <v>Adult</v>
      </c>
      <c r="C834" t="s">
        <v>22</v>
      </c>
      <c r="D834">
        <f t="shared" si="12"/>
        <v>0</v>
      </c>
      <c r="E834" t="s">
        <v>23</v>
      </c>
      <c r="F834">
        <v>3</v>
      </c>
      <c r="G834" t="s">
        <v>20</v>
      </c>
      <c r="H834">
        <v>2</v>
      </c>
      <c r="I834">
        <v>2</v>
      </c>
      <c r="J834" t="s">
        <v>28</v>
      </c>
      <c r="K834">
        <v>4</v>
      </c>
      <c r="L834">
        <v>5731</v>
      </c>
      <c r="M834" t="str" cm="1">
        <f t="array" ref="M834">_xlfn.IFS(L834&lt;= 7000,"Low",L834&lt;=15000,"Medium",L834&lt;=20000,"High")</f>
        <v>Low</v>
      </c>
      <c r="N834" t="s">
        <v>22</v>
      </c>
      <c r="O834">
        <v>13</v>
      </c>
      <c r="P834">
        <v>3</v>
      </c>
      <c r="Q834">
        <v>3</v>
      </c>
      <c r="R834">
        <v>9</v>
      </c>
      <c r="S834">
        <v>3</v>
      </c>
      <c r="T834">
        <v>6</v>
      </c>
      <c r="U834">
        <v>2</v>
      </c>
    </row>
    <row r="835" spans="1:21" x14ac:dyDescent="0.35">
      <c r="A835">
        <v>27</v>
      </c>
      <c r="B835" t="str" cm="1">
        <f t="array" ref="B835">_xlfn.IFS(A835&gt;40,"Senior",A835&gt;30,"Adult",A835&gt;=18,"Teenager")</f>
        <v>Teenager</v>
      </c>
      <c r="C835" t="s">
        <v>22</v>
      </c>
      <c r="D835">
        <f t="shared" ref="D835:D898" si="13">IF(C835="Yes",1,0)</f>
        <v>0</v>
      </c>
      <c r="E835" t="s">
        <v>23</v>
      </c>
      <c r="F835">
        <v>4</v>
      </c>
      <c r="G835" t="s">
        <v>24</v>
      </c>
      <c r="H835">
        <v>2</v>
      </c>
      <c r="I835">
        <v>1</v>
      </c>
      <c r="J835" t="s">
        <v>25</v>
      </c>
      <c r="K835">
        <v>3</v>
      </c>
      <c r="L835">
        <v>2539</v>
      </c>
      <c r="M835" t="str" cm="1">
        <f t="array" ref="M835">_xlfn.IFS(L835&lt;= 7000,"Low",L835&lt;=15000,"Medium",L835&lt;=20000,"High")</f>
        <v>Low</v>
      </c>
      <c r="N835" t="s">
        <v>22</v>
      </c>
      <c r="O835">
        <v>13</v>
      </c>
      <c r="P835">
        <v>3</v>
      </c>
      <c r="Q835">
        <v>3</v>
      </c>
      <c r="R835">
        <v>4</v>
      </c>
      <c r="S835">
        <v>3</v>
      </c>
      <c r="T835">
        <v>4</v>
      </c>
      <c r="U835">
        <v>2</v>
      </c>
    </row>
    <row r="836" spans="1:21" x14ac:dyDescent="0.35">
      <c r="A836">
        <v>34</v>
      </c>
      <c r="B836" t="str" cm="1">
        <f t="array" ref="B836">_xlfn.IFS(A836&gt;40,"Senior",A836&gt;30,"Adult",A836&gt;=18,"Teenager")</f>
        <v>Adult</v>
      </c>
      <c r="C836" t="s">
        <v>22</v>
      </c>
      <c r="D836">
        <f t="shared" si="13"/>
        <v>0</v>
      </c>
      <c r="E836" t="s">
        <v>19</v>
      </c>
      <c r="F836">
        <v>2</v>
      </c>
      <c r="G836" t="s">
        <v>20</v>
      </c>
      <c r="H836">
        <v>3</v>
      </c>
      <c r="I836">
        <v>2</v>
      </c>
      <c r="J836" t="s">
        <v>21</v>
      </c>
      <c r="K836">
        <v>3</v>
      </c>
      <c r="L836">
        <v>5714</v>
      </c>
      <c r="M836" t="str" cm="1">
        <f t="array" ref="M836">_xlfn.IFS(L836&lt;= 7000,"Low",L836&lt;=15000,"Medium",L836&lt;=20000,"High")</f>
        <v>Low</v>
      </c>
      <c r="N836" t="s">
        <v>22</v>
      </c>
      <c r="O836">
        <v>20</v>
      </c>
      <c r="P836">
        <v>4</v>
      </c>
      <c r="Q836">
        <v>1</v>
      </c>
      <c r="R836">
        <v>6</v>
      </c>
      <c r="S836">
        <v>2</v>
      </c>
      <c r="T836">
        <v>6</v>
      </c>
      <c r="U836">
        <v>5</v>
      </c>
    </row>
    <row r="837" spans="1:21" x14ac:dyDescent="0.35">
      <c r="A837">
        <v>35</v>
      </c>
      <c r="B837" t="str" cm="1">
        <f t="array" ref="B837">_xlfn.IFS(A837&gt;40,"Senior",A837&gt;30,"Adult",A837&gt;=18,"Teenager")</f>
        <v>Adult</v>
      </c>
      <c r="C837" t="s">
        <v>22</v>
      </c>
      <c r="D837">
        <f t="shared" si="13"/>
        <v>0</v>
      </c>
      <c r="E837" t="s">
        <v>32</v>
      </c>
      <c r="F837">
        <v>3</v>
      </c>
      <c r="G837" t="s">
        <v>24</v>
      </c>
      <c r="H837">
        <v>3</v>
      </c>
      <c r="I837">
        <v>1</v>
      </c>
      <c r="J837" t="s">
        <v>32</v>
      </c>
      <c r="K837">
        <v>3</v>
      </c>
      <c r="L837">
        <v>4323</v>
      </c>
      <c r="M837" t="str" cm="1">
        <f t="array" ref="M837">_xlfn.IFS(L837&lt;= 7000,"Low",L837&lt;=15000,"Medium",L837&lt;=20000,"High")</f>
        <v>Low</v>
      </c>
      <c r="N837" t="s">
        <v>22</v>
      </c>
      <c r="O837">
        <v>17</v>
      </c>
      <c r="P837">
        <v>3</v>
      </c>
      <c r="Q837">
        <v>2</v>
      </c>
      <c r="R837">
        <v>6</v>
      </c>
      <c r="S837">
        <v>1</v>
      </c>
      <c r="T837">
        <v>5</v>
      </c>
      <c r="U837">
        <v>4</v>
      </c>
    </row>
    <row r="838" spans="1:21" x14ac:dyDescent="0.35">
      <c r="A838">
        <v>29</v>
      </c>
      <c r="B838" t="str" cm="1">
        <f t="array" ref="B838">_xlfn.IFS(A838&gt;40,"Senior",A838&gt;30,"Adult",A838&gt;=18,"Teenager")</f>
        <v>Teenager</v>
      </c>
      <c r="C838" t="s">
        <v>18</v>
      </c>
      <c r="D838">
        <f t="shared" si="13"/>
        <v>1</v>
      </c>
      <c r="E838" t="s">
        <v>19</v>
      </c>
      <c r="F838">
        <v>4</v>
      </c>
      <c r="G838" t="s">
        <v>20</v>
      </c>
      <c r="H838">
        <v>2</v>
      </c>
      <c r="I838">
        <v>3</v>
      </c>
      <c r="J838" t="s">
        <v>21</v>
      </c>
      <c r="K838">
        <v>1</v>
      </c>
      <c r="L838">
        <v>7336</v>
      </c>
      <c r="M838" t="str" cm="1">
        <f t="array" ref="M838">_xlfn.IFS(L838&lt;= 7000,"Low",L838&lt;=15000,"Medium",L838&lt;=20000,"High")</f>
        <v>Medium</v>
      </c>
      <c r="N838" t="s">
        <v>22</v>
      </c>
      <c r="O838">
        <v>13</v>
      </c>
      <c r="P838">
        <v>3</v>
      </c>
      <c r="Q838">
        <v>1</v>
      </c>
      <c r="R838">
        <v>11</v>
      </c>
      <c r="S838">
        <v>1</v>
      </c>
      <c r="T838">
        <v>11</v>
      </c>
      <c r="U838">
        <v>8</v>
      </c>
    </row>
    <row r="839" spans="1:21" x14ac:dyDescent="0.35">
      <c r="A839">
        <v>40</v>
      </c>
      <c r="B839" t="str" cm="1">
        <f t="array" ref="B839">_xlfn.IFS(A839&gt;40,"Senior",A839&gt;30,"Adult",A839&gt;=18,"Teenager")</f>
        <v>Adult</v>
      </c>
      <c r="C839" t="s">
        <v>22</v>
      </c>
      <c r="D839">
        <f t="shared" si="13"/>
        <v>0</v>
      </c>
      <c r="E839" t="s">
        <v>23</v>
      </c>
      <c r="F839">
        <v>2</v>
      </c>
      <c r="G839" t="s">
        <v>20</v>
      </c>
      <c r="H839">
        <v>3</v>
      </c>
      <c r="I839">
        <v>3</v>
      </c>
      <c r="J839" t="s">
        <v>31</v>
      </c>
      <c r="K839">
        <v>3</v>
      </c>
      <c r="L839">
        <v>13499</v>
      </c>
      <c r="M839" t="str" cm="1">
        <f t="array" ref="M839">_xlfn.IFS(L839&lt;= 7000,"Low",L839&lt;=15000,"Medium",L839&lt;=20000,"High")</f>
        <v>Medium</v>
      </c>
      <c r="N839" t="s">
        <v>22</v>
      </c>
      <c r="O839">
        <v>17</v>
      </c>
      <c r="P839">
        <v>3</v>
      </c>
      <c r="Q839">
        <v>3</v>
      </c>
      <c r="R839">
        <v>20</v>
      </c>
      <c r="S839">
        <v>2</v>
      </c>
      <c r="T839">
        <v>18</v>
      </c>
      <c r="U839">
        <v>7</v>
      </c>
    </row>
    <row r="840" spans="1:21" x14ac:dyDescent="0.35">
      <c r="A840">
        <v>42</v>
      </c>
      <c r="B840" t="str" cm="1">
        <f t="array" ref="B840">_xlfn.IFS(A840&gt;40,"Senior",A840&gt;30,"Adult",A840&gt;=18,"Teenager")</f>
        <v>Senior</v>
      </c>
      <c r="C840" t="s">
        <v>18</v>
      </c>
      <c r="D840">
        <f t="shared" si="13"/>
        <v>1</v>
      </c>
      <c r="E840" t="s">
        <v>19</v>
      </c>
      <c r="F840">
        <v>3</v>
      </c>
      <c r="G840" t="s">
        <v>24</v>
      </c>
      <c r="H840">
        <v>3</v>
      </c>
      <c r="I840">
        <v>4</v>
      </c>
      <c r="J840" t="s">
        <v>21</v>
      </c>
      <c r="K840">
        <v>1</v>
      </c>
      <c r="L840">
        <v>13758</v>
      </c>
      <c r="M840" t="str" cm="1">
        <f t="array" ref="M840">_xlfn.IFS(L840&lt;= 7000,"Low",L840&lt;=15000,"Medium",L840&lt;=20000,"High")</f>
        <v>Medium</v>
      </c>
      <c r="N840" t="s">
        <v>18</v>
      </c>
      <c r="O840">
        <v>12</v>
      </c>
      <c r="P840">
        <v>3</v>
      </c>
      <c r="Q840">
        <v>2</v>
      </c>
      <c r="R840">
        <v>22</v>
      </c>
      <c r="S840">
        <v>2</v>
      </c>
      <c r="T840">
        <v>21</v>
      </c>
      <c r="U840">
        <v>9</v>
      </c>
    </row>
    <row r="841" spans="1:21" x14ac:dyDescent="0.35">
      <c r="A841">
        <v>42</v>
      </c>
      <c r="B841" t="str" cm="1">
        <f t="array" ref="B841">_xlfn.IFS(A841&gt;40,"Senior",A841&gt;30,"Adult",A841&gt;=18,"Teenager")</f>
        <v>Senior</v>
      </c>
      <c r="C841" t="s">
        <v>22</v>
      </c>
      <c r="D841">
        <f t="shared" si="13"/>
        <v>0</v>
      </c>
      <c r="E841" t="s">
        <v>19</v>
      </c>
      <c r="F841">
        <v>2</v>
      </c>
      <c r="G841" t="s">
        <v>24</v>
      </c>
      <c r="H841">
        <v>3</v>
      </c>
      <c r="I841">
        <v>2</v>
      </c>
      <c r="J841" t="s">
        <v>21</v>
      </c>
      <c r="K841">
        <v>1</v>
      </c>
      <c r="L841">
        <v>5155</v>
      </c>
      <c r="M841" t="str" cm="1">
        <f t="array" ref="M841">_xlfn.IFS(L841&lt;= 7000,"Low",L841&lt;=15000,"Medium",L841&lt;=20000,"High")</f>
        <v>Low</v>
      </c>
      <c r="N841" t="s">
        <v>22</v>
      </c>
      <c r="O841">
        <v>13</v>
      </c>
      <c r="P841">
        <v>3</v>
      </c>
      <c r="Q841">
        <v>4</v>
      </c>
      <c r="R841">
        <v>9</v>
      </c>
      <c r="S841">
        <v>4</v>
      </c>
      <c r="T841">
        <v>6</v>
      </c>
      <c r="U841">
        <v>4</v>
      </c>
    </row>
    <row r="842" spans="1:21" x14ac:dyDescent="0.35">
      <c r="A842">
        <v>35</v>
      </c>
      <c r="B842" t="str" cm="1">
        <f t="array" ref="B842">_xlfn.IFS(A842&gt;40,"Senior",A842&gt;30,"Adult",A842&gt;=18,"Teenager")</f>
        <v>Adult</v>
      </c>
      <c r="C842" t="s">
        <v>22</v>
      </c>
      <c r="D842">
        <f t="shared" si="13"/>
        <v>0</v>
      </c>
      <c r="E842" t="s">
        <v>23</v>
      </c>
      <c r="F842">
        <v>4</v>
      </c>
      <c r="G842" t="s">
        <v>24</v>
      </c>
      <c r="H842">
        <v>2</v>
      </c>
      <c r="I842">
        <v>1</v>
      </c>
      <c r="J842" t="s">
        <v>26</v>
      </c>
      <c r="K842">
        <v>3</v>
      </c>
      <c r="L842">
        <v>2258</v>
      </c>
      <c r="M842" t="str" cm="1">
        <f t="array" ref="M842">_xlfn.IFS(L842&lt;= 7000,"Low",L842&lt;=15000,"Medium",L842&lt;=20000,"High")</f>
        <v>Low</v>
      </c>
      <c r="N842" t="s">
        <v>22</v>
      </c>
      <c r="O842">
        <v>12</v>
      </c>
      <c r="P842">
        <v>3</v>
      </c>
      <c r="Q842">
        <v>2</v>
      </c>
      <c r="R842">
        <v>10</v>
      </c>
      <c r="S842">
        <v>3</v>
      </c>
      <c r="T842">
        <v>8</v>
      </c>
      <c r="U842">
        <v>0</v>
      </c>
    </row>
    <row r="843" spans="1:21" x14ac:dyDescent="0.35">
      <c r="A843">
        <v>24</v>
      </c>
      <c r="B843" t="str" cm="1">
        <f t="array" ref="B843">_xlfn.IFS(A843&gt;40,"Senior",A843&gt;30,"Adult",A843&gt;=18,"Teenager")</f>
        <v>Teenager</v>
      </c>
      <c r="C843" t="s">
        <v>22</v>
      </c>
      <c r="D843">
        <f t="shared" si="13"/>
        <v>0</v>
      </c>
      <c r="E843" t="s">
        <v>23</v>
      </c>
      <c r="F843">
        <v>4</v>
      </c>
      <c r="G843" t="s">
        <v>24</v>
      </c>
      <c r="H843">
        <v>3</v>
      </c>
      <c r="I843">
        <v>1</v>
      </c>
      <c r="J843" t="s">
        <v>26</v>
      </c>
      <c r="K843">
        <v>2</v>
      </c>
      <c r="L843">
        <v>3597</v>
      </c>
      <c r="M843" t="str" cm="1">
        <f t="array" ref="M843">_xlfn.IFS(L843&lt;= 7000,"Low",L843&lt;=15000,"Medium",L843&lt;=20000,"High")</f>
        <v>Low</v>
      </c>
      <c r="N843" t="s">
        <v>22</v>
      </c>
      <c r="O843">
        <v>22</v>
      </c>
      <c r="P843">
        <v>4</v>
      </c>
      <c r="Q843">
        <v>4</v>
      </c>
      <c r="R843">
        <v>6</v>
      </c>
      <c r="S843">
        <v>3</v>
      </c>
      <c r="T843">
        <v>4</v>
      </c>
      <c r="U843">
        <v>3</v>
      </c>
    </row>
    <row r="844" spans="1:21" x14ac:dyDescent="0.35">
      <c r="A844">
        <v>28</v>
      </c>
      <c r="B844" t="str" cm="1">
        <f t="array" ref="B844">_xlfn.IFS(A844&gt;40,"Senior",A844&gt;30,"Adult",A844&gt;=18,"Teenager")</f>
        <v>Teenager</v>
      </c>
      <c r="C844" t="s">
        <v>18</v>
      </c>
      <c r="D844">
        <f t="shared" si="13"/>
        <v>1</v>
      </c>
      <c r="E844" t="s">
        <v>23</v>
      </c>
      <c r="F844">
        <v>3</v>
      </c>
      <c r="G844" t="s">
        <v>20</v>
      </c>
      <c r="H844">
        <v>3</v>
      </c>
      <c r="I844">
        <v>1</v>
      </c>
      <c r="J844" t="s">
        <v>26</v>
      </c>
      <c r="K844">
        <v>4</v>
      </c>
      <c r="L844">
        <v>2515</v>
      </c>
      <c r="M844" t="str" cm="1">
        <f t="array" ref="M844">_xlfn.IFS(L844&lt;= 7000,"Low",L844&lt;=15000,"Medium",L844&lt;=20000,"High")</f>
        <v>Low</v>
      </c>
      <c r="N844" t="s">
        <v>18</v>
      </c>
      <c r="O844">
        <v>11</v>
      </c>
      <c r="P844">
        <v>3</v>
      </c>
      <c r="Q844">
        <v>4</v>
      </c>
      <c r="R844">
        <v>1</v>
      </c>
      <c r="S844">
        <v>2</v>
      </c>
      <c r="T844">
        <v>1</v>
      </c>
      <c r="U844">
        <v>1</v>
      </c>
    </row>
    <row r="845" spans="1:21" x14ac:dyDescent="0.35">
      <c r="A845">
        <v>26</v>
      </c>
      <c r="B845" t="str" cm="1">
        <f t="array" ref="B845">_xlfn.IFS(A845&gt;40,"Senior",A845&gt;30,"Adult",A845&gt;=18,"Teenager")</f>
        <v>Teenager</v>
      </c>
      <c r="C845" t="s">
        <v>22</v>
      </c>
      <c r="D845">
        <f t="shared" si="13"/>
        <v>0</v>
      </c>
      <c r="E845" t="s">
        <v>23</v>
      </c>
      <c r="F845">
        <v>1</v>
      </c>
      <c r="G845" t="s">
        <v>24</v>
      </c>
      <c r="H845">
        <v>4</v>
      </c>
      <c r="I845">
        <v>1</v>
      </c>
      <c r="J845" t="s">
        <v>26</v>
      </c>
      <c r="K845">
        <v>4</v>
      </c>
      <c r="L845">
        <v>4420</v>
      </c>
      <c r="M845" t="str" cm="1">
        <f t="array" ref="M845">_xlfn.IFS(L845&lt;= 7000,"Low",L845&lt;=15000,"Medium",L845&lt;=20000,"High")</f>
        <v>Low</v>
      </c>
      <c r="N845" t="s">
        <v>22</v>
      </c>
      <c r="O845">
        <v>22</v>
      </c>
      <c r="P845">
        <v>4</v>
      </c>
      <c r="Q845">
        <v>2</v>
      </c>
      <c r="R845">
        <v>8</v>
      </c>
      <c r="S845">
        <v>3</v>
      </c>
      <c r="T845">
        <v>8</v>
      </c>
      <c r="U845">
        <v>7</v>
      </c>
    </row>
    <row r="846" spans="1:21" x14ac:dyDescent="0.35">
      <c r="A846">
        <v>30</v>
      </c>
      <c r="B846" t="str" cm="1">
        <f t="array" ref="B846">_xlfn.IFS(A846&gt;40,"Senior",A846&gt;30,"Adult",A846&gt;=18,"Teenager")</f>
        <v>Teenager</v>
      </c>
      <c r="C846" t="s">
        <v>22</v>
      </c>
      <c r="D846">
        <f t="shared" si="13"/>
        <v>0</v>
      </c>
      <c r="E846" t="s">
        <v>19</v>
      </c>
      <c r="F846">
        <v>3</v>
      </c>
      <c r="G846" t="s">
        <v>24</v>
      </c>
      <c r="H846">
        <v>2</v>
      </c>
      <c r="I846">
        <v>2</v>
      </c>
      <c r="J846" t="s">
        <v>21</v>
      </c>
      <c r="K846">
        <v>3</v>
      </c>
      <c r="L846">
        <v>6578</v>
      </c>
      <c r="M846" t="str" cm="1">
        <f t="array" ref="M846">_xlfn.IFS(L846&lt;= 7000,"Low",L846&lt;=15000,"Medium",L846&lt;=20000,"High")</f>
        <v>Low</v>
      </c>
      <c r="N846" t="s">
        <v>22</v>
      </c>
      <c r="O846">
        <v>18</v>
      </c>
      <c r="P846">
        <v>3</v>
      </c>
      <c r="Q846">
        <v>1</v>
      </c>
      <c r="R846">
        <v>10</v>
      </c>
      <c r="S846">
        <v>3</v>
      </c>
      <c r="T846">
        <v>10</v>
      </c>
      <c r="U846">
        <v>3</v>
      </c>
    </row>
    <row r="847" spans="1:21" x14ac:dyDescent="0.35">
      <c r="A847">
        <v>40</v>
      </c>
      <c r="B847" t="str" cm="1">
        <f t="array" ref="B847">_xlfn.IFS(A847&gt;40,"Senior",A847&gt;30,"Adult",A847&gt;=18,"Teenager")</f>
        <v>Adult</v>
      </c>
      <c r="C847" t="s">
        <v>22</v>
      </c>
      <c r="D847">
        <f t="shared" si="13"/>
        <v>0</v>
      </c>
      <c r="E847" t="s">
        <v>23</v>
      </c>
      <c r="F847">
        <v>3</v>
      </c>
      <c r="G847" t="s">
        <v>20</v>
      </c>
      <c r="H847">
        <v>2</v>
      </c>
      <c r="I847">
        <v>2</v>
      </c>
      <c r="J847" t="s">
        <v>25</v>
      </c>
      <c r="K847">
        <v>4</v>
      </c>
      <c r="L847">
        <v>4422</v>
      </c>
      <c r="M847" t="str" cm="1">
        <f t="array" ref="M847">_xlfn.IFS(L847&lt;= 7000,"Low",L847&lt;=15000,"Medium",L847&lt;=20000,"High")</f>
        <v>Low</v>
      </c>
      <c r="N847" t="s">
        <v>18</v>
      </c>
      <c r="O847">
        <v>13</v>
      </c>
      <c r="P847">
        <v>3</v>
      </c>
      <c r="Q847">
        <v>4</v>
      </c>
      <c r="R847">
        <v>16</v>
      </c>
      <c r="S847">
        <v>1</v>
      </c>
      <c r="T847">
        <v>1</v>
      </c>
      <c r="U847">
        <v>1</v>
      </c>
    </row>
    <row r="848" spans="1:21" x14ac:dyDescent="0.35">
      <c r="A848">
        <v>35</v>
      </c>
      <c r="B848" t="str" cm="1">
        <f t="array" ref="B848">_xlfn.IFS(A848&gt;40,"Senior",A848&gt;30,"Adult",A848&gt;=18,"Teenager")</f>
        <v>Adult</v>
      </c>
      <c r="C848" t="s">
        <v>22</v>
      </c>
      <c r="D848">
        <f t="shared" si="13"/>
        <v>0</v>
      </c>
      <c r="E848" t="s">
        <v>23</v>
      </c>
      <c r="F848">
        <v>3</v>
      </c>
      <c r="G848" t="s">
        <v>24</v>
      </c>
      <c r="H848">
        <v>2</v>
      </c>
      <c r="I848">
        <v>3</v>
      </c>
      <c r="J848" t="s">
        <v>27</v>
      </c>
      <c r="K848">
        <v>2</v>
      </c>
      <c r="L848">
        <v>10274</v>
      </c>
      <c r="M848" t="str" cm="1">
        <f t="array" ref="M848">_xlfn.IFS(L848&lt;= 7000,"Low",L848&lt;=15000,"Medium",L848&lt;=20000,"High")</f>
        <v>Medium</v>
      </c>
      <c r="N848" t="s">
        <v>22</v>
      </c>
      <c r="O848">
        <v>18</v>
      </c>
      <c r="P848">
        <v>3</v>
      </c>
      <c r="Q848">
        <v>2</v>
      </c>
      <c r="R848">
        <v>15</v>
      </c>
      <c r="S848">
        <v>4</v>
      </c>
      <c r="T848">
        <v>7</v>
      </c>
      <c r="U848">
        <v>7</v>
      </c>
    </row>
    <row r="849" spans="1:21" x14ac:dyDescent="0.35">
      <c r="A849">
        <v>34</v>
      </c>
      <c r="B849" t="str" cm="1">
        <f t="array" ref="B849">_xlfn.IFS(A849&gt;40,"Senior",A849&gt;30,"Adult",A849&gt;=18,"Teenager")</f>
        <v>Adult</v>
      </c>
      <c r="C849" t="s">
        <v>22</v>
      </c>
      <c r="D849">
        <f t="shared" si="13"/>
        <v>0</v>
      </c>
      <c r="E849" t="s">
        <v>23</v>
      </c>
      <c r="F849">
        <v>4</v>
      </c>
      <c r="G849" t="s">
        <v>24</v>
      </c>
      <c r="H849">
        <v>2</v>
      </c>
      <c r="I849">
        <v>2</v>
      </c>
      <c r="J849" t="s">
        <v>28</v>
      </c>
      <c r="K849">
        <v>1</v>
      </c>
      <c r="L849">
        <v>5343</v>
      </c>
      <c r="M849" t="str" cm="1">
        <f t="array" ref="M849">_xlfn.IFS(L849&lt;= 7000,"Low",L849&lt;=15000,"Medium",L849&lt;=20000,"High")</f>
        <v>Low</v>
      </c>
      <c r="N849" t="s">
        <v>22</v>
      </c>
      <c r="O849">
        <v>20</v>
      </c>
      <c r="P849">
        <v>4</v>
      </c>
      <c r="Q849">
        <v>3</v>
      </c>
      <c r="R849">
        <v>14</v>
      </c>
      <c r="S849">
        <v>3</v>
      </c>
      <c r="T849">
        <v>13</v>
      </c>
      <c r="U849">
        <v>9</v>
      </c>
    </row>
    <row r="850" spans="1:21" x14ac:dyDescent="0.35">
      <c r="A850">
        <v>35</v>
      </c>
      <c r="B850" t="str" cm="1">
        <f t="array" ref="B850">_xlfn.IFS(A850&gt;40,"Senior",A850&gt;30,"Adult",A850&gt;=18,"Teenager")</f>
        <v>Adult</v>
      </c>
      <c r="C850" t="s">
        <v>22</v>
      </c>
      <c r="D850">
        <f t="shared" si="13"/>
        <v>0</v>
      </c>
      <c r="E850" t="s">
        <v>23</v>
      </c>
      <c r="F850">
        <v>4</v>
      </c>
      <c r="G850" t="s">
        <v>24</v>
      </c>
      <c r="H850">
        <v>2</v>
      </c>
      <c r="I850">
        <v>1</v>
      </c>
      <c r="J850" t="s">
        <v>26</v>
      </c>
      <c r="K850">
        <v>4</v>
      </c>
      <c r="L850">
        <v>2376</v>
      </c>
      <c r="M850" t="str" cm="1">
        <f t="array" ref="M850">_xlfn.IFS(L850&lt;= 7000,"Low",L850&lt;=15000,"Medium",L850&lt;=20000,"High")</f>
        <v>Low</v>
      </c>
      <c r="N850" t="s">
        <v>22</v>
      </c>
      <c r="O850">
        <v>13</v>
      </c>
      <c r="P850">
        <v>3</v>
      </c>
      <c r="Q850">
        <v>2</v>
      </c>
      <c r="R850">
        <v>2</v>
      </c>
      <c r="S850">
        <v>4</v>
      </c>
      <c r="T850">
        <v>2</v>
      </c>
      <c r="U850">
        <v>2</v>
      </c>
    </row>
    <row r="851" spans="1:21" x14ac:dyDescent="0.35">
      <c r="A851">
        <v>43</v>
      </c>
      <c r="B851" t="str" cm="1">
        <f t="array" ref="B851">_xlfn.IFS(A851&gt;40,"Senior",A851&gt;30,"Adult",A851&gt;=18,"Teenager")</f>
        <v>Senior</v>
      </c>
      <c r="C851" t="s">
        <v>18</v>
      </c>
      <c r="D851">
        <f t="shared" si="13"/>
        <v>1</v>
      </c>
      <c r="E851" t="s">
        <v>19</v>
      </c>
      <c r="F851">
        <v>1</v>
      </c>
      <c r="G851" t="s">
        <v>20</v>
      </c>
      <c r="H851">
        <v>1</v>
      </c>
      <c r="I851">
        <v>2</v>
      </c>
      <c r="J851" t="s">
        <v>21</v>
      </c>
      <c r="K851">
        <v>3</v>
      </c>
      <c r="L851">
        <v>5346</v>
      </c>
      <c r="M851" t="str" cm="1">
        <f t="array" ref="M851">_xlfn.IFS(L851&lt;= 7000,"Low",L851&lt;=15000,"Medium",L851&lt;=20000,"High")</f>
        <v>Low</v>
      </c>
      <c r="N851" t="s">
        <v>22</v>
      </c>
      <c r="O851">
        <v>13</v>
      </c>
      <c r="P851">
        <v>3</v>
      </c>
      <c r="Q851">
        <v>2</v>
      </c>
      <c r="R851">
        <v>7</v>
      </c>
      <c r="S851">
        <v>2</v>
      </c>
      <c r="T851">
        <v>4</v>
      </c>
      <c r="U851">
        <v>3</v>
      </c>
    </row>
    <row r="852" spans="1:21" x14ac:dyDescent="0.35">
      <c r="A852">
        <v>32</v>
      </c>
      <c r="B852" t="str" cm="1">
        <f t="array" ref="B852">_xlfn.IFS(A852&gt;40,"Senior",A852&gt;30,"Adult",A852&gt;=18,"Teenager")</f>
        <v>Adult</v>
      </c>
      <c r="C852" t="s">
        <v>22</v>
      </c>
      <c r="D852">
        <f t="shared" si="13"/>
        <v>0</v>
      </c>
      <c r="E852" t="s">
        <v>19</v>
      </c>
      <c r="F852">
        <v>3</v>
      </c>
      <c r="G852" t="s">
        <v>20</v>
      </c>
      <c r="H852">
        <v>3</v>
      </c>
      <c r="I852">
        <v>1</v>
      </c>
      <c r="J852" t="s">
        <v>30</v>
      </c>
      <c r="K852">
        <v>1</v>
      </c>
      <c r="L852">
        <v>2827</v>
      </c>
      <c r="M852" t="str" cm="1">
        <f t="array" ref="M852">_xlfn.IFS(L852&lt;= 7000,"Low",L852&lt;=15000,"Medium",L852&lt;=20000,"High")</f>
        <v>Low</v>
      </c>
      <c r="N852" t="s">
        <v>22</v>
      </c>
      <c r="O852">
        <v>12</v>
      </c>
      <c r="P852">
        <v>3</v>
      </c>
      <c r="Q852">
        <v>3</v>
      </c>
      <c r="R852">
        <v>1</v>
      </c>
      <c r="S852">
        <v>3</v>
      </c>
      <c r="T852">
        <v>1</v>
      </c>
      <c r="U852">
        <v>0</v>
      </c>
    </row>
    <row r="853" spans="1:21" x14ac:dyDescent="0.35">
      <c r="A853">
        <v>56</v>
      </c>
      <c r="B853" t="str" cm="1">
        <f t="array" ref="B853">_xlfn.IFS(A853&gt;40,"Senior",A853&gt;30,"Adult",A853&gt;=18,"Teenager")</f>
        <v>Senior</v>
      </c>
      <c r="C853" t="s">
        <v>22</v>
      </c>
      <c r="D853">
        <f t="shared" si="13"/>
        <v>0</v>
      </c>
      <c r="E853" t="s">
        <v>23</v>
      </c>
      <c r="F853">
        <v>4</v>
      </c>
      <c r="G853" t="s">
        <v>20</v>
      </c>
      <c r="H853">
        <v>3</v>
      </c>
      <c r="I853">
        <v>5</v>
      </c>
      <c r="J853" t="s">
        <v>29</v>
      </c>
      <c r="K853">
        <v>1</v>
      </c>
      <c r="L853">
        <v>19943</v>
      </c>
      <c r="M853" t="str" cm="1">
        <f t="array" ref="M853">_xlfn.IFS(L853&lt;= 7000,"Low",L853&lt;=15000,"Medium",L853&lt;=20000,"High")</f>
        <v>High</v>
      </c>
      <c r="N853" t="s">
        <v>22</v>
      </c>
      <c r="O853">
        <v>13</v>
      </c>
      <c r="P853">
        <v>3</v>
      </c>
      <c r="Q853">
        <v>4</v>
      </c>
      <c r="R853">
        <v>28</v>
      </c>
      <c r="S853">
        <v>3</v>
      </c>
      <c r="T853">
        <v>5</v>
      </c>
      <c r="U853">
        <v>2</v>
      </c>
    </row>
    <row r="854" spans="1:21" x14ac:dyDescent="0.35">
      <c r="A854">
        <v>29</v>
      </c>
      <c r="B854" t="str" cm="1">
        <f t="array" ref="B854">_xlfn.IFS(A854&gt;40,"Senior",A854&gt;30,"Adult",A854&gt;=18,"Teenager")</f>
        <v>Teenager</v>
      </c>
      <c r="C854" t="s">
        <v>22</v>
      </c>
      <c r="D854">
        <f t="shared" si="13"/>
        <v>0</v>
      </c>
      <c r="E854" t="s">
        <v>23</v>
      </c>
      <c r="F854">
        <v>2</v>
      </c>
      <c r="G854" t="s">
        <v>20</v>
      </c>
      <c r="H854">
        <v>3</v>
      </c>
      <c r="I854">
        <v>1</v>
      </c>
      <c r="J854" t="s">
        <v>26</v>
      </c>
      <c r="K854">
        <v>4</v>
      </c>
      <c r="L854">
        <v>3131</v>
      </c>
      <c r="M854" t="str" cm="1">
        <f t="array" ref="M854">_xlfn.IFS(L854&lt;= 7000,"Low",L854&lt;=15000,"Medium",L854&lt;=20000,"High")</f>
        <v>Low</v>
      </c>
      <c r="N854" t="s">
        <v>22</v>
      </c>
      <c r="O854">
        <v>13</v>
      </c>
      <c r="P854">
        <v>3</v>
      </c>
      <c r="Q854">
        <v>1</v>
      </c>
      <c r="R854">
        <v>10</v>
      </c>
      <c r="S854">
        <v>3</v>
      </c>
      <c r="T854">
        <v>10</v>
      </c>
      <c r="U854">
        <v>8</v>
      </c>
    </row>
    <row r="855" spans="1:21" x14ac:dyDescent="0.35">
      <c r="A855">
        <v>19</v>
      </c>
      <c r="B855" t="str" cm="1">
        <f t="array" ref="B855">_xlfn.IFS(A855&gt;40,"Senior",A855&gt;30,"Adult",A855&gt;=18,"Teenager")</f>
        <v>Teenager</v>
      </c>
      <c r="C855" t="s">
        <v>22</v>
      </c>
      <c r="D855">
        <f t="shared" si="13"/>
        <v>0</v>
      </c>
      <c r="E855" t="s">
        <v>23</v>
      </c>
      <c r="F855">
        <v>3</v>
      </c>
      <c r="G855" t="s">
        <v>24</v>
      </c>
      <c r="H855">
        <v>3</v>
      </c>
      <c r="I855">
        <v>1</v>
      </c>
      <c r="J855" t="s">
        <v>25</v>
      </c>
      <c r="K855">
        <v>1</v>
      </c>
      <c r="L855">
        <v>2552</v>
      </c>
      <c r="M855" t="str" cm="1">
        <f t="array" ref="M855">_xlfn.IFS(L855&lt;= 7000,"Low",L855&lt;=15000,"Medium",L855&lt;=20000,"High")</f>
        <v>Low</v>
      </c>
      <c r="N855" t="s">
        <v>22</v>
      </c>
      <c r="O855">
        <v>25</v>
      </c>
      <c r="P855">
        <v>4</v>
      </c>
      <c r="Q855">
        <v>3</v>
      </c>
      <c r="R855">
        <v>1</v>
      </c>
      <c r="S855">
        <v>3</v>
      </c>
      <c r="T855">
        <v>1</v>
      </c>
      <c r="U855">
        <v>1</v>
      </c>
    </row>
    <row r="856" spans="1:21" x14ac:dyDescent="0.35">
      <c r="A856">
        <v>45</v>
      </c>
      <c r="B856" t="str" cm="1">
        <f t="array" ref="B856">_xlfn.IFS(A856&gt;40,"Senior",A856&gt;30,"Adult",A856&gt;=18,"Teenager")</f>
        <v>Senior</v>
      </c>
      <c r="C856" t="s">
        <v>22</v>
      </c>
      <c r="D856">
        <f t="shared" si="13"/>
        <v>0</v>
      </c>
      <c r="E856" t="s">
        <v>23</v>
      </c>
      <c r="F856">
        <v>1</v>
      </c>
      <c r="G856" t="s">
        <v>20</v>
      </c>
      <c r="H856">
        <v>3</v>
      </c>
      <c r="I856">
        <v>1</v>
      </c>
      <c r="J856" t="s">
        <v>25</v>
      </c>
      <c r="K856">
        <v>3</v>
      </c>
      <c r="L856">
        <v>4477</v>
      </c>
      <c r="M856" t="str" cm="1">
        <f t="array" ref="M856">_xlfn.IFS(L856&lt;= 7000,"Low",L856&lt;=15000,"Medium",L856&lt;=20000,"High")</f>
        <v>Low</v>
      </c>
      <c r="N856" t="s">
        <v>18</v>
      </c>
      <c r="O856">
        <v>19</v>
      </c>
      <c r="P856">
        <v>3</v>
      </c>
      <c r="Q856">
        <v>3</v>
      </c>
      <c r="R856">
        <v>7</v>
      </c>
      <c r="S856">
        <v>2</v>
      </c>
      <c r="T856">
        <v>3</v>
      </c>
      <c r="U856">
        <v>2</v>
      </c>
    </row>
    <row r="857" spans="1:21" x14ac:dyDescent="0.35">
      <c r="A857">
        <v>37</v>
      </c>
      <c r="B857" t="str" cm="1">
        <f t="array" ref="B857">_xlfn.IFS(A857&gt;40,"Senior",A857&gt;30,"Adult",A857&gt;=18,"Teenager")</f>
        <v>Adult</v>
      </c>
      <c r="C857" t="s">
        <v>22</v>
      </c>
      <c r="D857">
        <f t="shared" si="13"/>
        <v>0</v>
      </c>
      <c r="E857" t="s">
        <v>23</v>
      </c>
      <c r="F857">
        <v>4</v>
      </c>
      <c r="G857" t="s">
        <v>20</v>
      </c>
      <c r="H857">
        <v>2</v>
      </c>
      <c r="I857">
        <v>2</v>
      </c>
      <c r="J857" t="s">
        <v>27</v>
      </c>
      <c r="K857">
        <v>4</v>
      </c>
      <c r="L857">
        <v>6474</v>
      </c>
      <c r="M857" t="str" cm="1">
        <f t="array" ref="M857">_xlfn.IFS(L857&lt;= 7000,"Low",L857&lt;=15000,"Medium",L857&lt;=20000,"High")</f>
        <v>Low</v>
      </c>
      <c r="N857" t="s">
        <v>22</v>
      </c>
      <c r="O857">
        <v>13</v>
      </c>
      <c r="P857">
        <v>3</v>
      </c>
      <c r="Q857">
        <v>2</v>
      </c>
      <c r="R857">
        <v>14</v>
      </c>
      <c r="S857">
        <v>2</v>
      </c>
      <c r="T857">
        <v>14</v>
      </c>
      <c r="U857">
        <v>8</v>
      </c>
    </row>
    <row r="858" spans="1:21" x14ac:dyDescent="0.35">
      <c r="A858">
        <v>20</v>
      </c>
      <c r="B858" t="str" cm="1">
        <f t="array" ref="B858">_xlfn.IFS(A858&gt;40,"Senior",A858&gt;30,"Adult",A858&gt;=18,"Teenager")</f>
        <v>Teenager</v>
      </c>
      <c r="C858" t="s">
        <v>22</v>
      </c>
      <c r="D858">
        <f t="shared" si="13"/>
        <v>0</v>
      </c>
      <c r="E858" t="s">
        <v>23</v>
      </c>
      <c r="F858">
        <v>1</v>
      </c>
      <c r="G858" t="s">
        <v>24</v>
      </c>
      <c r="H858">
        <v>2</v>
      </c>
      <c r="I858">
        <v>1</v>
      </c>
      <c r="J858" t="s">
        <v>26</v>
      </c>
      <c r="K858">
        <v>3</v>
      </c>
      <c r="L858">
        <v>3033</v>
      </c>
      <c r="M858" t="str" cm="1">
        <f t="array" ref="M858">_xlfn.IFS(L858&lt;= 7000,"Low",L858&lt;=15000,"Medium",L858&lt;=20000,"High")</f>
        <v>Low</v>
      </c>
      <c r="N858" t="s">
        <v>22</v>
      </c>
      <c r="O858">
        <v>12</v>
      </c>
      <c r="P858">
        <v>3</v>
      </c>
      <c r="Q858">
        <v>1</v>
      </c>
      <c r="R858">
        <v>2</v>
      </c>
      <c r="S858">
        <v>2</v>
      </c>
      <c r="T858">
        <v>2</v>
      </c>
      <c r="U858">
        <v>2</v>
      </c>
    </row>
    <row r="859" spans="1:21" x14ac:dyDescent="0.35">
      <c r="A859">
        <v>44</v>
      </c>
      <c r="B859" t="str" cm="1">
        <f t="array" ref="B859">_xlfn.IFS(A859&gt;40,"Senior",A859&gt;30,"Adult",A859&gt;=18,"Teenager")</f>
        <v>Senior</v>
      </c>
      <c r="C859" t="s">
        <v>18</v>
      </c>
      <c r="D859">
        <f t="shared" si="13"/>
        <v>1</v>
      </c>
      <c r="E859" t="s">
        <v>23</v>
      </c>
      <c r="F859">
        <v>3</v>
      </c>
      <c r="G859" t="s">
        <v>24</v>
      </c>
      <c r="H859">
        <v>3</v>
      </c>
      <c r="I859">
        <v>1</v>
      </c>
      <c r="J859" t="s">
        <v>25</v>
      </c>
      <c r="K859">
        <v>3</v>
      </c>
      <c r="L859">
        <v>2936</v>
      </c>
      <c r="M859" t="str" cm="1">
        <f t="array" ref="M859">_xlfn.IFS(L859&lt;= 7000,"Low",L859&lt;=15000,"Medium",L859&lt;=20000,"High")</f>
        <v>Low</v>
      </c>
      <c r="N859" t="s">
        <v>18</v>
      </c>
      <c r="O859">
        <v>11</v>
      </c>
      <c r="P859">
        <v>3</v>
      </c>
      <c r="Q859">
        <v>3</v>
      </c>
      <c r="R859">
        <v>6</v>
      </c>
      <c r="S859">
        <v>3</v>
      </c>
      <c r="T859">
        <v>6</v>
      </c>
      <c r="U859">
        <v>4</v>
      </c>
    </row>
    <row r="860" spans="1:21" x14ac:dyDescent="0.35">
      <c r="A860">
        <v>53</v>
      </c>
      <c r="B860" t="str" cm="1">
        <f t="array" ref="B860">_xlfn.IFS(A860&gt;40,"Senior",A860&gt;30,"Adult",A860&gt;=18,"Teenager")</f>
        <v>Senior</v>
      </c>
      <c r="C860" t="s">
        <v>22</v>
      </c>
      <c r="D860">
        <f t="shared" si="13"/>
        <v>0</v>
      </c>
      <c r="E860" t="s">
        <v>23</v>
      </c>
      <c r="F860">
        <v>4</v>
      </c>
      <c r="G860" t="s">
        <v>20</v>
      </c>
      <c r="H860">
        <v>3</v>
      </c>
      <c r="I860">
        <v>5</v>
      </c>
      <c r="J860" t="s">
        <v>29</v>
      </c>
      <c r="K860">
        <v>3</v>
      </c>
      <c r="L860">
        <v>18606</v>
      </c>
      <c r="M860" t="str" cm="1">
        <f t="array" ref="M860">_xlfn.IFS(L860&lt;= 7000,"Low",L860&lt;=15000,"Medium",L860&lt;=20000,"High")</f>
        <v>High</v>
      </c>
      <c r="N860" t="s">
        <v>22</v>
      </c>
      <c r="O860">
        <v>18</v>
      </c>
      <c r="P860">
        <v>3</v>
      </c>
      <c r="Q860">
        <v>2</v>
      </c>
      <c r="R860">
        <v>26</v>
      </c>
      <c r="S860">
        <v>3</v>
      </c>
      <c r="T860">
        <v>7</v>
      </c>
      <c r="U860">
        <v>7</v>
      </c>
    </row>
    <row r="861" spans="1:21" x14ac:dyDescent="0.35">
      <c r="A861">
        <v>29</v>
      </c>
      <c r="B861" t="str" cm="1">
        <f t="array" ref="B861">_xlfn.IFS(A861&gt;40,"Senior",A861&gt;30,"Adult",A861&gt;=18,"Teenager")</f>
        <v>Teenager</v>
      </c>
      <c r="C861" t="s">
        <v>22</v>
      </c>
      <c r="D861">
        <f t="shared" si="13"/>
        <v>0</v>
      </c>
      <c r="E861" t="s">
        <v>23</v>
      </c>
      <c r="F861">
        <v>2</v>
      </c>
      <c r="G861" t="s">
        <v>20</v>
      </c>
      <c r="H861">
        <v>1</v>
      </c>
      <c r="I861">
        <v>1</v>
      </c>
      <c r="J861" t="s">
        <v>25</v>
      </c>
      <c r="K861">
        <v>4</v>
      </c>
      <c r="L861">
        <v>2168</v>
      </c>
      <c r="M861" t="str" cm="1">
        <f t="array" ref="M861">_xlfn.IFS(L861&lt;= 7000,"Low",L861&lt;=15000,"Medium",L861&lt;=20000,"High")</f>
        <v>Low</v>
      </c>
      <c r="N861" t="s">
        <v>18</v>
      </c>
      <c r="O861">
        <v>18</v>
      </c>
      <c r="P861">
        <v>3</v>
      </c>
      <c r="Q861">
        <v>1</v>
      </c>
      <c r="R861">
        <v>6</v>
      </c>
      <c r="S861">
        <v>2</v>
      </c>
      <c r="T861">
        <v>5</v>
      </c>
      <c r="U861">
        <v>4</v>
      </c>
    </row>
    <row r="862" spans="1:21" x14ac:dyDescent="0.35">
      <c r="A862">
        <v>22</v>
      </c>
      <c r="B862" t="str" cm="1">
        <f t="array" ref="B862">_xlfn.IFS(A862&gt;40,"Senior",A862&gt;30,"Adult",A862&gt;=18,"Teenager")</f>
        <v>Teenager</v>
      </c>
      <c r="C862" t="s">
        <v>18</v>
      </c>
      <c r="D862">
        <f t="shared" si="13"/>
        <v>1</v>
      </c>
      <c r="E862" t="s">
        <v>23</v>
      </c>
      <c r="F862">
        <v>3</v>
      </c>
      <c r="G862" t="s">
        <v>24</v>
      </c>
      <c r="H862">
        <v>2</v>
      </c>
      <c r="I862">
        <v>1</v>
      </c>
      <c r="J862" t="s">
        <v>25</v>
      </c>
      <c r="K862">
        <v>4</v>
      </c>
      <c r="L862">
        <v>2853</v>
      </c>
      <c r="M862" t="str" cm="1">
        <f t="array" ref="M862">_xlfn.IFS(L862&lt;= 7000,"Low",L862&lt;=15000,"Medium",L862&lt;=20000,"High")</f>
        <v>Low</v>
      </c>
      <c r="N862" t="s">
        <v>18</v>
      </c>
      <c r="O862">
        <v>11</v>
      </c>
      <c r="P862">
        <v>3</v>
      </c>
      <c r="Q862">
        <v>2</v>
      </c>
      <c r="R862">
        <v>1</v>
      </c>
      <c r="S862">
        <v>3</v>
      </c>
      <c r="T862">
        <v>0</v>
      </c>
      <c r="U862">
        <v>0</v>
      </c>
    </row>
    <row r="863" spans="1:21" x14ac:dyDescent="0.35">
      <c r="A863">
        <v>46</v>
      </c>
      <c r="B863" t="str" cm="1">
        <f t="array" ref="B863">_xlfn.IFS(A863&gt;40,"Senior",A863&gt;30,"Adult",A863&gt;=18,"Teenager")</f>
        <v>Senior</v>
      </c>
      <c r="C863" t="s">
        <v>22</v>
      </c>
      <c r="D863">
        <f t="shared" si="13"/>
        <v>0</v>
      </c>
      <c r="E863" t="s">
        <v>19</v>
      </c>
      <c r="F863">
        <v>3</v>
      </c>
      <c r="G863" t="s">
        <v>20</v>
      </c>
      <c r="H863">
        <v>3</v>
      </c>
      <c r="I863">
        <v>4</v>
      </c>
      <c r="J863" t="s">
        <v>29</v>
      </c>
      <c r="K863">
        <v>1</v>
      </c>
      <c r="L863">
        <v>17048</v>
      </c>
      <c r="M863" t="str" cm="1">
        <f t="array" ref="M863">_xlfn.IFS(L863&lt;= 7000,"Low",L863&lt;=15000,"Medium",L863&lt;=20000,"High")</f>
        <v>High</v>
      </c>
      <c r="N863" t="s">
        <v>22</v>
      </c>
      <c r="O863">
        <v>23</v>
      </c>
      <c r="P863">
        <v>4</v>
      </c>
      <c r="Q863">
        <v>1</v>
      </c>
      <c r="R863">
        <v>28</v>
      </c>
      <c r="S863">
        <v>3</v>
      </c>
      <c r="T863">
        <v>26</v>
      </c>
      <c r="U863">
        <v>15</v>
      </c>
    </row>
    <row r="864" spans="1:21" x14ac:dyDescent="0.35">
      <c r="A864">
        <v>44</v>
      </c>
      <c r="B864" t="str" cm="1">
        <f t="array" ref="B864">_xlfn.IFS(A864&gt;40,"Senior",A864&gt;30,"Adult",A864&gt;=18,"Teenager")</f>
        <v>Senior</v>
      </c>
      <c r="C864" t="s">
        <v>22</v>
      </c>
      <c r="D864">
        <f t="shared" si="13"/>
        <v>0</v>
      </c>
      <c r="E864" t="s">
        <v>23</v>
      </c>
      <c r="F864">
        <v>4</v>
      </c>
      <c r="G864" t="s">
        <v>24</v>
      </c>
      <c r="H864">
        <v>1</v>
      </c>
      <c r="I864">
        <v>1</v>
      </c>
      <c r="J864" t="s">
        <v>25</v>
      </c>
      <c r="K864">
        <v>3</v>
      </c>
      <c r="L864">
        <v>2290</v>
      </c>
      <c r="M864" t="str" cm="1">
        <f t="array" ref="M864">_xlfn.IFS(L864&lt;= 7000,"Low",L864&lt;=15000,"Medium",L864&lt;=20000,"High")</f>
        <v>Low</v>
      </c>
      <c r="N864" t="s">
        <v>22</v>
      </c>
      <c r="O864">
        <v>13</v>
      </c>
      <c r="P864">
        <v>3</v>
      </c>
      <c r="Q864">
        <v>4</v>
      </c>
      <c r="R864">
        <v>6</v>
      </c>
      <c r="S864">
        <v>3</v>
      </c>
      <c r="T864">
        <v>0</v>
      </c>
      <c r="U864">
        <v>0</v>
      </c>
    </row>
    <row r="865" spans="1:21" x14ac:dyDescent="0.35">
      <c r="A865">
        <v>33</v>
      </c>
      <c r="B865" t="str" cm="1">
        <f t="array" ref="B865">_xlfn.IFS(A865&gt;40,"Senior",A865&gt;30,"Adult",A865&gt;=18,"Teenager")</f>
        <v>Adult</v>
      </c>
      <c r="C865" t="s">
        <v>22</v>
      </c>
      <c r="D865">
        <f t="shared" si="13"/>
        <v>0</v>
      </c>
      <c r="E865" t="s">
        <v>32</v>
      </c>
      <c r="F865">
        <v>2</v>
      </c>
      <c r="G865" t="s">
        <v>24</v>
      </c>
      <c r="H865">
        <v>3</v>
      </c>
      <c r="I865">
        <v>1</v>
      </c>
      <c r="J865" t="s">
        <v>32</v>
      </c>
      <c r="K865">
        <v>3</v>
      </c>
      <c r="L865">
        <v>3600</v>
      </c>
      <c r="M865" t="str" cm="1">
        <f t="array" ref="M865">_xlfn.IFS(L865&lt;= 7000,"Low",L865&lt;=15000,"Medium",L865&lt;=20000,"High")</f>
        <v>Low</v>
      </c>
      <c r="N865" t="s">
        <v>22</v>
      </c>
      <c r="O865">
        <v>13</v>
      </c>
      <c r="P865">
        <v>3</v>
      </c>
      <c r="Q865">
        <v>4</v>
      </c>
      <c r="R865">
        <v>5</v>
      </c>
      <c r="S865">
        <v>3</v>
      </c>
      <c r="T865">
        <v>5</v>
      </c>
      <c r="U865">
        <v>4</v>
      </c>
    </row>
    <row r="866" spans="1:21" x14ac:dyDescent="0.35">
      <c r="A866">
        <v>41</v>
      </c>
      <c r="B866" t="str" cm="1">
        <f t="array" ref="B866">_xlfn.IFS(A866&gt;40,"Senior",A866&gt;30,"Adult",A866&gt;=18,"Teenager")</f>
        <v>Senior</v>
      </c>
      <c r="C866" t="s">
        <v>18</v>
      </c>
      <c r="D866">
        <f t="shared" si="13"/>
        <v>1</v>
      </c>
      <c r="E866" t="s">
        <v>23</v>
      </c>
      <c r="F866">
        <v>1</v>
      </c>
      <c r="G866" t="s">
        <v>24</v>
      </c>
      <c r="H866">
        <v>2</v>
      </c>
      <c r="I866">
        <v>1</v>
      </c>
      <c r="J866" t="s">
        <v>25</v>
      </c>
      <c r="K866">
        <v>1</v>
      </c>
      <c r="L866">
        <v>2107</v>
      </c>
      <c r="M866" t="str" cm="1">
        <f t="array" ref="M866">_xlfn.IFS(L866&lt;= 7000,"Low",L866&lt;=15000,"Medium",L866&lt;=20000,"High")</f>
        <v>Low</v>
      </c>
      <c r="N866" t="s">
        <v>22</v>
      </c>
      <c r="O866">
        <v>17</v>
      </c>
      <c r="P866">
        <v>3</v>
      </c>
      <c r="Q866">
        <v>1</v>
      </c>
      <c r="R866">
        <v>5</v>
      </c>
      <c r="S866">
        <v>1</v>
      </c>
      <c r="T866">
        <v>1</v>
      </c>
      <c r="U866">
        <v>0</v>
      </c>
    </row>
    <row r="867" spans="1:21" x14ac:dyDescent="0.35">
      <c r="A867">
        <v>30</v>
      </c>
      <c r="B867" t="str" cm="1">
        <f t="array" ref="B867">_xlfn.IFS(A867&gt;40,"Senior",A867&gt;30,"Adult",A867&gt;=18,"Teenager")</f>
        <v>Teenager</v>
      </c>
      <c r="C867" t="s">
        <v>22</v>
      </c>
      <c r="D867">
        <f t="shared" si="13"/>
        <v>0</v>
      </c>
      <c r="E867" t="s">
        <v>19</v>
      </c>
      <c r="F867">
        <v>3</v>
      </c>
      <c r="G867" t="s">
        <v>24</v>
      </c>
      <c r="H867">
        <v>3</v>
      </c>
      <c r="I867">
        <v>2</v>
      </c>
      <c r="J867" t="s">
        <v>21</v>
      </c>
      <c r="K867">
        <v>1</v>
      </c>
      <c r="L867">
        <v>4115</v>
      </c>
      <c r="M867" t="str" cm="1">
        <f t="array" ref="M867">_xlfn.IFS(L867&lt;= 7000,"Low",L867&lt;=15000,"Medium",L867&lt;=20000,"High")</f>
        <v>Low</v>
      </c>
      <c r="N867" t="s">
        <v>22</v>
      </c>
      <c r="O867">
        <v>19</v>
      </c>
      <c r="P867">
        <v>3</v>
      </c>
      <c r="Q867">
        <v>3</v>
      </c>
      <c r="R867">
        <v>8</v>
      </c>
      <c r="S867">
        <v>3</v>
      </c>
      <c r="T867">
        <v>4</v>
      </c>
      <c r="U867">
        <v>3</v>
      </c>
    </row>
    <row r="868" spans="1:21" x14ac:dyDescent="0.35">
      <c r="A868">
        <v>40</v>
      </c>
      <c r="B868" t="str" cm="1">
        <f t="array" ref="B868">_xlfn.IFS(A868&gt;40,"Senior",A868&gt;30,"Adult",A868&gt;=18,"Teenager")</f>
        <v>Adult</v>
      </c>
      <c r="C868" t="s">
        <v>22</v>
      </c>
      <c r="D868">
        <f t="shared" si="13"/>
        <v>0</v>
      </c>
      <c r="E868" t="s">
        <v>19</v>
      </c>
      <c r="F868">
        <v>2</v>
      </c>
      <c r="G868" t="s">
        <v>24</v>
      </c>
      <c r="H868">
        <v>3</v>
      </c>
      <c r="I868">
        <v>2</v>
      </c>
      <c r="J868" t="s">
        <v>21</v>
      </c>
      <c r="K868">
        <v>2</v>
      </c>
      <c r="L868">
        <v>4327</v>
      </c>
      <c r="M868" t="str" cm="1">
        <f t="array" ref="M868">_xlfn.IFS(L868&lt;= 7000,"Low",L868&lt;=15000,"Medium",L868&lt;=20000,"High")</f>
        <v>Low</v>
      </c>
      <c r="N868" t="s">
        <v>22</v>
      </c>
      <c r="O868">
        <v>12</v>
      </c>
      <c r="P868">
        <v>3</v>
      </c>
      <c r="Q868">
        <v>4</v>
      </c>
      <c r="R868">
        <v>5</v>
      </c>
      <c r="S868">
        <v>3</v>
      </c>
      <c r="T868">
        <v>0</v>
      </c>
      <c r="U868">
        <v>0</v>
      </c>
    </row>
    <row r="869" spans="1:21" x14ac:dyDescent="0.35">
      <c r="A869">
        <v>50</v>
      </c>
      <c r="B869" t="str" cm="1">
        <f t="array" ref="B869">_xlfn.IFS(A869&gt;40,"Senior",A869&gt;30,"Adult",A869&gt;=18,"Teenager")</f>
        <v>Senior</v>
      </c>
      <c r="C869" t="s">
        <v>22</v>
      </c>
      <c r="D869">
        <f t="shared" si="13"/>
        <v>0</v>
      </c>
      <c r="E869" t="s">
        <v>23</v>
      </c>
      <c r="F869">
        <v>4</v>
      </c>
      <c r="G869" t="s">
        <v>20</v>
      </c>
      <c r="H869">
        <v>3</v>
      </c>
      <c r="I869">
        <v>4</v>
      </c>
      <c r="J869" t="s">
        <v>29</v>
      </c>
      <c r="K869">
        <v>1</v>
      </c>
      <c r="L869">
        <v>17856</v>
      </c>
      <c r="M869" t="str" cm="1">
        <f t="array" ref="M869">_xlfn.IFS(L869&lt;= 7000,"Low",L869&lt;=15000,"Medium",L869&lt;=20000,"High")</f>
        <v>High</v>
      </c>
      <c r="N869" t="s">
        <v>22</v>
      </c>
      <c r="O869">
        <v>22</v>
      </c>
      <c r="P869">
        <v>4</v>
      </c>
      <c r="Q869">
        <v>3</v>
      </c>
      <c r="R869">
        <v>32</v>
      </c>
      <c r="S869">
        <v>3</v>
      </c>
      <c r="T869">
        <v>2</v>
      </c>
      <c r="U869">
        <v>2</v>
      </c>
    </row>
    <row r="870" spans="1:21" x14ac:dyDescent="0.35">
      <c r="A870">
        <v>28</v>
      </c>
      <c r="B870" t="str" cm="1">
        <f t="array" ref="B870">_xlfn.IFS(A870&gt;40,"Senior",A870&gt;30,"Adult",A870&gt;=18,"Teenager")</f>
        <v>Teenager</v>
      </c>
      <c r="C870" t="s">
        <v>22</v>
      </c>
      <c r="D870">
        <f t="shared" si="13"/>
        <v>0</v>
      </c>
      <c r="E870" t="s">
        <v>23</v>
      </c>
      <c r="F870">
        <v>4</v>
      </c>
      <c r="G870" t="s">
        <v>24</v>
      </c>
      <c r="H870">
        <v>2</v>
      </c>
      <c r="I870">
        <v>1</v>
      </c>
      <c r="J870" t="s">
        <v>26</v>
      </c>
      <c r="K870">
        <v>1</v>
      </c>
      <c r="L870">
        <v>3196</v>
      </c>
      <c r="M870" t="str" cm="1">
        <f t="array" ref="M870">_xlfn.IFS(L870&lt;= 7000,"Low",L870&lt;=15000,"Medium",L870&lt;=20000,"High")</f>
        <v>Low</v>
      </c>
      <c r="N870" t="s">
        <v>22</v>
      </c>
      <c r="O870">
        <v>12</v>
      </c>
      <c r="P870">
        <v>3</v>
      </c>
      <c r="Q870">
        <v>3</v>
      </c>
      <c r="R870">
        <v>6</v>
      </c>
      <c r="S870">
        <v>3</v>
      </c>
      <c r="T870">
        <v>6</v>
      </c>
      <c r="U870">
        <v>5</v>
      </c>
    </row>
    <row r="871" spans="1:21" x14ac:dyDescent="0.35">
      <c r="A871">
        <v>46</v>
      </c>
      <c r="B871" t="str" cm="1">
        <f t="array" ref="B871">_xlfn.IFS(A871&gt;40,"Senior",A871&gt;30,"Adult",A871&gt;=18,"Teenager")</f>
        <v>Senior</v>
      </c>
      <c r="C871" t="s">
        <v>22</v>
      </c>
      <c r="D871">
        <f t="shared" si="13"/>
        <v>0</v>
      </c>
      <c r="E871" t="s">
        <v>23</v>
      </c>
      <c r="F871">
        <v>4</v>
      </c>
      <c r="G871" t="s">
        <v>24</v>
      </c>
      <c r="H871">
        <v>3</v>
      </c>
      <c r="I871">
        <v>5</v>
      </c>
      <c r="J871" t="s">
        <v>31</v>
      </c>
      <c r="K871">
        <v>2</v>
      </c>
      <c r="L871">
        <v>19081</v>
      </c>
      <c r="M871" t="str" cm="1">
        <f t="array" ref="M871">_xlfn.IFS(L871&lt;= 7000,"Low",L871&lt;=15000,"Medium",L871&lt;=20000,"High")</f>
        <v>High</v>
      </c>
      <c r="N871" t="s">
        <v>22</v>
      </c>
      <c r="O871">
        <v>11</v>
      </c>
      <c r="P871">
        <v>3</v>
      </c>
      <c r="Q871">
        <v>1</v>
      </c>
      <c r="R871">
        <v>25</v>
      </c>
      <c r="S871">
        <v>3</v>
      </c>
      <c r="T871">
        <v>4</v>
      </c>
      <c r="U871">
        <v>2</v>
      </c>
    </row>
    <row r="872" spans="1:21" x14ac:dyDescent="0.35">
      <c r="A872">
        <v>35</v>
      </c>
      <c r="B872" t="str" cm="1">
        <f t="array" ref="B872">_xlfn.IFS(A872&gt;40,"Senior",A872&gt;30,"Adult",A872&gt;=18,"Teenager")</f>
        <v>Adult</v>
      </c>
      <c r="C872" t="s">
        <v>22</v>
      </c>
      <c r="D872">
        <f t="shared" si="13"/>
        <v>0</v>
      </c>
      <c r="E872" t="s">
        <v>19</v>
      </c>
      <c r="F872">
        <v>3</v>
      </c>
      <c r="G872" t="s">
        <v>24</v>
      </c>
      <c r="H872">
        <v>3</v>
      </c>
      <c r="I872">
        <v>2</v>
      </c>
      <c r="J872" t="s">
        <v>21</v>
      </c>
      <c r="K872">
        <v>1</v>
      </c>
      <c r="L872">
        <v>8966</v>
      </c>
      <c r="M872" t="str" cm="1">
        <f t="array" ref="M872">_xlfn.IFS(L872&lt;= 7000,"Low",L872&lt;=15000,"Medium",L872&lt;=20000,"High")</f>
        <v>Medium</v>
      </c>
      <c r="N872" t="s">
        <v>18</v>
      </c>
      <c r="O872">
        <v>15</v>
      </c>
      <c r="P872">
        <v>3</v>
      </c>
      <c r="Q872">
        <v>4</v>
      </c>
      <c r="R872">
        <v>15</v>
      </c>
      <c r="S872">
        <v>3</v>
      </c>
      <c r="T872">
        <v>7</v>
      </c>
      <c r="U872">
        <v>7</v>
      </c>
    </row>
    <row r="873" spans="1:21" x14ac:dyDescent="0.35">
      <c r="A873">
        <v>24</v>
      </c>
      <c r="B873" t="str" cm="1">
        <f t="array" ref="B873">_xlfn.IFS(A873&gt;40,"Senior",A873&gt;30,"Adult",A873&gt;=18,"Teenager")</f>
        <v>Teenager</v>
      </c>
      <c r="C873" t="s">
        <v>18</v>
      </c>
      <c r="D873">
        <f t="shared" si="13"/>
        <v>1</v>
      </c>
      <c r="E873" t="s">
        <v>23</v>
      </c>
      <c r="F873">
        <v>4</v>
      </c>
      <c r="G873" t="s">
        <v>20</v>
      </c>
      <c r="H873">
        <v>3</v>
      </c>
      <c r="I873">
        <v>1</v>
      </c>
      <c r="J873" t="s">
        <v>26</v>
      </c>
      <c r="K873">
        <v>2</v>
      </c>
      <c r="L873">
        <v>2210</v>
      </c>
      <c r="M873" t="str" cm="1">
        <f t="array" ref="M873">_xlfn.IFS(L873&lt;= 7000,"Low",L873&lt;=15000,"Medium",L873&lt;=20000,"High")</f>
        <v>Low</v>
      </c>
      <c r="N873" t="s">
        <v>22</v>
      </c>
      <c r="O873">
        <v>13</v>
      </c>
      <c r="P873">
        <v>3</v>
      </c>
      <c r="Q873">
        <v>1</v>
      </c>
      <c r="R873">
        <v>1</v>
      </c>
      <c r="S873">
        <v>1</v>
      </c>
      <c r="T873">
        <v>1</v>
      </c>
      <c r="U873">
        <v>0</v>
      </c>
    </row>
    <row r="874" spans="1:21" x14ac:dyDescent="0.35">
      <c r="A874">
        <v>33</v>
      </c>
      <c r="B874" t="str" cm="1">
        <f t="array" ref="B874">_xlfn.IFS(A874&gt;40,"Senior",A874&gt;30,"Adult",A874&gt;=18,"Teenager")</f>
        <v>Adult</v>
      </c>
      <c r="C874" t="s">
        <v>22</v>
      </c>
      <c r="D874">
        <f t="shared" si="13"/>
        <v>0</v>
      </c>
      <c r="E874" t="s">
        <v>19</v>
      </c>
      <c r="F874">
        <v>2</v>
      </c>
      <c r="G874" t="s">
        <v>20</v>
      </c>
      <c r="H874">
        <v>3</v>
      </c>
      <c r="I874">
        <v>2</v>
      </c>
      <c r="J874" t="s">
        <v>21</v>
      </c>
      <c r="K874">
        <v>3</v>
      </c>
      <c r="L874">
        <v>4539</v>
      </c>
      <c r="M874" t="str" cm="1">
        <f t="array" ref="M874">_xlfn.IFS(L874&lt;= 7000,"Low",L874&lt;=15000,"Medium",L874&lt;=20000,"High")</f>
        <v>Low</v>
      </c>
      <c r="N874" t="s">
        <v>22</v>
      </c>
      <c r="O874">
        <v>12</v>
      </c>
      <c r="P874">
        <v>3</v>
      </c>
      <c r="Q874">
        <v>1</v>
      </c>
      <c r="R874">
        <v>10</v>
      </c>
      <c r="S874">
        <v>2</v>
      </c>
      <c r="T874">
        <v>10</v>
      </c>
      <c r="U874">
        <v>7</v>
      </c>
    </row>
    <row r="875" spans="1:21" x14ac:dyDescent="0.35">
      <c r="A875">
        <v>36</v>
      </c>
      <c r="B875" t="str" cm="1">
        <f t="array" ref="B875">_xlfn.IFS(A875&gt;40,"Senior",A875&gt;30,"Adult",A875&gt;=18,"Teenager")</f>
        <v>Adult</v>
      </c>
      <c r="C875" t="s">
        <v>22</v>
      </c>
      <c r="D875">
        <f t="shared" si="13"/>
        <v>0</v>
      </c>
      <c r="E875" t="s">
        <v>23</v>
      </c>
      <c r="F875">
        <v>3</v>
      </c>
      <c r="G875" t="s">
        <v>24</v>
      </c>
      <c r="H875">
        <v>1</v>
      </c>
      <c r="I875">
        <v>1</v>
      </c>
      <c r="J875" t="s">
        <v>26</v>
      </c>
      <c r="K875">
        <v>3</v>
      </c>
      <c r="L875">
        <v>2741</v>
      </c>
      <c r="M875" t="str" cm="1">
        <f t="array" ref="M875">_xlfn.IFS(L875&lt;= 7000,"Low",L875&lt;=15000,"Medium",L875&lt;=20000,"High")</f>
        <v>Low</v>
      </c>
      <c r="N875" t="s">
        <v>22</v>
      </c>
      <c r="O875">
        <v>14</v>
      </c>
      <c r="P875">
        <v>3</v>
      </c>
      <c r="Q875">
        <v>3</v>
      </c>
      <c r="R875">
        <v>7</v>
      </c>
      <c r="S875">
        <v>3</v>
      </c>
      <c r="T875">
        <v>7</v>
      </c>
      <c r="U875">
        <v>7</v>
      </c>
    </row>
    <row r="876" spans="1:21" x14ac:dyDescent="0.35">
      <c r="A876">
        <v>30</v>
      </c>
      <c r="B876" t="str" cm="1">
        <f t="array" ref="B876">_xlfn.IFS(A876&gt;40,"Senior",A876&gt;30,"Adult",A876&gt;=18,"Teenager")</f>
        <v>Teenager</v>
      </c>
      <c r="C876" t="s">
        <v>22</v>
      </c>
      <c r="D876">
        <f t="shared" si="13"/>
        <v>0</v>
      </c>
      <c r="E876" t="s">
        <v>23</v>
      </c>
      <c r="F876">
        <v>3</v>
      </c>
      <c r="G876" t="s">
        <v>24</v>
      </c>
      <c r="H876">
        <v>3</v>
      </c>
      <c r="I876">
        <v>2</v>
      </c>
      <c r="J876" t="s">
        <v>26</v>
      </c>
      <c r="K876">
        <v>3</v>
      </c>
      <c r="L876">
        <v>3491</v>
      </c>
      <c r="M876" t="str" cm="1">
        <f t="array" ref="M876">_xlfn.IFS(L876&lt;= 7000,"Low",L876&lt;=15000,"Medium",L876&lt;=20000,"High")</f>
        <v>Low</v>
      </c>
      <c r="N876" t="s">
        <v>22</v>
      </c>
      <c r="O876">
        <v>13</v>
      </c>
      <c r="P876">
        <v>3</v>
      </c>
      <c r="Q876">
        <v>1</v>
      </c>
      <c r="R876">
        <v>10</v>
      </c>
      <c r="S876">
        <v>2</v>
      </c>
      <c r="T876">
        <v>10</v>
      </c>
      <c r="U876">
        <v>7</v>
      </c>
    </row>
    <row r="877" spans="1:21" x14ac:dyDescent="0.35">
      <c r="A877">
        <v>44</v>
      </c>
      <c r="B877" t="str" cm="1">
        <f t="array" ref="B877">_xlfn.IFS(A877&gt;40,"Senior",A877&gt;30,"Adult",A877&gt;=18,"Teenager")</f>
        <v>Senior</v>
      </c>
      <c r="C877" t="s">
        <v>22</v>
      </c>
      <c r="D877">
        <f t="shared" si="13"/>
        <v>0</v>
      </c>
      <c r="E877" t="s">
        <v>23</v>
      </c>
      <c r="F877">
        <v>4</v>
      </c>
      <c r="G877" t="s">
        <v>24</v>
      </c>
      <c r="H877">
        <v>3</v>
      </c>
      <c r="I877">
        <v>2</v>
      </c>
      <c r="J877" t="s">
        <v>25</v>
      </c>
      <c r="K877">
        <v>4</v>
      </c>
      <c r="L877">
        <v>4541</v>
      </c>
      <c r="M877" t="str" cm="1">
        <f t="array" ref="M877">_xlfn.IFS(L877&lt;= 7000,"Low",L877&lt;=15000,"Medium",L877&lt;=20000,"High")</f>
        <v>Low</v>
      </c>
      <c r="N877" t="s">
        <v>22</v>
      </c>
      <c r="O877">
        <v>25</v>
      </c>
      <c r="P877">
        <v>4</v>
      </c>
      <c r="Q877">
        <v>2</v>
      </c>
      <c r="R877">
        <v>20</v>
      </c>
      <c r="S877">
        <v>3</v>
      </c>
      <c r="T877">
        <v>20</v>
      </c>
      <c r="U877">
        <v>11</v>
      </c>
    </row>
    <row r="878" spans="1:21" x14ac:dyDescent="0.35">
      <c r="A878">
        <v>20</v>
      </c>
      <c r="B878" t="str" cm="1">
        <f t="array" ref="B878">_xlfn.IFS(A878&gt;40,"Senior",A878&gt;30,"Adult",A878&gt;=18,"Teenager")</f>
        <v>Teenager</v>
      </c>
      <c r="C878" t="s">
        <v>22</v>
      </c>
      <c r="D878">
        <f t="shared" si="13"/>
        <v>0</v>
      </c>
      <c r="E878" t="s">
        <v>19</v>
      </c>
      <c r="F878">
        <v>3</v>
      </c>
      <c r="G878" t="s">
        <v>24</v>
      </c>
      <c r="H878">
        <v>4</v>
      </c>
      <c r="I878">
        <v>1</v>
      </c>
      <c r="J878" t="s">
        <v>30</v>
      </c>
      <c r="K878">
        <v>4</v>
      </c>
      <c r="L878">
        <v>2678</v>
      </c>
      <c r="M878" t="str" cm="1">
        <f t="array" ref="M878">_xlfn.IFS(L878&lt;= 7000,"Low",L878&lt;=15000,"Medium",L878&lt;=20000,"High")</f>
        <v>Low</v>
      </c>
      <c r="N878" t="s">
        <v>22</v>
      </c>
      <c r="O878">
        <v>17</v>
      </c>
      <c r="P878">
        <v>3</v>
      </c>
      <c r="Q878">
        <v>4</v>
      </c>
      <c r="R878">
        <v>2</v>
      </c>
      <c r="S878">
        <v>3</v>
      </c>
      <c r="T878">
        <v>2</v>
      </c>
      <c r="U878">
        <v>1</v>
      </c>
    </row>
    <row r="879" spans="1:21" x14ac:dyDescent="0.35">
      <c r="A879">
        <v>46</v>
      </c>
      <c r="B879" t="str" cm="1">
        <f t="array" ref="B879">_xlfn.IFS(A879&gt;40,"Senior",A879&gt;30,"Adult",A879&gt;=18,"Teenager")</f>
        <v>Senior</v>
      </c>
      <c r="C879" t="s">
        <v>22</v>
      </c>
      <c r="D879">
        <f t="shared" si="13"/>
        <v>0</v>
      </c>
      <c r="E879" t="s">
        <v>23</v>
      </c>
      <c r="F879">
        <v>4</v>
      </c>
      <c r="G879" t="s">
        <v>24</v>
      </c>
      <c r="H879">
        <v>3</v>
      </c>
      <c r="I879">
        <v>2</v>
      </c>
      <c r="J879" t="s">
        <v>27</v>
      </c>
      <c r="K879">
        <v>4</v>
      </c>
      <c r="L879">
        <v>7379</v>
      </c>
      <c r="M879" t="str" cm="1">
        <f t="array" ref="M879">_xlfn.IFS(L879&lt;= 7000,"Low",L879&lt;=15000,"Medium",L879&lt;=20000,"High")</f>
        <v>Medium</v>
      </c>
      <c r="N879" t="s">
        <v>22</v>
      </c>
      <c r="O879">
        <v>11</v>
      </c>
      <c r="P879">
        <v>3</v>
      </c>
      <c r="Q879">
        <v>3</v>
      </c>
      <c r="R879">
        <v>12</v>
      </c>
      <c r="S879">
        <v>2</v>
      </c>
      <c r="T879">
        <v>6</v>
      </c>
      <c r="U879">
        <v>3</v>
      </c>
    </row>
    <row r="880" spans="1:21" x14ac:dyDescent="0.35">
      <c r="A880">
        <v>42</v>
      </c>
      <c r="B880" t="str" cm="1">
        <f t="array" ref="B880">_xlfn.IFS(A880&gt;40,"Senior",A880&gt;30,"Adult",A880&gt;=18,"Teenager")</f>
        <v>Senior</v>
      </c>
      <c r="C880" t="s">
        <v>22</v>
      </c>
      <c r="D880">
        <f t="shared" si="13"/>
        <v>0</v>
      </c>
      <c r="E880" t="s">
        <v>32</v>
      </c>
      <c r="F880">
        <v>4</v>
      </c>
      <c r="G880" t="s">
        <v>24</v>
      </c>
      <c r="H880">
        <v>4</v>
      </c>
      <c r="I880">
        <v>2</v>
      </c>
      <c r="J880" t="s">
        <v>32</v>
      </c>
      <c r="K880">
        <v>1</v>
      </c>
      <c r="L880">
        <v>6272</v>
      </c>
      <c r="M880" t="str" cm="1">
        <f t="array" ref="M880">_xlfn.IFS(L880&lt;= 7000,"Low",L880&lt;=15000,"Medium",L880&lt;=20000,"High")</f>
        <v>Low</v>
      </c>
      <c r="N880" t="s">
        <v>22</v>
      </c>
      <c r="O880">
        <v>16</v>
      </c>
      <c r="P880">
        <v>3</v>
      </c>
      <c r="Q880">
        <v>1</v>
      </c>
      <c r="R880">
        <v>10</v>
      </c>
      <c r="S880">
        <v>4</v>
      </c>
      <c r="T880">
        <v>4</v>
      </c>
      <c r="U880">
        <v>3</v>
      </c>
    </row>
    <row r="881" spans="1:21" x14ac:dyDescent="0.35">
      <c r="A881">
        <v>60</v>
      </c>
      <c r="B881" t="str" cm="1">
        <f t="array" ref="B881">_xlfn.IFS(A881&gt;40,"Senior",A881&gt;30,"Adult",A881&gt;=18,"Teenager")</f>
        <v>Senior</v>
      </c>
      <c r="C881" t="s">
        <v>22</v>
      </c>
      <c r="D881">
        <f t="shared" si="13"/>
        <v>0</v>
      </c>
      <c r="E881" t="s">
        <v>19</v>
      </c>
      <c r="F881">
        <v>2</v>
      </c>
      <c r="G881" t="s">
        <v>24</v>
      </c>
      <c r="H881">
        <v>4</v>
      </c>
      <c r="I881">
        <v>2</v>
      </c>
      <c r="J881" t="s">
        <v>21</v>
      </c>
      <c r="K881">
        <v>4</v>
      </c>
      <c r="L881">
        <v>5220</v>
      </c>
      <c r="M881" t="str" cm="1">
        <f t="array" ref="M881">_xlfn.IFS(L881&lt;= 7000,"Low",L881&lt;=15000,"Medium",L881&lt;=20000,"High")</f>
        <v>Low</v>
      </c>
      <c r="N881" t="s">
        <v>18</v>
      </c>
      <c r="O881">
        <v>18</v>
      </c>
      <c r="P881">
        <v>3</v>
      </c>
      <c r="Q881">
        <v>2</v>
      </c>
      <c r="R881">
        <v>12</v>
      </c>
      <c r="S881">
        <v>3</v>
      </c>
      <c r="T881">
        <v>11</v>
      </c>
      <c r="U881">
        <v>7</v>
      </c>
    </row>
    <row r="882" spans="1:21" x14ac:dyDescent="0.35">
      <c r="A882">
        <v>32</v>
      </c>
      <c r="B882" t="str" cm="1">
        <f t="array" ref="B882">_xlfn.IFS(A882&gt;40,"Senior",A882&gt;30,"Adult",A882&gt;=18,"Teenager")</f>
        <v>Adult</v>
      </c>
      <c r="C882" t="s">
        <v>22</v>
      </c>
      <c r="D882">
        <f t="shared" si="13"/>
        <v>0</v>
      </c>
      <c r="E882" t="s">
        <v>23</v>
      </c>
      <c r="F882">
        <v>3</v>
      </c>
      <c r="G882" t="s">
        <v>20</v>
      </c>
      <c r="H882">
        <v>2</v>
      </c>
      <c r="I882">
        <v>1</v>
      </c>
      <c r="J882" t="s">
        <v>26</v>
      </c>
      <c r="K882">
        <v>2</v>
      </c>
      <c r="L882">
        <v>2743</v>
      </c>
      <c r="M882" t="str" cm="1">
        <f t="array" ref="M882">_xlfn.IFS(L882&lt;= 7000,"Low",L882&lt;=15000,"Medium",L882&lt;=20000,"High")</f>
        <v>Low</v>
      </c>
      <c r="N882" t="s">
        <v>22</v>
      </c>
      <c r="O882">
        <v>20</v>
      </c>
      <c r="P882">
        <v>4</v>
      </c>
      <c r="Q882">
        <v>3</v>
      </c>
      <c r="R882">
        <v>2</v>
      </c>
      <c r="S882">
        <v>3</v>
      </c>
      <c r="T882">
        <v>2</v>
      </c>
      <c r="U882">
        <v>2</v>
      </c>
    </row>
    <row r="883" spans="1:21" x14ac:dyDescent="0.35">
      <c r="A883">
        <v>32</v>
      </c>
      <c r="B883" t="str" cm="1">
        <f t="array" ref="B883">_xlfn.IFS(A883&gt;40,"Senior",A883&gt;30,"Adult",A883&gt;=18,"Teenager")</f>
        <v>Adult</v>
      </c>
      <c r="C883" t="s">
        <v>22</v>
      </c>
      <c r="D883">
        <f t="shared" si="13"/>
        <v>0</v>
      </c>
      <c r="E883" t="s">
        <v>23</v>
      </c>
      <c r="F883">
        <v>4</v>
      </c>
      <c r="G883" t="s">
        <v>20</v>
      </c>
      <c r="H883">
        <v>3</v>
      </c>
      <c r="I883">
        <v>2</v>
      </c>
      <c r="J883" t="s">
        <v>25</v>
      </c>
      <c r="K883">
        <v>3</v>
      </c>
      <c r="L883">
        <v>4998</v>
      </c>
      <c r="M883" t="str" cm="1">
        <f t="array" ref="M883">_xlfn.IFS(L883&lt;= 7000,"Low",L883&lt;=15000,"Medium",L883&lt;=20000,"High")</f>
        <v>Low</v>
      </c>
      <c r="N883" t="s">
        <v>18</v>
      </c>
      <c r="O883">
        <v>14</v>
      </c>
      <c r="P883">
        <v>3</v>
      </c>
      <c r="Q883">
        <v>4</v>
      </c>
      <c r="R883">
        <v>10</v>
      </c>
      <c r="S883">
        <v>3</v>
      </c>
      <c r="T883">
        <v>8</v>
      </c>
      <c r="U883">
        <v>7</v>
      </c>
    </row>
    <row r="884" spans="1:21" x14ac:dyDescent="0.35">
      <c r="A884">
        <v>36</v>
      </c>
      <c r="B884" t="str" cm="1">
        <f t="array" ref="B884">_xlfn.IFS(A884&gt;40,"Senior",A884&gt;30,"Adult",A884&gt;=18,"Teenager")</f>
        <v>Adult</v>
      </c>
      <c r="C884" t="s">
        <v>22</v>
      </c>
      <c r="D884">
        <f t="shared" si="13"/>
        <v>0</v>
      </c>
      <c r="E884" t="s">
        <v>23</v>
      </c>
      <c r="F884">
        <v>3</v>
      </c>
      <c r="G884" t="s">
        <v>20</v>
      </c>
      <c r="H884">
        <v>1</v>
      </c>
      <c r="I884">
        <v>3</v>
      </c>
      <c r="J884" t="s">
        <v>27</v>
      </c>
      <c r="K884">
        <v>1</v>
      </c>
      <c r="L884">
        <v>10252</v>
      </c>
      <c r="M884" t="str" cm="1">
        <f t="array" ref="M884">_xlfn.IFS(L884&lt;= 7000,"Low",L884&lt;=15000,"Medium",L884&lt;=20000,"High")</f>
        <v>Medium</v>
      </c>
      <c r="N884" t="s">
        <v>18</v>
      </c>
      <c r="O884">
        <v>21</v>
      </c>
      <c r="P884">
        <v>4</v>
      </c>
      <c r="Q884">
        <v>3</v>
      </c>
      <c r="R884">
        <v>17</v>
      </c>
      <c r="S884">
        <v>3</v>
      </c>
      <c r="T884">
        <v>7</v>
      </c>
      <c r="U884">
        <v>7</v>
      </c>
    </row>
    <row r="885" spans="1:21" x14ac:dyDescent="0.35">
      <c r="A885">
        <v>33</v>
      </c>
      <c r="B885" t="str" cm="1">
        <f t="array" ref="B885">_xlfn.IFS(A885&gt;40,"Senior",A885&gt;30,"Adult",A885&gt;=18,"Teenager")</f>
        <v>Adult</v>
      </c>
      <c r="C885" t="s">
        <v>22</v>
      </c>
      <c r="D885">
        <f t="shared" si="13"/>
        <v>0</v>
      </c>
      <c r="E885" t="s">
        <v>23</v>
      </c>
      <c r="F885">
        <v>1</v>
      </c>
      <c r="G885" t="s">
        <v>24</v>
      </c>
      <c r="H885">
        <v>3</v>
      </c>
      <c r="I885">
        <v>1</v>
      </c>
      <c r="J885" t="s">
        <v>25</v>
      </c>
      <c r="K885">
        <v>4</v>
      </c>
      <c r="L885">
        <v>2781</v>
      </c>
      <c r="M885" t="str" cm="1">
        <f t="array" ref="M885">_xlfn.IFS(L885&lt;= 7000,"Low",L885&lt;=15000,"Medium",L885&lt;=20000,"High")</f>
        <v>Low</v>
      </c>
      <c r="N885" t="s">
        <v>22</v>
      </c>
      <c r="O885">
        <v>13</v>
      </c>
      <c r="P885">
        <v>3</v>
      </c>
      <c r="Q885">
        <v>2</v>
      </c>
      <c r="R885">
        <v>15</v>
      </c>
      <c r="S885">
        <v>3</v>
      </c>
      <c r="T885">
        <v>14</v>
      </c>
      <c r="U885">
        <v>10</v>
      </c>
    </row>
    <row r="886" spans="1:21" x14ac:dyDescent="0.35">
      <c r="A886">
        <v>40</v>
      </c>
      <c r="B886" t="str" cm="1">
        <f t="array" ref="B886">_xlfn.IFS(A886&gt;40,"Senior",A886&gt;30,"Adult",A886&gt;=18,"Teenager")</f>
        <v>Adult</v>
      </c>
      <c r="C886" t="s">
        <v>22</v>
      </c>
      <c r="D886">
        <f t="shared" si="13"/>
        <v>0</v>
      </c>
      <c r="E886" t="s">
        <v>19</v>
      </c>
      <c r="F886">
        <v>2</v>
      </c>
      <c r="G886" t="s">
        <v>20</v>
      </c>
      <c r="H886">
        <v>2</v>
      </c>
      <c r="I886">
        <v>2</v>
      </c>
      <c r="J886" t="s">
        <v>21</v>
      </c>
      <c r="K886">
        <v>2</v>
      </c>
      <c r="L886">
        <v>6852</v>
      </c>
      <c r="M886" t="str" cm="1">
        <f t="array" ref="M886">_xlfn.IFS(L886&lt;= 7000,"Low",L886&lt;=15000,"Medium",L886&lt;=20000,"High")</f>
        <v>Low</v>
      </c>
      <c r="N886" t="s">
        <v>22</v>
      </c>
      <c r="O886">
        <v>12</v>
      </c>
      <c r="P886">
        <v>3</v>
      </c>
      <c r="Q886">
        <v>2</v>
      </c>
      <c r="R886">
        <v>7</v>
      </c>
      <c r="S886">
        <v>4</v>
      </c>
      <c r="T886">
        <v>5</v>
      </c>
      <c r="U886">
        <v>1</v>
      </c>
    </row>
    <row r="887" spans="1:21" x14ac:dyDescent="0.35">
      <c r="A887">
        <v>25</v>
      </c>
      <c r="B887" t="str" cm="1">
        <f t="array" ref="B887">_xlfn.IFS(A887&gt;40,"Senior",A887&gt;30,"Adult",A887&gt;=18,"Teenager")</f>
        <v>Teenager</v>
      </c>
      <c r="C887" t="s">
        <v>22</v>
      </c>
      <c r="D887">
        <f t="shared" si="13"/>
        <v>0</v>
      </c>
      <c r="E887" t="s">
        <v>19</v>
      </c>
      <c r="F887">
        <v>3</v>
      </c>
      <c r="G887" t="s">
        <v>24</v>
      </c>
      <c r="H887">
        <v>3</v>
      </c>
      <c r="I887">
        <v>2</v>
      </c>
      <c r="J887" t="s">
        <v>21</v>
      </c>
      <c r="K887">
        <v>4</v>
      </c>
      <c r="L887">
        <v>4950</v>
      </c>
      <c r="M887" t="str" cm="1">
        <f t="array" ref="M887">_xlfn.IFS(L887&lt;= 7000,"Low",L887&lt;=15000,"Medium",L887&lt;=20000,"High")</f>
        <v>Low</v>
      </c>
      <c r="N887" t="s">
        <v>22</v>
      </c>
      <c r="O887">
        <v>14</v>
      </c>
      <c r="P887">
        <v>3</v>
      </c>
      <c r="Q887">
        <v>2</v>
      </c>
      <c r="R887">
        <v>5</v>
      </c>
      <c r="S887">
        <v>3</v>
      </c>
      <c r="T887">
        <v>4</v>
      </c>
      <c r="U887">
        <v>3</v>
      </c>
    </row>
    <row r="888" spans="1:21" x14ac:dyDescent="0.35">
      <c r="A888">
        <v>30</v>
      </c>
      <c r="B888" t="str" cm="1">
        <f t="array" ref="B888">_xlfn.IFS(A888&gt;40,"Senior",A888&gt;30,"Adult",A888&gt;=18,"Teenager")</f>
        <v>Teenager</v>
      </c>
      <c r="C888" t="s">
        <v>22</v>
      </c>
      <c r="D888">
        <f t="shared" si="13"/>
        <v>0</v>
      </c>
      <c r="E888" t="s">
        <v>23</v>
      </c>
      <c r="F888">
        <v>4</v>
      </c>
      <c r="G888" t="s">
        <v>24</v>
      </c>
      <c r="H888">
        <v>3</v>
      </c>
      <c r="I888">
        <v>1</v>
      </c>
      <c r="J888" t="s">
        <v>25</v>
      </c>
      <c r="K888">
        <v>2</v>
      </c>
      <c r="L888">
        <v>3579</v>
      </c>
      <c r="M888" t="str" cm="1">
        <f t="array" ref="M888">_xlfn.IFS(L888&lt;= 7000,"Low",L888&lt;=15000,"Medium",L888&lt;=20000,"High")</f>
        <v>Low</v>
      </c>
      <c r="N888" t="s">
        <v>18</v>
      </c>
      <c r="O888">
        <v>21</v>
      </c>
      <c r="P888">
        <v>4</v>
      </c>
      <c r="Q888">
        <v>1</v>
      </c>
      <c r="R888">
        <v>12</v>
      </c>
      <c r="S888">
        <v>3</v>
      </c>
      <c r="T888">
        <v>11</v>
      </c>
      <c r="U888">
        <v>9</v>
      </c>
    </row>
    <row r="889" spans="1:21" x14ac:dyDescent="0.35">
      <c r="A889">
        <v>42</v>
      </c>
      <c r="B889" t="str" cm="1">
        <f t="array" ref="B889">_xlfn.IFS(A889&gt;40,"Senior",A889&gt;30,"Adult",A889&gt;=18,"Teenager")</f>
        <v>Senior</v>
      </c>
      <c r="C889" t="s">
        <v>22</v>
      </c>
      <c r="D889">
        <f t="shared" si="13"/>
        <v>0</v>
      </c>
      <c r="E889" t="s">
        <v>23</v>
      </c>
      <c r="F889">
        <v>1</v>
      </c>
      <c r="G889" t="s">
        <v>20</v>
      </c>
      <c r="H889">
        <v>3</v>
      </c>
      <c r="I889">
        <v>3</v>
      </c>
      <c r="J889" t="s">
        <v>31</v>
      </c>
      <c r="K889">
        <v>1</v>
      </c>
      <c r="L889">
        <v>13191</v>
      </c>
      <c r="M889" t="str" cm="1">
        <f t="array" ref="M889">_xlfn.IFS(L889&lt;= 7000,"Low",L889&lt;=15000,"Medium",L889&lt;=20000,"High")</f>
        <v>Medium</v>
      </c>
      <c r="N889" t="s">
        <v>18</v>
      </c>
      <c r="O889">
        <v>17</v>
      </c>
      <c r="P889">
        <v>3</v>
      </c>
      <c r="Q889">
        <v>3</v>
      </c>
      <c r="R889">
        <v>20</v>
      </c>
      <c r="S889">
        <v>3</v>
      </c>
      <c r="T889">
        <v>1</v>
      </c>
      <c r="U889">
        <v>0</v>
      </c>
    </row>
    <row r="890" spans="1:21" x14ac:dyDescent="0.35">
      <c r="A890">
        <v>35</v>
      </c>
      <c r="B890" t="str" cm="1">
        <f t="array" ref="B890">_xlfn.IFS(A890&gt;40,"Senior",A890&gt;30,"Adult",A890&gt;=18,"Teenager")</f>
        <v>Adult</v>
      </c>
      <c r="C890" t="s">
        <v>22</v>
      </c>
      <c r="D890">
        <f t="shared" si="13"/>
        <v>0</v>
      </c>
      <c r="E890" t="s">
        <v>19</v>
      </c>
      <c r="F890">
        <v>3</v>
      </c>
      <c r="G890" t="s">
        <v>20</v>
      </c>
      <c r="H890">
        <v>2</v>
      </c>
      <c r="I890">
        <v>3</v>
      </c>
      <c r="J890" t="s">
        <v>21</v>
      </c>
      <c r="K890">
        <v>4</v>
      </c>
      <c r="L890">
        <v>10377</v>
      </c>
      <c r="M890" t="str" cm="1">
        <f t="array" ref="M890">_xlfn.IFS(L890&lt;= 7000,"Low",L890&lt;=15000,"Medium",L890&lt;=20000,"High")</f>
        <v>Medium</v>
      </c>
      <c r="N890" t="s">
        <v>18</v>
      </c>
      <c r="O890">
        <v>11</v>
      </c>
      <c r="P890">
        <v>3</v>
      </c>
      <c r="Q890">
        <v>2</v>
      </c>
      <c r="R890">
        <v>16</v>
      </c>
      <c r="S890">
        <v>2</v>
      </c>
      <c r="T890">
        <v>13</v>
      </c>
      <c r="U890">
        <v>2</v>
      </c>
    </row>
    <row r="891" spans="1:21" x14ac:dyDescent="0.35">
      <c r="A891">
        <v>27</v>
      </c>
      <c r="B891" t="str" cm="1">
        <f t="array" ref="B891">_xlfn.IFS(A891&gt;40,"Senior",A891&gt;30,"Adult",A891&gt;=18,"Teenager")</f>
        <v>Teenager</v>
      </c>
      <c r="C891" t="s">
        <v>22</v>
      </c>
      <c r="D891">
        <f t="shared" si="13"/>
        <v>0</v>
      </c>
      <c r="E891" t="s">
        <v>23</v>
      </c>
      <c r="F891">
        <v>1</v>
      </c>
      <c r="G891" t="s">
        <v>24</v>
      </c>
      <c r="H891">
        <v>3</v>
      </c>
      <c r="I891">
        <v>1</v>
      </c>
      <c r="J891" t="s">
        <v>25</v>
      </c>
      <c r="K891">
        <v>1</v>
      </c>
      <c r="L891">
        <v>2235</v>
      </c>
      <c r="M891" t="str" cm="1">
        <f t="array" ref="M891">_xlfn.IFS(L891&lt;= 7000,"Low",L891&lt;=15000,"Medium",L891&lt;=20000,"High")</f>
        <v>Low</v>
      </c>
      <c r="N891" t="s">
        <v>18</v>
      </c>
      <c r="O891">
        <v>14</v>
      </c>
      <c r="P891">
        <v>3</v>
      </c>
      <c r="Q891">
        <v>4</v>
      </c>
      <c r="R891">
        <v>9</v>
      </c>
      <c r="S891">
        <v>2</v>
      </c>
      <c r="T891">
        <v>9</v>
      </c>
      <c r="U891">
        <v>7</v>
      </c>
    </row>
    <row r="892" spans="1:21" x14ac:dyDescent="0.35">
      <c r="A892">
        <v>54</v>
      </c>
      <c r="B892" t="str" cm="1">
        <f t="array" ref="B892">_xlfn.IFS(A892&gt;40,"Senior",A892&gt;30,"Adult",A892&gt;=18,"Teenager")</f>
        <v>Senior</v>
      </c>
      <c r="C892" t="s">
        <v>22</v>
      </c>
      <c r="D892">
        <f t="shared" si="13"/>
        <v>0</v>
      </c>
      <c r="E892" t="s">
        <v>23</v>
      </c>
      <c r="F892">
        <v>4</v>
      </c>
      <c r="G892" t="s">
        <v>20</v>
      </c>
      <c r="H892">
        <v>3</v>
      </c>
      <c r="I892">
        <v>3</v>
      </c>
      <c r="J892" t="s">
        <v>27</v>
      </c>
      <c r="K892">
        <v>3</v>
      </c>
      <c r="L892">
        <v>10502</v>
      </c>
      <c r="M892" t="str" cm="1">
        <f t="array" ref="M892">_xlfn.IFS(L892&lt;= 7000,"Low",L892&lt;=15000,"Medium",L892&lt;=20000,"High")</f>
        <v>Medium</v>
      </c>
      <c r="N892" t="s">
        <v>22</v>
      </c>
      <c r="O892">
        <v>17</v>
      </c>
      <c r="P892">
        <v>3</v>
      </c>
      <c r="Q892">
        <v>1</v>
      </c>
      <c r="R892">
        <v>33</v>
      </c>
      <c r="S892">
        <v>1</v>
      </c>
      <c r="T892">
        <v>5</v>
      </c>
      <c r="U892">
        <v>4</v>
      </c>
    </row>
    <row r="893" spans="1:21" x14ac:dyDescent="0.35">
      <c r="A893">
        <v>44</v>
      </c>
      <c r="B893" t="str" cm="1">
        <f t="array" ref="B893">_xlfn.IFS(A893&gt;40,"Senior",A893&gt;30,"Adult",A893&gt;=18,"Teenager")</f>
        <v>Senior</v>
      </c>
      <c r="C893" t="s">
        <v>22</v>
      </c>
      <c r="D893">
        <f t="shared" si="13"/>
        <v>0</v>
      </c>
      <c r="E893" t="s">
        <v>23</v>
      </c>
      <c r="F893">
        <v>1</v>
      </c>
      <c r="G893" t="s">
        <v>20</v>
      </c>
      <c r="H893">
        <v>4</v>
      </c>
      <c r="I893">
        <v>1</v>
      </c>
      <c r="J893" t="s">
        <v>25</v>
      </c>
      <c r="K893">
        <v>4</v>
      </c>
      <c r="L893">
        <v>2011</v>
      </c>
      <c r="M893" t="str" cm="1">
        <f t="array" ref="M893">_xlfn.IFS(L893&lt;= 7000,"Low",L893&lt;=15000,"Medium",L893&lt;=20000,"High")</f>
        <v>Low</v>
      </c>
      <c r="N893" t="s">
        <v>22</v>
      </c>
      <c r="O893">
        <v>13</v>
      </c>
      <c r="P893">
        <v>3</v>
      </c>
      <c r="Q893">
        <v>4</v>
      </c>
      <c r="R893">
        <v>10</v>
      </c>
      <c r="S893">
        <v>3</v>
      </c>
      <c r="T893">
        <v>10</v>
      </c>
      <c r="U893">
        <v>5</v>
      </c>
    </row>
    <row r="894" spans="1:21" x14ac:dyDescent="0.35">
      <c r="A894">
        <v>19</v>
      </c>
      <c r="B894" t="str" cm="1">
        <f t="array" ref="B894">_xlfn.IFS(A894&gt;40,"Senior",A894&gt;30,"Adult",A894&gt;=18,"Teenager")</f>
        <v>Teenager</v>
      </c>
      <c r="C894" t="s">
        <v>18</v>
      </c>
      <c r="D894">
        <f t="shared" si="13"/>
        <v>1</v>
      </c>
      <c r="E894" t="s">
        <v>23</v>
      </c>
      <c r="F894">
        <v>1</v>
      </c>
      <c r="G894" t="s">
        <v>20</v>
      </c>
      <c r="H894">
        <v>2</v>
      </c>
      <c r="I894">
        <v>1</v>
      </c>
      <c r="J894" t="s">
        <v>25</v>
      </c>
      <c r="K894">
        <v>2</v>
      </c>
      <c r="L894">
        <v>1859</v>
      </c>
      <c r="M894" t="str" cm="1">
        <f t="array" ref="M894">_xlfn.IFS(L894&lt;= 7000,"Low",L894&lt;=15000,"Medium",L894&lt;=20000,"High")</f>
        <v>Low</v>
      </c>
      <c r="N894" t="s">
        <v>18</v>
      </c>
      <c r="O894">
        <v>25</v>
      </c>
      <c r="P894">
        <v>4</v>
      </c>
      <c r="Q894">
        <v>2</v>
      </c>
      <c r="R894">
        <v>1</v>
      </c>
      <c r="S894">
        <v>4</v>
      </c>
      <c r="T894">
        <v>1</v>
      </c>
      <c r="U894">
        <v>1</v>
      </c>
    </row>
    <row r="895" spans="1:21" x14ac:dyDescent="0.35">
      <c r="A895">
        <v>29</v>
      </c>
      <c r="B895" t="str" cm="1">
        <f t="array" ref="B895">_xlfn.IFS(A895&gt;40,"Senior",A895&gt;30,"Adult",A895&gt;=18,"Teenager")</f>
        <v>Teenager</v>
      </c>
      <c r="C895" t="s">
        <v>22</v>
      </c>
      <c r="D895">
        <f t="shared" si="13"/>
        <v>0</v>
      </c>
      <c r="E895" t="s">
        <v>23</v>
      </c>
      <c r="F895">
        <v>1</v>
      </c>
      <c r="G895" t="s">
        <v>20</v>
      </c>
      <c r="H895">
        <v>3</v>
      </c>
      <c r="I895">
        <v>1</v>
      </c>
      <c r="J895" t="s">
        <v>25</v>
      </c>
      <c r="K895">
        <v>4</v>
      </c>
      <c r="L895">
        <v>3760</v>
      </c>
      <c r="M895" t="str" cm="1">
        <f t="array" ref="M895">_xlfn.IFS(L895&lt;= 7000,"Low",L895&lt;=15000,"Medium",L895&lt;=20000,"High")</f>
        <v>Low</v>
      </c>
      <c r="N895" t="s">
        <v>22</v>
      </c>
      <c r="O895">
        <v>15</v>
      </c>
      <c r="P895">
        <v>3</v>
      </c>
      <c r="Q895">
        <v>1</v>
      </c>
      <c r="R895">
        <v>3</v>
      </c>
      <c r="S895">
        <v>3</v>
      </c>
      <c r="T895">
        <v>3</v>
      </c>
      <c r="U895">
        <v>2</v>
      </c>
    </row>
    <row r="896" spans="1:21" x14ac:dyDescent="0.35">
      <c r="A896">
        <v>54</v>
      </c>
      <c r="B896" t="str" cm="1">
        <f t="array" ref="B896">_xlfn.IFS(A896&gt;40,"Senior",A896&gt;30,"Adult",A896&gt;=18,"Teenager")</f>
        <v>Senior</v>
      </c>
      <c r="C896" t="s">
        <v>22</v>
      </c>
      <c r="D896">
        <f t="shared" si="13"/>
        <v>0</v>
      </c>
      <c r="E896" t="s">
        <v>23</v>
      </c>
      <c r="F896">
        <v>4</v>
      </c>
      <c r="G896" t="s">
        <v>24</v>
      </c>
      <c r="H896">
        <v>3</v>
      </c>
      <c r="I896">
        <v>4</v>
      </c>
      <c r="J896" t="s">
        <v>31</v>
      </c>
      <c r="K896">
        <v>4</v>
      </c>
      <c r="L896">
        <v>17779</v>
      </c>
      <c r="M896" t="str" cm="1">
        <f t="array" ref="M896">_xlfn.IFS(L896&lt;= 7000,"Low",L896&lt;=15000,"Medium",L896&lt;=20000,"High")</f>
        <v>High</v>
      </c>
      <c r="N896" t="s">
        <v>22</v>
      </c>
      <c r="O896">
        <v>14</v>
      </c>
      <c r="P896">
        <v>3</v>
      </c>
      <c r="Q896">
        <v>1</v>
      </c>
      <c r="R896">
        <v>36</v>
      </c>
      <c r="S896">
        <v>3</v>
      </c>
      <c r="T896">
        <v>10</v>
      </c>
      <c r="U896">
        <v>9</v>
      </c>
    </row>
    <row r="897" spans="1:21" x14ac:dyDescent="0.35">
      <c r="A897">
        <v>31</v>
      </c>
      <c r="B897" t="str" cm="1">
        <f t="array" ref="B897">_xlfn.IFS(A897&gt;40,"Senior",A897&gt;30,"Adult",A897&gt;=18,"Teenager")</f>
        <v>Adult</v>
      </c>
      <c r="C897" t="s">
        <v>22</v>
      </c>
      <c r="D897">
        <f t="shared" si="13"/>
        <v>0</v>
      </c>
      <c r="E897" t="s">
        <v>23</v>
      </c>
      <c r="F897">
        <v>3</v>
      </c>
      <c r="G897" t="s">
        <v>24</v>
      </c>
      <c r="H897">
        <v>3</v>
      </c>
      <c r="I897">
        <v>2</v>
      </c>
      <c r="J897" t="s">
        <v>28</v>
      </c>
      <c r="K897">
        <v>1</v>
      </c>
      <c r="L897">
        <v>6833</v>
      </c>
      <c r="M897" t="str" cm="1">
        <f t="array" ref="M897">_xlfn.IFS(L897&lt;= 7000,"Low",L897&lt;=15000,"Medium",L897&lt;=20000,"High")</f>
        <v>Low</v>
      </c>
      <c r="N897" t="s">
        <v>18</v>
      </c>
      <c r="O897">
        <v>12</v>
      </c>
      <c r="P897">
        <v>3</v>
      </c>
      <c r="Q897">
        <v>4</v>
      </c>
      <c r="R897">
        <v>6</v>
      </c>
      <c r="S897">
        <v>2</v>
      </c>
      <c r="T897">
        <v>6</v>
      </c>
      <c r="U897">
        <v>5</v>
      </c>
    </row>
    <row r="898" spans="1:21" x14ac:dyDescent="0.35">
      <c r="A898">
        <v>31</v>
      </c>
      <c r="B898" t="str" cm="1">
        <f t="array" ref="B898">_xlfn.IFS(A898&gt;40,"Senior",A898&gt;30,"Adult",A898&gt;=18,"Teenager")</f>
        <v>Adult</v>
      </c>
      <c r="C898" t="s">
        <v>22</v>
      </c>
      <c r="D898">
        <f t="shared" si="13"/>
        <v>0</v>
      </c>
      <c r="E898" t="s">
        <v>23</v>
      </c>
      <c r="F898">
        <v>3</v>
      </c>
      <c r="G898" t="s">
        <v>20</v>
      </c>
      <c r="H898">
        <v>2</v>
      </c>
      <c r="I898">
        <v>2</v>
      </c>
      <c r="J898" t="s">
        <v>28</v>
      </c>
      <c r="K898">
        <v>1</v>
      </c>
      <c r="L898">
        <v>6812</v>
      </c>
      <c r="M898" t="str" cm="1">
        <f t="array" ref="M898">_xlfn.IFS(L898&lt;= 7000,"Low",L898&lt;=15000,"Medium",L898&lt;=20000,"High")</f>
        <v>Low</v>
      </c>
      <c r="N898" t="s">
        <v>22</v>
      </c>
      <c r="O898">
        <v>19</v>
      </c>
      <c r="P898">
        <v>3</v>
      </c>
      <c r="Q898">
        <v>2</v>
      </c>
      <c r="R898">
        <v>10</v>
      </c>
      <c r="S898">
        <v>3</v>
      </c>
      <c r="T898">
        <v>10</v>
      </c>
      <c r="U898">
        <v>9</v>
      </c>
    </row>
    <row r="899" spans="1:21" x14ac:dyDescent="0.35">
      <c r="A899">
        <v>59</v>
      </c>
      <c r="B899" t="str" cm="1">
        <f t="array" ref="B899">_xlfn.IFS(A899&gt;40,"Senior",A899&gt;30,"Adult",A899&gt;=18,"Teenager")</f>
        <v>Senior</v>
      </c>
      <c r="C899" t="s">
        <v>22</v>
      </c>
      <c r="D899">
        <f t="shared" ref="D899:D962" si="14">IF(C899="Yes",1,0)</f>
        <v>0</v>
      </c>
      <c r="E899" t="s">
        <v>19</v>
      </c>
      <c r="F899">
        <v>3</v>
      </c>
      <c r="G899" t="s">
        <v>20</v>
      </c>
      <c r="H899">
        <v>2</v>
      </c>
      <c r="I899">
        <v>2</v>
      </c>
      <c r="J899" t="s">
        <v>21</v>
      </c>
      <c r="K899">
        <v>4</v>
      </c>
      <c r="L899">
        <v>5171</v>
      </c>
      <c r="M899" t="str" cm="1">
        <f t="array" ref="M899">_xlfn.IFS(L899&lt;= 7000,"Low",L899&lt;=15000,"Medium",L899&lt;=20000,"High")</f>
        <v>Low</v>
      </c>
      <c r="N899" t="s">
        <v>22</v>
      </c>
      <c r="O899">
        <v>17</v>
      </c>
      <c r="P899">
        <v>3</v>
      </c>
      <c r="Q899">
        <v>4</v>
      </c>
      <c r="R899">
        <v>13</v>
      </c>
      <c r="S899">
        <v>3</v>
      </c>
      <c r="T899">
        <v>6</v>
      </c>
      <c r="U899">
        <v>1</v>
      </c>
    </row>
    <row r="900" spans="1:21" x14ac:dyDescent="0.35">
      <c r="A900">
        <v>43</v>
      </c>
      <c r="B900" t="str" cm="1">
        <f t="array" ref="B900">_xlfn.IFS(A900&gt;40,"Senior",A900&gt;30,"Adult",A900&gt;=18,"Teenager")</f>
        <v>Senior</v>
      </c>
      <c r="C900" t="s">
        <v>22</v>
      </c>
      <c r="D900">
        <f t="shared" si="14"/>
        <v>0</v>
      </c>
      <c r="E900" t="s">
        <v>23</v>
      </c>
      <c r="F900">
        <v>3</v>
      </c>
      <c r="G900" t="s">
        <v>24</v>
      </c>
      <c r="H900">
        <v>1</v>
      </c>
      <c r="I900">
        <v>5</v>
      </c>
      <c r="J900" t="s">
        <v>31</v>
      </c>
      <c r="K900">
        <v>4</v>
      </c>
      <c r="L900">
        <v>19740</v>
      </c>
      <c r="M900" t="str" cm="1">
        <f t="array" ref="M900">_xlfn.IFS(L900&lt;= 7000,"Low",L900&lt;=15000,"Medium",L900&lt;=20000,"High")</f>
        <v>High</v>
      </c>
      <c r="N900" t="s">
        <v>22</v>
      </c>
      <c r="O900">
        <v>14</v>
      </c>
      <c r="P900">
        <v>3</v>
      </c>
      <c r="Q900">
        <v>2</v>
      </c>
      <c r="R900">
        <v>25</v>
      </c>
      <c r="S900">
        <v>3</v>
      </c>
      <c r="T900">
        <v>8</v>
      </c>
      <c r="U900">
        <v>7</v>
      </c>
    </row>
    <row r="901" spans="1:21" x14ac:dyDescent="0.35">
      <c r="A901">
        <v>49</v>
      </c>
      <c r="B901" t="str" cm="1">
        <f t="array" ref="B901">_xlfn.IFS(A901&gt;40,"Senior",A901&gt;30,"Adult",A901&gt;=18,"Teenager")</f>
        <v>Senior</v>
      </c>
      <c r="C901" t="s">
        <v>22</v>
      </c>
      <c r="D901">
        <f t="shared" si="14"/>
        <v>0</v>
      </c>
      <c r="E901" t="s">
        <v>23</v>
      </c>
      <c r="F901">
        <v>1</v>
      </c>
      <c r="G901" t="s">
        <v>24</v>
      </c>
      <c r="H901">
        <v>2</v>
      </c>
      <c r="I901">
        <v>5</v>
      </c>
      <c r="J901" t="s">
        <v>29</v>
      </c>
      <c r="K901">
        <v>3</v>
      </c>
      <c r="L901">
        <v>18711</v>
      </c>
      <c r="M901" t="str" cm="1">
        <f t="array" ref="M901">_xlfn.IFS(L901&lt;= 7000,"Low",L901&lt;=15000,"Medium",L901&lt;=20000,"High")</f>
        <v>High</v>
      </c>
      <c r="N901" t="s">
        <v>22</v>
      </c>
      <c r="O901">
        <v>13</v>
      </c>
      <c r="P901">
        <v>3</v>
      </c>
      <c r="Q901">
        <v>3</v>
      </c>
      <c r="R901">
        <v>23</v>
      </c>
      <c r="S901">
        <v>4</v>
      </c>
      <c r="T901">
        <v>1</v>
      </c>
      <c r="U901">
        <v>0</v>
      </c>
    </row>
    <row r="902" spans="1:21" x14ac:dyDescent="0.35">
      <c r="A902">
        <v>36</v>
      </c>
      <c r="B902" t="str" cm="1">
        <f t="array" ref="B902">_xlfn.IFS(A902&gt;40,"Senior",A902&gt;30,"Adult",A902&gt;=18,"Teenager")</f>
        <v>Adult</v>
      </c>
      <c r="C902" t="s">
        <v>22</v>
      </c>
      <c r="D902">
        <f t="shared" si="14"/>
        <v>0</v>
      </c>
      <c r="E902" t="s">
        <v>23</v>
      </c>
      <c r="F902">
        <v>3</v>
      </c>
      <c r="G902" t="s">
        <v>24</v>
      </c>
      <c r="H902">
        <v>3</v>
      </c>
      <c r="I902">
        <v>1</v>
      </c>
      <c r="J902" t="s">
        <v>25</v>
      </c>
      <c r="K902">
        <v>2</v>
      </c>
      <c r="L902">
        <v>3692</v>
      </c>
      <c r="M902" t="str" cm="1">
        <f t="array" ref="M902">_xlfn.IFS(L902&lt;= 7000,"Low",L902&lt;=15000,"Medium",L902&lt;=20000,"High")</f>
        <v>Low</v>
      </c>
      <c r="N902" t="s">
        <v>22</v>
      </c>
      <c r="O902">
        <v>12</v>
      </c>
      <c r="P902">
        <v>3</v>
      </c>
      <c r="Q902">
        <v>3</v>
      </c>
      <c r="R902">
        <v>12</v>
      </c>
      <c r="S902">
        <v>2</v>
      </c>
      <c r="T902">
        <v>11</v>
      </c>
      <c r="U902">
        <v>10</v>
      </c>
    </row>
    <row r="903" spans="1:21" x14ac:dyDescent="0.35">
      <c r="A903">
        <v>48</v>
      </c>
      <c r="B903" t="str" cm="1">
        <f t="array" ref="B903">_xlfn.IFS(A903&gt;40,"Senior",A903&gt;30,"Adult",A903&gt;=18,"Teenager")</f>
        <v>Senior</v>
      </c>
      <c r="C903" t="s">
        <v>22</v>
      </c>
      <c r="D903">
        <f t="shared" si="14"/>
        <v>0</v>
      </c>
      <c r="E903" t="s">
        <v>23</v>
      </c>
      <c r="F903">
        <v>4</v>
      </c>
      <c r="G903" t="s">
        <v>24</v>
      </c>
      <c r="H903">
        <v>4</v>
      </c>
      <c r="I903">
        <v>1</v>
      </c>
      <c r="J903" t="s">
        <v>26</v>
      </c>
      <c r="K903">
        <v>2</v>
      </c>
      <c r="L903">
        <v>2559</v>
      </c>
      <c r="M903" t="str" cm="1">
        <f t="array" ref="M903">_xlfn.IFS(L903&lt;= 7000,"Low",L903&lt;=15000,"Medium",L903&lt;=20000,"High")</f>
        <v>Low</v>
      </c>
      <c r="N903" t="s">
        <v>22</v>
      </c>
      <c r="O903">
        <v>11</v>
      </c>
      <c r="P903">
        <v>3</v>
      </c>
      <c r="Q903">
        <v>3</v>
      </c>
      <c r="R903">
        <v>7</v>
      </c>
      <c r="S903">
        <v>2</v>
      </c>
      <c r="T903">
        <v>1</v>
      </c>
      <c r="U903">
        <v>0</v>
      </c>
    </row>
    <row r="904" spans="1:21" x14ac:dyDescent="0.35">
      <c r="A904">
        <v>27</v>
      </c>
      <c r="B904" t="str" cm="1">
        <f t="array" ref="B904">_xlfn.IFS(A904&gt;40,"Senior",A904&gt;30,"Adult",A904&gt;=18,"Teenager")</f>
        <v>Teenager</v>
      </c>
      <c r="C904" t="s">
        <v>22</v>
      </c>
      <c r="D904">
        <f t="shared" si="14"/>
        <v>0</v>
      </c>
      <c r="E904" t="s">
        <v>23</v>
      </c>
      <c r="F904">
        <v>1</v>
      </c>
      <c r="G904" t="s">
        <v>24</v>
      </c>
      <c r="H904">
        <v>3</v>
      </c>
      <c r="I904">
        <v>1</v>
      </c>
      <c r="J904" t="s">
        <v>25</v>
      </c>
      <c r="K904">
        <v>3</v>
      </c>
      <c r="L904">
        <v>2517</v>
      </c>
      <c r="M904" t="str" cm="1">
        <f t="array" ref="M904">_xlfn.IFS(L904&lt;= 7000,"Low",L904&lt;=15000,"Medium",L904&lt;=20000,"High")</f>
        <v>Low</v>
      </c>
      <c r="N904" t="s">
        <v>22</v>
      </c>
      <c r="O904">
        <v>11</v>
      </c>
      <c r="P904">
        <v>3</v>
      </c>
      <c r="Q904">
        <v>2</v>
      </c>
      <c r="R904">
        <v>5</v>
      </c>
      <c r="S904">
        <v>3</v>
      </c>
      <c r="T904">
        <v>5</v>
      </c>
      <c r="U904">
        <v>3</v>
      </c>
    </row>
    <row r="905" spans="1:21" x14ac:dyDescent="0.35">
      <c r="A905">
        <v>29</v>
      </c>
      <c r="B905" t="str" cm="1">
        <f t="array" ref="B905">_xlfn.IFS(A905&gt;40,"Senior",A905&gt;30,"Adult",A905&gt;=18,"Teenager")</f>
        <v>Teenager</v>
      </c>
      <c r="C905" t="s">
        <v>22</v>
      </c>
      <c r="D905">
        <f t="shared" si="14"/>
        <v>0</v>
      </c>
      <c r="E905" t="s">
        <v>23</v>
      </c>
      <c r="F905">
        <v>3</v>
      </c>
      <c r="G905" t="s">
        <v>24</v>
      </c>
      <c r="H905">
        <v>3</v>
      </c>
      <c r="I905">
        <v>2</v>
      </c>
      <c r="J905" t="s">
        <v>28</v>
      </c>
      <c r="K905">
        <v>4</v>
      </c>
      <c r="L905">
        <v>6623</v>
      </c>
      <c r="M905" t="str" cm="1">
        <f t="array" ref="M905">_xlfn.IFS(L905&lt;= 7000,"Low",L905&lt;=15000,"Medium",L905&lt;=20000,"High")</f>
        <v>Low</v>
      </c>
      <c r="N905" t="s">
        <v>18</v>
      </c>
      <c r="O905">
        <v>11</v>
      </c>
      <c r="P905">
        <v>3</v>
      </c>
      <c r="Q905">
        <v>2</v>
      </c>
      <c r="R905">
        <v>6</v>
      </c>
      <c r="S905">
        <v>3</v>
      </c>
      <c r="T905">
        <v>6</v>
      </c>
      <c r="U905">
        <v>0</v>
      </c>
    </row>
    <row r="906" spans="1:21" x14ac:dyDescent="0.35">
      <c r="A906">
        <v>48</v>
      </c>
      <c r="B906" t="str" cm="1">
        <f t="array" ref="B906">_xlfn.IFS(A906&gt;40,"Senior",A906&gt;30,"Adult",A906&gt;=18,"Teenager")</f>
        <v>Senior</v>
      </c>
      <c r="C906" t="s">
        <v>22</v>
      </c>
      <c r="D906">
        <f t="shared" si="14"/>
        <v>0</v>
      </c>
      <c r="E906" t="s">
        <v>23</v>
      </c>
      <c r="F906">
        <v>4</v>
      </c>
      <c r="G906" t="s">
        <v>24</v>
      </c>
      <c r="H906">
        <v>2</v>
      </c>
      <c r="I906">
        <v>5</v>
      </c>
      <c r="J906" t="s">
        <v>31</v>
      </c>
      <c r="K906">
        <v>4</v>
      </c>
      <c r="L906">
        <v>18265</v>
      </c>
      <c r="M906" t="str" cm="1">
        <f t="array" ref="M906">_xlfn.IFS(L906&lt;= 7000,"Low",L906&lt;=15000,"Medium",L906&lt;=20000,"High")</f>
        <v>High</v>
      </c>
      <c r="N906" t="s">
        <v>22</v>
      </c>
      <c r="O906">
        <v>12</v>
      </c>
      <c r="P906">
        <v>3</v>
      </c>
      <c r="Q906">
        <v>3</v>
      </c>
      <c r="R906">
        <v>25</v>
      </c>
      <c r="S906">
        <v>4</v>
      </c>
      <c r="T906">
        <v>1</v>
      </c>
      <c r="U906">
        <v>0</v>
      </c>
    </row>
    <row r="907" spans="1:21" x14ac:dyDescent="0.35">
      <c r="A907">
        <v>29</v>
      </c>
      <c r="B907" t="str" cm="1">
        <f t="array" ref="B907">_xlfn.IFS(A907&gt;40,"Senior",A907&gt;30,"Adult",A907&gt;=18,"Teenager")</f>
        <v>Teenager</v>
      </c>
      <c r="C907" t="s">
        <v>22</v>
      </c>
      <c r="D907">
        <f t="shared" si="14"/>
        <v>0</v>
      </c>
      <c r="E907" t="s">
        <v>23</v>
      </c>
      <c r="F907">
        <v>4</v>
      </c>
      <c r="G907" t="s">
        <v>20</v>
      </c>
      <c r="H907">
        <v>2</v>
      </c>
      <c r="I907">
        <v>4</v>
      </c>
      <c r="J907" t="s">
        <v>31</v>
      </c>
      <c r="K907">
        <v>4</v>
      </c>
      <c r="L907">
        <v>16124</v>
      </c>
      <c r="M907" t="str" cm="1">
        <f t="array" ref="M907">_xlfn.IFS(L907&lt;= 7000,"Low",L907&lt;=15000,"Medium",L907&lt;=20000,"High")</f>
        <v>High</v>
      </c>
      <c r="N907" t="s">
        <v>22</v>
      </c>
      <c r="O907">
        <v>14</v>
      </c>
      <c r="P907">
        <v>3</v>
      </c>
      <c r="Q907">
        <v>2</v>
      </c>
      <c r="R907">
        <v>9</v>
      </c>
      <c r="S907">
        <v>2</v>
      </c>
      <c r="T907">
        <v>7</v>
      </c>
      <c r="U907">
        <v>7</v>
      </c>
    </row>
    <row r="908" spans="1:21" x14ac:dyDescent="0.35">
      <c r="A908">
        <v>34</v>
      </c>
      <c r="B908" t="str" cm="1">
        <f t="array" ref="B908">_xlfn.IFS(A908&gt;40,"Senior",A908&gt;30,"Adult",A908&gt;=18,"Teenager")</f>
        <v>Adult</v>
      </c>
      <c r="C908" t="s">
        <v>22</v>
      </c>
      <c r="D908">
        <f t="shared" si="14"/>
        <v>0</v>
      </c>
      <c r="E908" t="s">
        <v>23</v>
      </c>
      <c r="F908">
        <v>3</v>
      </c>
      <c r="G908" t="s">
        <v>20</v>
      </c>
      <c r="H908">
        <v>4</v>
      </c>
      <c r="I908">
        <v>1</v>
      </c>
      <c r="J908" t="s">
        <v>25</v>
      </c>
      <c r="K908">
        <v>3</v>
      </c>
      <c r="L908">
        <v>2585</v>
      </c>
      <c r="M908" t="str" cm="1">
        <f t="array" ref="M908">_xlfn.IFS(L908&lt;= 7000,"Low",L908&lt;=15000,"Medium",L908&lt;=20000,"High")</f>
        <v>Low</v>
      </c>
      <c r="N908" t="s">
        <v>22</v>
      </c>
      <c r="O908">
        <v>17</v>
      </c>
      <c r="P908">
        <v>3</v>
      </c>
      <c r="Q908">
        <v>4</v>
      </c>
      <c r="R908">
        <v>2</v>
      </c>
      <c r="S908">
        <v>2</v>
      </c>
      <c r="T908">
        <v>1</v>
      </c>
      <c r="U908">
        <v>0</v>
      </c>
    </row>
    <row r="909" spans="1:21" x14ac:dyDescent="0.35">
      <c r="A909">
        <v>44</v>
      </c>
      <c r="B909" t="str" cm="1">
        <f t="array" ref="B909">_xlfn.IFS(A909&gt;40,"Senior",A909&gt;30,"Adult",A909&gt;=18,"Teenager")</f>
        <v>Senior</v>
      </c>
      <c r="C909" t="s">
        <v>22</v>
      </c>
      <c r="D909">
        <f t="shared" si="14"/>
        <v>0</v>
      </c>
      <c r="E909" t="s">
        <v>19</v>
      </c>
      <c r="F909">
        <v>2</v>
      </c>
      <c r="G909" t="s">
        <v>24</v>
      </c>
      <c r="H909">
        <v>3</v>
      </c>
      <c r="I909">
        <v>5</v>
      </c>
      <c r="J909" t="s">
        <v>29</v>
      </c>
      <c r="K909">
        <v>2</v>
      </c>
      <c r="L909">
        <v>18213</v>
      </c>
      <c r="M909" t="str" cm="1">
        <f t="array" ref="M909">_xlfn.IFS(L909&lt;= 7000,"Low",L909&lt;=15000,"Medium",L909&lt;=20000,"High")</f>
        <v>High</v>
      </c>
      <c r="N909" t="s">
        <v>22</v>
      </c>
      <c r="O909">
        <v>11</v>
      </c>
      <c r="P909">
        <v>3</v>
      </c>
      <c r="Q909">
        <v>3</v>
      </c>
      <c r="R909">
        <v>26</v>
      </c>
      <c r="S909">
        <v>3</v>
      </c>
      <c r="T909">
        <v>22</v>
      </c>
      <c r="U909">
        <v>9</v>
      </c>
    </row>
    <row r="910" spans="1:21" x14ac:dyDescent="0.35">
      <c r="A910">
        <v>33</v>
      </c>
      <c r="B910" t="str" cm="1">
        <f t="array" ref="B910">_xlfn.IFS(A910&gt;40,"Senior",A910&gt;30,"Adult",A910&gt;=18,"Teenager")</f>
        <v>Adult</v>
      </c>
      <c r="C910" t="s">
        <v>22</v>
      </c>
      <c r="D910">
        <f t="shared" si="14"/>
        <v>0</v>
      </c>
      <c r="E910" t="s">
        <v>19</v>
      </c>
      <c r="F910">
        <v>4</v>
      </c>
      <c r="G910" t="s">
        <v>24</v>
      </c>
      <c r="H910">
        <v>4</v>
      </c>
      <c r="I910">
        <v>3</v>
      </c>
      <c r="J910" t="s">
        <v>21</v>
      </c>
      <c r="K910">
        <v>3</v>
      </c>
      <c r="L910">
        <v>8380</v>
      </c>
      <c r="M910" t="str" cm="1">
        <f t="array" ref="M910">_xlfn.IFS(L910&lt;= 7000,"Low",L910&lt;=15000,"Medium",L910&lt;=20000,"High")</f>
        <v>Medium</v>
      </c>
      <c r="N910" t="s">
        <v>18</v>
      </c>
      <c r="O910">
        <v>14</v>
      </c>
      <c r="P910">
        <v>3</v>
      </c>
      <c r="Q910">
        <v>4</v>
      </c>
      <c r="R910">
        <v>10</v>
      </c>
      <c r="S910">
        <v>3</v>
      </c>
      <c r="T910">
        <v>9</v>
      </c>
      <c r="U910">
        <v>8</v>
      </c>
    </row>
    <row r="911" spans="1:21" x14ac:dyDescent="0.35">
      <c r="A911">
        <v>19</v>
      </c>
      <c r="B911" t="str" cm="1">
        <f t="array" ref="B911">_xlfn.IFS(A911&gt;40,"Senior",A911&gt;30,"Adult",A911&gt;=18,"Teenager")</f>
        <v>Teenager</v>
      </c>
      <c r="C911" t="s">
        <v>22</v>
      </c>
      <c r="D911">
        <f t="shared" si="14"/>
        <v>0</v>
      </c>
      <c r="E911" t="s">
        <v>23</v>
      </c>
      <c r="F911">
        <v>2</v>
      </c>
      <c r="G911" t="s">
        <v>20</v>
      </c>
      <c r="H911">
        <v>4</v>
      </c>
      <c r="I911">
        <v>1</v>
      </c>
      <c r="J911" t="s">
        <v>25</v>
      </c>
      <c r="K911">
        <v>4</v>
      </c>
      <c r="L911">
        <v>2994</v>
      </c>
      <c r="M911" t="str" cm="1">
        <f t="array" ref="M911">_xlfn.IFS(L911&lt;= 7000,"Low",L911&lt;=15000,"Medium",L911&lt;=20000,"High")</f>
        <v>Low</v>
      </c>
      <c r="N911" t="s">
        <v>18</v>
      </c>
      <c r="O911">
        <v>12</v>
      </c>
      <c r="P911">
        <v>3</v>
      </c>
      <c r="Q911">
        <v>4</v>
      </c>
      <c r="R911">
        <v>1</v>
      </c>
      <c r="S911">
        <v>3</v>
      </c>
      <c r="T911">
        <v>1</v>
      </c>
      <c r="U911">
        <v>0</v>
      </c>
    </row>
    <row r="912" spans="1:21" x14ac:dyDescent="0.35">
      <c r="A912">
        <v>23</v>
      </c>
      <c r="B912" t="str" cm="1">
        <f t="array" ref="B912">_xlfn.IFS(A912&gt;40,"Senior",A912&gt;30,"Adult",A912&gt;=18,"Teenager")</f>
        <v>Teenager</v>
      </c>
      <c r="C912" t="s">
        <v>22</v>
      </c>
      <c r="D912">
        <f t="shared" si="14"/>
        <v>0</v>
      </c>
      <c r="E912" t="s">
        <v>23</v>
      </c>
      <c r="F912">
        <v>4</v>
      </c>
      <c r="G912" t="s">
        <v>24</v>
      </c>
      <c r="H912">
        <v>3</v>
      </c>
      <c r="I912">
        <v>1</v>
      </c>
      <c r="J912" t="s">
        <v>25</v>
      </c>
      <c r="K912">
        <v>3</v>
      </c>
      <c r="L912">
        <v>1223</v>
      </c>
      <c r="M912" t="str" cm="1">
        <f t="array" ref="M912">_xlfn.IFS(L912&lt;= 7000,"Low",L912&lt;=15000,"Medium",L912&lt;=20000,"High")</f>
        <v>Low</v>
      </c>
      <c r="N912" t="s">
        <v>22</v>
      </c>
      <c r="O912">
        <v>22</v>
      </c>
      <c r="P912">
        <v>4</v>
      </c>
      <c r="Q912">
        <v>4</v>
      </c>
      <c r="R912">
        <v>1</v>
      </c>
      <c r="S912">
        <v>3</v>
      </c>
      <c r="T912">
        <v>1</v>
      </c>
      <c r="U912">
        <v>0</v>
      </c>
    </row>
    <row r="913" spans="1:21" x14ac:dyDescent="0.35">
      <c r="A913">
        <v>25</v>
      </c>
      <c r="B913" t="str" cm="1">
        <f t="array" ref="B913">_xlfn.IFS(A913&gt;40,"Senior",A913&gt;30,"Adult",A913&gt;=18,"Teenager")</f>
        <v>Teenager</v>
      </c>
      <c r="C913" t="s">
        <v>18</v>
      </c>
      <c r="D913">
        <f t="shared" si="14"/>
        <v>1</v>
      </c>
      <c r="E913" t="s">
        <v>19</v>
      </c>
      <c r="F913">
        <v>3</v>
      </c>
      <c r="G913" t="s">
        <v>24</v>
      </c>
      <c r="H913">
        <v>1</v>
      </c>
      <c r="I913">
        <v>1</v>
      </c>
      <c r="J913" t="s">
        <v>30</v>
      </c>
      <c r="K913">
        <v>4</v>
      </c>
      <c r="L913">
        <v>1118</v>
      </c>
      <c r="M913" t="str" cm="1">
        <f t="array" ref="M913">_xlfn.IFS(L913&lt;= 7000,"Low",L913&lt;=15000,"Medium",L913&lt;=20000,"High")</f>
        <v>Low</v>
      </c>
      <c r="N913" t="s">
        <v>18</v>
      </c>
      <c r="O913">
        <v>14</v>
      </c>
      <c r="P913">
        <v>3</v>
      </c>
      <c r="Q913">
        <v>4</v>
      </c>
      <c r="R913">
        <v>1</v>
      </c>
      <c r="S913">
        <v>3</v>
      </c>
      <c r="T913">
        <v>1</v>
      </c>
      <c r="U913">
        <v>0</v>
      </c>
    </row>
    <row r="914" spans="1:21" x14ac:dyDescent="0.35">
      <c r="A914">
        <v>26</v>
      </c>
      <c r="B914" t="str" cm="1">
        <f t="array" ref="B914">_xlfn.IFS(A914&gt;40,"Senior",A914&gt;30,"Adult",A914&gt;=18,"Teenager")</f>
        <v>Teenager</v>
      </c>
      <c r="C914" t="s">
        <v>22</v>
      </c>
      <c r="D914">
        <f t="shared" si="14"/>
        <v>0</v>
      </c>
      <c r="E914" t="s">
        <v>23</v>
      </c>
      <c r="F914">
        <v>3</v>
      </c>
      <c r="G914" t="s">
        <v>24</v>
      </c>
      <c r="H914">
        <v>3</v>
      </c>
      <c r="I914">
        <v>1</v>
      </c>
      <c r="J914" t="s">
        <v>25</v>
      </c>
      <c r="K914">
        <v>4</v>
      </c>
      <c r="L914">
        <v>2875</v>
      </c>
      <c r="M914" t="str" cm="1">
        <f t="array" ref="M914">_xlfn.IFS(L914&lt;= 7000,"Low",L914&lt;=15000,"Medium",L914&lt;=20000,"High")</f>
        <v>Low</v>
      </c>
      <c r="N914" t="s">
        <v>18</v>
      </c>
      <c r="O914">
        <v>20</v>
      </c>
      <c r="P914">
        <v>4</v>
      </c>
      <c r="Q914">
        <v>2</v>
      </c>
      <c r="R914">
        <v>8</v>
      </c>
      <c r="S914">
        <v>2</v>
      </c>
      <c r="T914">
        <v>8</v>
      </c>
      <c r="U914">
        <v>5</v>
      </c>
    </row>
    <row r="915" spans="1:21" x14ac:dyDescent="0.35">
      <c r="A915">
        <v>45</v>
      </c>
      <c r="B915" t="str" cm="1">
        <f t="array" ref="B915">_xlfn.IFS(A915&gt;40,"Senior",A915&gt;30,"Adult",A915&gt;=18,"Teenager")</f>
        <v>Senior</v>
      </c>
      <c r="C915" t="s">
        <v>18</v>
      </c>
      <c r="D915">
        <f t="shared" si="14"/>
        <v>1</v>
      </c>
      <c r="E915" t="s">
        <v>19</v>
      </c>
      <c r="F915">
        <v>1</v>
      </c>
      <c r="G915" t="s">
        <v>20</v>
      </c>
      <c r="H915">
        <v>1</v>
      </c>
      <c r="I915">
        <v>5</v>
      </c>
      <c r="J915" t="s">
        <v>29</v>
      </c>
      <c r="K915">
        <v>2</v>
      </c>
      <c r="L915">
        <v>18824</v>
      </c>
      <c r="M915" t="str" cm="1">
        <f t="array" ref="M915">_xlfn.IFS(L915&lt;= 7000,"Low",L915&lt;=15000,"Medium",L915&lt;=20000,"High")</f>
        <v>High</v>
      </c>
      <c r="N915" t="s">
        <v>18</v>
      </c>
      <c r="O915">
        <v>16</v>
      </c>
      <c r="P915">
        <v>3</v>
      </c>
      <c r="Q915">
        <v>1</v>
      </c>
      <c r="R915">
        <v>26</v>
      </c>
      <c r="S915">
        <v>3</v>
      </c>
      <c r="T915">
        <v>24</v>
      </c>
      <c r="U915">
        <v>10</v>
      </c>
    </row>
    <row r="916" spans="1:21" x14ac:dyDescent="0.35">
      <c r="A916">
        <v>55</v>
      </c>
      <c r="B916" t="str" cm="1">
        <f t="array" ref="B916">_xlfn.IFS(A916&gt;40,"Senior",A916&gt;30,"Adult",A916&gt;=18,"Teenager")</f>
        <v>Senior</v>
      </c>
      <c r="C916" t="s">
        <v>22</v>
      </c>
      <c r="D916">
        <f t="shared" si="14"/>
        <v>0</v>
      </c>
      <c r="E916" t="s">
        <v>23</v>
      </c>
      <c r="F916">
        <v>4</v>
      </c>
      <c r="G916" t="s">
        <v>24</v>
      </c>
      <c r="H916">
        <v>2</v>
      </c>
      <c r="I916">
        <v>4</v>
      </c>
      <c r="J916" t="s">
        <v>28</v>
      </c>
      <c r="K916">
        <v>2</v>
      </c>
      <c r="L916">
        <v>13577</v>
      </c>
      <c r="M916" t="str" cm="1">
        <f t="array" ref="M916">_xlfn.IFS(L916&lt;= 7000,"Low",L916&lt;=15000,"Medium",L916&lt;=20000,"High")</f>
        <v>Medium</v>
      </c>
      <c r="N916" t="s">
        <v>18</v>
      </c>
      <c r="O916">
        <v>15</v>
      </c>
      <c r="P916">
        <v>3</v>
      </c>
      <c r="Q916">
        <v>4</v>
      </c>
      <c r="R916">
        <v>34</v>
      </c>
      <c r="S916">
        <v>3</v>
      </c>
      <c r="T916">
        <v>33</v>
      </c>
      <c r="U916">
        <v>9</v>
      </c>
    </row>
    <row r="917" spans="1:21" x14ac:dyDescent="0.35">
      <c r="A917">
        <v>21</v>
      </c>
      <c r="B917" t="str" cm="1">
        <f t="array" ref="B917">_xlfn.IFS(A917&gt;40,"Senior",A917&gt;30,"Adult",A917&gt;=18,"Teenager")</f>
        <v>Teenager</v>
      </c>
      <c r="C917" t="s">
        <v>18</v>
      </c>
      <c r="D917">
        <f t="shared" si="14"/>
        <v>1</v>
      </c>
      <c r="E917" t="s">
        <v>23</v>
      </c>
      <c r="F917">
        <v>1</v>
      </c>
      <c r="G917" t="s">
        <v>20</v>
      </c>
      <c r="H917">
        <v>2</v>
      </c>
      <c r="I917">
        <v>1</v>
      </c>
      <c r="J917" t="s">
        <v>26</v>
      </c>
      <c r="K917">
        <v>3</v>
      </c>
      <c r="L917">
        <v>2625</v>
      </c>
      <c r="M917" t="str" cm="1">
        <f t="array" ref="M917">_xlfn.IFS(L917&lt;= 7000,"Low",L917&lt;=15000,"Medium",L917&lt;=20000,"High")</f>
        <v>Low</v>
      </c>
      <c r="N917" t="s">
        <v>22</v>
      </c>
      <c r="O917">
        <v>20</v>
      </c>
      <c r="P917">
        <v>4</v>
      </c>
      <c r="Q917">
        <v>3</v>
      </c>
      <c r="R917">
        <v>2</v>
      </c>
      <c r="S917">
        <v>1</v>
      </c>
      <c r="T917">
        <v>2</v>
      </c>
      <c r="U917">
        <v>2</v>
      </c>
    </row>
    <row r="918" spans="1:21" x14ac:dyDescent="0.35">
      <c r="A918">
        <v>46</v>
      </c>
      <c r="B918" t="str" cm="1">
        <f t="array" ref="B918">_xlfn.IFS(A918&gt;40,"Senior",A918&gt;30,"Adult",A918&gt;=18,"Teenager")</f>
        <v>Senior</v>
      </c>
      <c r="C918" t="s">
        <v>22</v>
      </c>
      <c r="D918">
        <f t="shared" si="14"/>
        <v>0</v>
      </c>
      <c r="E918" t="s">
        <v>19</v>
      </c>
      <c r="F918">
        <v>4</v>
      </c>
      <c r="G918" t="s">
        <v>20</v>
      </c>
      <c r="H918">
        <v>2</v>
      </c>
      <c r="I918">
        <v>5</v>
      </c>
      <c r="J918" t="s">
        <v>29</v>
      </c>
      <c r="K918">
        <v>2</v>
      </c>
      <c r="L918">
        <v>18789</v>
      </c>
      <c r="M918" t="str" cm="1">
        <f t="array" ref="M918">_xlfn.IFS(L918&lt;= 7000,"Low",L918&lt;=15000,"Medium",L918&lt;=20000,"High")</f>
        <v>High</v>
      </c>
      <c r="N918" t="s">
        <v>22</v>
      </c>
      <c r="O918">
        <v>14</v>
      </c>
      <c r="P918">
        <v>3</v>
      </c>
      <c r="Q918">
        <v>3</v>
      </c>
      <c r="R918">
        <v>26</v>
      </c>
      <c r="S918">
        <v>3</v>
      </c>
      <c r="T918">
        <v>11</v>
      </c>
      <c r="U918">
        <v>4</v>
      </c>
    </row>
    <row r="919" spans="1:21" x14ac:dyDescent="0.35">
      <c r="A919">
        <v>34</v>
      </c>
      <c r="B919" t="str" cm="1">
        <f t="array" ref="B919">_xlfn.IFS(A919&gt;40,"Senior",A919&gt;30,"Adult",A919&gt;=18,"Teenager")</f>
        <v>Adult</v>
      </c>
      <c r="C919" t="s">
        <v>22</v>
      </c>
      <c r="D919">
        <f t="shared" si="14"/>
        <v>0</v>
      </c>
      <c r="E919" t="s">
        <v>19</v>
      </c>
      <c r="F919">
        <v>3</v>
      </c>
      <c r="G919" t="s">
        <v>20</v>
      </c>
      <c r="H919">
        <v>3</v>
      </c>
      <c r="I919">
        <v>2</v>
      </c>
      <c r="J919" t="s">
        <v>21</v>
      </c>
      <c r="K919">
        <v>1</v>
      </c>
      <c r="L919">
        <v>4538</v>
      </c>
      <c r="M919" t="str" cm="1">
        <f t="array" ref="M919">_xlfn.IFS(L919&lt;= 7000,"Low",L919&lt;=15000,"Medium",L919&lt;=20000,"High")</f>
        <v>Low</v>
      </c>
      <c r="N919" t="s">
        <v>18</v>
      </c>
      <c r="O919">
        <v>12</v>
      </c>
      <c r="P919">
        <v>3</v>
      </c>
      <c r="Q919">
        <v>4</v>
      </c>
      <c r="R919">
        <v>4</v>
      </c>
      <c r="S919">
        <v>3</v>
      </c>
      <c r="T919">
        <v>3</v>
      </c>
      <c r="U919">
        <v>2</v>
      </c>
    </row>
    <row r="920" spans="1:21" x14ac:dyDescent="0.35">
      <c r="A920">
        <v>51</v>
      </c>
      <c r="B920" t="str" cm="1">
        <f t="array" ref="B920">_xlfn.IFS(A920&gt;40,"Senior",A920&gt;30,"Adult",A920&gt;=18,"Teenager")</f>
        <v>Senior</v>
      </c>
      <c r="C920" t="s">
        <v>22</v>
      </c>
      <c r="D920">
        <f t="shared" si="14"/>
        <v>0</v>
      </c>
      <c r="E920" t="s">
        <v>19</v>
      </c>
      <c r="F920">
        <v>4</v>
      </c>
      <c r="G920" t="s">
        <v>24</v>
      </c>
      <c r="H920">
        <v>3</v>
      </c>
      <c r="I920">
        <v>5</v>
      </c>
      <c r="J920" t="s">
        <v>29</v>
      </c>
      <c r="K920">
        <v>2</v>
      </c>
      <c r="L920">
        <v>19847</v>
      </c>
      <c r="M920" t="str" cm="1">
        <f t="array" ref="M920">_xlfn.IFS(L920&lt;= 7000,"Low",L920&lt;=15000,"Medium",L920&lt;=20000,"High")</f>
        <v>High</v>
      </c>
      <c r="N920" t="s">
        <v>18</v>
      </c>
      <c r="O920">
        <v>24</v>
      </c>
      <c r="P920">
        <v>4</v>
      </c>
      <c r="Q920">
        <v>1</v>
      </c>
      <c r="R920">
        <v>31</v>
      </c>
      <c r="S920">
        <v>2</v>
      </c>
      <c r="T920">
        <v>29</v>
      </c>
      <c r="U920">
        <v>10</v>
      </c>
    </row>
    <row r="921" spans="1:21" x14ac:dyDescent="0.35">
      <c r="A921">
        <v>59</v>
      </c>
      <c r="B921" t="str" cm="1">
        <f t="array" ref="B921">_xlfn.IFS(A921&gt;40,"Senior",A921&gt;30,"Adult",A921&gt;=18,"Teenager")</f>
        <v>Senior</v>
      </c>
      <c r="C921" t="s">
        <v>22</v>
      </c>
      <c r="D921">
        <f t="shared" si="14"/>
        <v>0</v>
      </c>
      <c r="E921" t="s">
        <v>23</v>
      </c>
      <c r="F921">
        <v>4</v>
      </c>
      <c r="G921" t="s">
        <v>24</v>
      </c>
      <c r="H921">
        <v>3</v>
      </c>
      <c r="I921">
        <v>3</v>
      </c>
      <c r="J921" t="s">
        <v>27</v>
      </c>
      <c r="K921">
        <v>4</v>
      </c>
      <c r="L921">
        <v>10512</v>
      </c>
      <c r="M921" t="str" cm="1">
        <f t="array" ref="M921">_xlfn.IFS(L921&lt;= 7000,"Low",L921&lt;=15000,"Medium",L921&lt;=20000,"High")</f>
        <v>Medium</v>
      </c>
      <c r="N921" t="s">
        <v>22</v>
      </c>
      <c r="O921">
        <v>12</v>
      </c>
      <c r="P921">
        <v>3</v>
      </c>
      <c r="Q921">
        <v>4</v>
      </c>
      <c r="R921">
        <v>25</v>
      </c>
      <c r="S921">
        <v>2</v>
      </c>
      <c r="T921">
        <v>9</v>
      </c>
      <c r="U921">
        <v>7</v>
      </c>
    </row>
    <row r="922" spans="1:21" x14ac:dyDescent="0.35">
      <c r="A922">
        <v>34</v>
      </c>
      <c r="B922" t="str" cm="1">
        <f t="array" ref="B922">_xlfn.IFS(A922&gt;40,"Senior",A922&gt;30,"Adult",A922&gt;=18,"Teenager")</f>
        <v>Adult</v>
      </c>
      <c r="C922" t="s">
        <v>22</v>
      </c>
      <c r="D922">
        <f t="shared" si="14"/>
        <v>0</v>
      </c>
      <c r="E922" t="s">
        <v>23</v>
      </c>
      <c r="F922">
        <v>3</v>
      </c>
      <c r="G922" t="s">
        <v>20</v>
      </c>
      <c r="H922">
        <v>3</v>
      </c>
      <c r="I922">
        <v>2</v>
      </c>
      <c r="J922" t="s">
        <v>26</v>
      </c>
      <c r="K922">
        <v>2</v>
      </c>
      <c r="L922">
        <v>4444</v>
      </c>
      <c r="M922" t="str" cm="1">
        <f t="array" ref="M922">_xlfn.IFS(L922&lt;= 7000,"Low",L922&lt;=15000,"Medium",L922&lt;=20000,"High")</f>
        <v>Low</v>
      </c>
      <c r="N922" t="s">
        <v>22</v>
      </c>
      <c r="O922">
        <v>13</v>
      </c>
      <c r="P922">
        <v>3</v>
      </c>
      <c r="Q922">
        <v>3</v>
      </c>
      <c r="R922">
        <v>15</v>
      </c>
      <c r="S922">
        <v>4</v>
      </c>
      <c r="T922">
        <v>11</v>
      </c>
      <c r="U922">
        <v>8</v>
      </c>
    </row>
    <row r="923" spans="1:21" x14ac:dyDescent="0.35">
      <c r="A923">
        <v>28</v>
      </c>
      <c r="B923" t="str" cm="1">
        <f t="array" ref="B923">_xlfn.IFS(A923&gt;40,"Senior",A923&gt;30,"Adult",A923&gt;=18,"Teenager")</f>
        <v>Teenager</v>
      </c>
      <c r="C923" t="s">
        <v>22</v>
      </c>
      <c r="D923">
        <f t="shared" si="14"/>
        <v>0</v>
      </c>
      <c r="E923" t="s">
        <v>23</v>
      </c>
      <c r="F923">
        <v>4</v>
      </c>
      <c r="G923" t="s">
        <v>24</v>
      </c>
      <c r="H923">
        <v>3</v>
      </c>
      <c r="I923">
        <v>1</v>
      </c>
      <c r="J923" t="s">
        <v>26</v>
      </c>
      <c r="K923">
        <v>3</v>
      </c>
      <c r="L923">
        <v>2154</v>
      </c>
      <c r="M923" t="str" cm="1">
        <f t="array" ref="M923">_xlfn.IFS(L923&lt;= 7000,"Low",L923&lt;=15000,"Medium",L923&lt;=20000,"High")</f>
        <v>Low</v>
      </c>
      <c r="N923" t="s">
        <v>18</v>
      </c>
      <c r="O923">
        <v>11</v>
      </c>
      <c r="P923">
        <v>3</v>
      </c>
      <c r="Q923">
        <v>3</v>
      </c>
      <c r="R923">
        <v>5</v>
      </c>
      <c r="S923">
        <v>2</v>
      </c>
      <c r="T923">
        <v>4</v>
      </c>
      <c r="U923">
        <v>2</v>
      </c>
    </row>
    <row r="924" spans="1:21" x14ac:dyDescent="0.35">
      <c r="A924">
        <v>44</v>
      </c>
      <c r="B924" t="str" cm="1">
        <f t="array" ref="B924">_xlfn.IFS(A924&gt;40,"Senior",A924&gt;30,"Adult",A924&gt;=18,"Teenager")</f>
        <v>Senior</v>
      </c>
      <c r="C924" t="s">
        <v>22</v>
      </c>
      <c r="D924">
        <f t="shared" si="14"/>
        <v>0</v>
      </c>
      <c r="E924" t="s">
        <v>23</v>
      </c>
      <c r="F924">
        <v>3</v>
      </c>
      <c r="G924" t="s">
        <v>24</v>
      </c>
      <c r="H924">
        <v>4</v>
      </c>
      <c r="I924">
        <v>5</v>
      </c>
      <c r="J924" t="s">
        <v>29</v>
      </c>
      <c r="K924">
        <v>1</v>
      </c>
      <c r="L924">
        <v>19190</v>
      </c>
      <c r="M924" t="str" cm="1">
        <f t="array" ref="M924">_xlfn.IFS(L924&lt;= 7000,"Low",L924&lt;=15000,"Medium",L924&lt;=20000,"High")</f>
        <v>High</v>
      </c>
      <c r="N924" t="s">
        <v>22</v>
      </c>
      <c r="O924">
        <v>14</v>
      </c>
      <c r="P924">
        <v>3</v>
      </c>
      <c r="Q924">
        <v>4</v>
      </c>
      <c r="R924">
        <v>26</v>
      </c>
      <c r="S924">
        <v>2</v>
      </c>
      <c r="T924">
        <v>25</v>
      </c>
      <c r="U924">
        <v>9</v>
      </c>
    </row>
    <row r="925" spans="1:21" x14ac:dyDescent="0.35">
      <c r="A925">
        <v>34</v>
      </c>
      <c r="B925" t="str" cm="1">
        <f t="array" ref="B925">_xlfn.IFS(A925&gt;40,"Senior",A925&gt;30,"Adult",A925&gt;=18,"Teenager")</f>
        <v>Adult</v>
      </c>
      <c r="C925" t="s">
        <v>22</v>
      </c>
      <c r="D925">
        <f t="shared" si="14"/>
        <v>0</v>
      </c>
      <c r="E925" t="s">
        <v>32</v>
      </c>
      <c r="F925">
        <v>3</v>
      </c>
      <c r="G925" t="s">
        <v>24</v>
      </c>
      <c r="H925">
        <v>2</v>
      </c>
      <c r="I925">
        <v>2</v>
      </c>
      <c r="J925" t="s">
        <v>32</v>
      </c>
      <c r="K925">
        <v>2</v>
      </c>
      <c r="L925">
        <v>4490</v>
      </c>
      <c r="M925" t="str" cm="1">
        <f t="array" ref="M925">_xlfn.IFS(L925&lt;= 7000,"Low",L925&lt;=15000,"Medium",L925&lt;=20000,"High")</f>
        <v>Low</v>
      </c>
      <c r="N925" t="s">
        <v>22</v>
      </c>
      <c r="O925">
        <v>11</v>
      </c>
      <c r="P925">
        <v>3</v>
      </c>
      <c r="Q925">
        <v>4</v>
      </c>
      <c r="R925">
        <v>14</v>
      </c>
      <c r="S925">
        <v>4</v>
      </c>
      <c r="T925">
        <v>10</v>
      </c>
      <c r="U925">
        <v>9</v>
      </c>
    </row>
    <row r="926" spans="1:21" x14ac:dyDescent="0.35">
      <c r="A926">
        <v>35</v>
      </c>
      <c r="B926" t="str" cm="1">
        <f t="array" ref="B926">_xlfn.IFS(A926&gt;40,"Senior",A926&gt;30,"Adult",A926&gt;=18,"Teenager")</f>
        <v>Adult</v>
      </c>
      <c r="C926" t="s">
        <v>22</v>
      </c>
      <c r="D926">
        <f t="shared" si="14"/>
        <v>0</v>
      </c>
      <c r="E926" t="s">
        <v>23</v>
      </c>
      <c r="F926">
        <v>3</v>
      </c>
      <c r="G926" t="s">
        <v>24</v>
      </c>
      <c r="H926">
        <v>3</v>
      </c>
      <c r="I926">
        <v>1</v>
      </c>
      <c r="J926" t="s">
        <v>25</v>
      </c>
      <c r="K926">
        <v>3</v>
      </c>
      <c r="L926">
        <v>3506</v>
      </c>
      <c r="M926" t="str" cm="1">
        <f t="array" ref="M926">_xlfn.IFS(L926&lt;= 7000,"Low",L926&lt;=15000,"Medium",L926&lt;=20000,"High")</f>
        <v>Low</v>
      </c>
      <c r="N926" t="s">
        <v>18</v>
      </c>
      <c r="O926">
        <v>14</v>
      </c>
      <c r="P926">
        <v>3</v>
      </c>
      <c r="Q926">
        <v>4</v>
      </c>
      <c r="R926">
        <v>4</v>
      </c>
      <c r="S926">
        <v>3</v>
      </c>
      <c r="T926">
        <v>3</v>
      </c>
      <c r="U926">
        <v>2</v>
      </c>
    </row>
    <row r="927" spans="1:21" x14ac:dyDescent="0.35">
      <c r="A927">
        <v>42</v>
      </c>
      <c r="B927" t="str" cm="1">
        <f t="array" ref="B927">_xlfn.IFS(A927&gt;40,"Senior",A927&gt;30,"Adult",A927&gt;=18,"Teenager")</f>
        <v>Senior</v>
      </c>
      <c r="C927" t="s">
        <v>22</v>
      </c>
      <c r="D927">
        <f t="shared" si="14"/>
        <v>0</v>
      </c>
      <c r="E927" t="s">
        <v>23</v>
      </c>
      <c r="F927">
        <v>2</v>
      </c>
      <c r="G927" t="s">
        <v>20</v>
      </c>
      <c r="H927">
        <v>4</v>
      </c>
      <c r="I927">
        <v>2</v>
      </c>
      <c r="J927" t="s">
        <v>25</v>
      </c>
      <c r="K927">
        <v>2</v>
      </c>
      <c r="L927">
        <v>2372</v>
      </c>
      <c r="M927" t="str" cm="1">
        <f t="array" ref="M927">_xlfn.IFS(L927&lt;= 7000,"Low",L927&lt;=15000,"Medium",L927&lt;=20000,"High")</f>
        <v>Low</v>
      </c>
      <c r="N927" t="s">
        <v>18</v>
      </c>
      <c r="O927">
        <v>16</v>
      </c>
      <c r="P927">
        <v>3</v>
      </c>
      <c r="Q927">
        <v>4</v>
      </c>
      <c r="R927">
        <v>18</v>
      </c>
      <c r="S927">
        <v>3</v>
      </c>
      <c r="T927">
        <v>1</v>
      </c>
      <c r="U927">
        <v>0</v>
      </c>
    </row>
    <row r="928" spans="1:21" x14ac:dyDescent="0.35">
      <c r="A928">
        <v>43</v>
      </c>
      <c r="B928" t="str" cm="1">
        <f t="array" ref="B928">_xlfn.IFS(A928&gt;40,"Senior",A928&gt;30,"Adult",A928&gt;=18,"Teenager")</f>
        <v>Senior</v>
      </c>
      <c r="C928" t="s">
        <v>22</v>
      </c>
      <c r="D928">
        <f t="shared" si="14"/>
        <v>0</v>
      </c>
      <c r="E928" t="s">
        <v>19</v>
      </c>
      <c r="F928">
        <v>4</v>
      </c>
      <c r="G928" t="s">
        <v>20</v>
      </c>
      <c r="H928">
        <v>2</v>
      </c>
      <c r="I928">
        <v>3</v>
      </c>
      <c r="J928" t="s">
        <v>21</v>
      </c>
      <c r="K928">
        <v>4</v>
      </c>
      <c r="L928">
        <v>10231</v>
      </c>
      <c r="M928" t="str" cm="1">
        <f t="array" ref="M928">_xlfn.IFS(L928&lt;= 7000,"Low",L928&lt;=15000,"Medium",L928&lt;=20000,"High")</f>
        <v>Medium</v>
      </c>
      <c r="N928" t="s">
        <v>22</v>
      </c>
      <c r="O928">
        <v>14</v>
      </c>
      <c r="P928">
        <v>3</v>
      </c>
      <c r="Q928">
        <v>4</v>
      </c>
      <c r="R928">
        <v>23</v>
      </c>
      <c r="S928">
        <v>4</v>
      </c>
      <c r="T928">
        <v>21</v>
      </c>
      <c r="U928">
        <v>7</v>
      </c>
    </row>
    <row r="929" spans="1:21" x14ac:dyDescent="0.35">
      <c r="A929">
        <v>36</v>
      </c>
      <c r="B929" t="str" cm="1">
        <f t="array" ref="B929">_xlfn.IFS(A929&gt;40,"Senior",A929&gt;30,"Adult",A929&gt;=18,"Teenager")</f>
        <v>Adult</v>
      </c>
      <c r="C929" t="s">
        <v>22</v>
      </c>
      <c r="D929">
        <f t="shared" si="14"/>
        <v>0</v>
      </c>
      <c r="E929" t="s">
        <v>23</v>
      </c>
      <c r="F929">
        <v>3</v>
      </c>
      <c r="G929" t="s">
        <v>20</v>
      </c>
      <c r="H929">
        <v>3</v>
      </c>
      <c r="I929">
        <v>2</v>
      </c>
      <c r="J929" t="s">
        <v>27</v>
      </c>
      <c r="K929">
        <v>2</v>
      </c>
      <c r="L929">
        <v>5410</v>
      </c>
      <c r="M929" t="str" cm="1">
        <f t="array" ref="M929">_xlfn.IFS(L929&lt;= 7000,"Low",L929&lt;=15000,"Medium",L929&lt;=20000,"High")</f>
        <v>Low</v>
      </c>
      <c r="N929" t="s">
        <v>18</v>
      </c>
      <c r="O929">
        <v>11</v>
      </c>
      <c r="P929">
        <v>3</v>
      </c>
      <c r="Q929">
        <v>4</v>
      </c>
      <c r="R929">
        <v>18</v>
      </c>
      <c r="S929">
        <v>3</v>
      </c>
      <c r="T929">
        <v>16</v>
      </c>
      <c r="U929">
        <v>14</v>
      </c>
    </row>
    <row r="930" spans="1:21" x14ac:dyDescent="0.35">
      <c r="A930">
        <v>44</v>
      </c>
      <c r="B930" t="str" cm="1">
        <f t="array" ref="B930">_xlfn.IFS(A930&gt;40,"Senior",A930&gt;30,"Adult",A930&gt;=18,"Teenager")</f>
        <v>Senior</v>
      </c>
      <c r="C930" t="s">
        <v>18</v>
      </c>
      <c r="D930">
        <f t="shared" si="14"/>
        <v>1</v>
      </c>
      <c r="E930" t="s">
        <v>23</v>
      </c>
      <c r="F930">
        <v>1</v>
      </c>
      <c r="G930" t="s">
        <v>20</v>
      </c>
      <c r="H930">
        <v>3</v>
      </c>
      <c r="I930">
        <v>3</v>
      </c>
      <c r="J930" t="s">
        <v>28</v>
      </c>
      <c r="K930">
        <v>4</v>
      </c>
      <c r="L930">
        <v>7978</v>
      </c>
      <c r="M930" t="str" cm="1">
        <f t="array" ref="M930">_xlfn.IFS(L930&lt;= 7000,"Low",L930&lt;=15000,"Medium",L930&lt;=20000,"High")</f>
        <v>Medium</v>
      </c>
      <c r="N930" t="s">
        <v>22</v>
      </c>
      <c r="O930">
        <v>11</v>
      </c>
      <c r="P930">
        <v>3</v>
      </c>
      <c r="Q930">
        <v>4</v>
      </c>
      <c r="R930">
        <v>10</v>
      </c>
      <c r="S930">
        <v>3</v>
      </c>
      <c r="T930">
        <v>10</v>
      </c>
      <c r="U930">
        <v>7</v>
      </c>
    </row>
    <row r="931" spans="1:21" x14ac:dyDescent="0.35">
      <c r="A931">
        <v>28</v>
      </c>
      <c r="B931" t="str" cm="1">
        <f t="array" ref="B931">_xlfn.IFS(A931&gt;40,"Senior",A931&gt;30,"Adult",A931&gt;=18,"Teenager")</f>
        <v>Teenager</v>
      </c>
      <c r="C931" t="s">
        <v>22</v>
      </c>
      <c r="D931">
        <f t="shared" si="14"/>
        <v>0</v>
      </c>
      <c r="E931" t="s">
        <v>23</v>
      </c>
      <c r="F931">
        <v>4</v>
      </c>
      <c r="G931" t="s">
        <v>24</v>
      </c>
      <c r="H931">
        <v>2</v>
      </c>
      <c r="I931">
        <v>1</v>
      </c>
      <c r="J931" t="s">
        <v>26</v>
      </c>
      <c r="K931">
        <v>4</v>
      </c>
      <c r="L931">
        <v>3867</v>
      </c>
      <c r="M931" t="str" cm="1">
        <f t="array" ref="M931">_xlfn.IFS(L931&lt;= 7000,"Low",L931&lt;=15000,"Medium",L931&lt;=20000,"High")</f>
        <v>Low</v>
      </c>
      <c r="N931" t="s">
        <v>18</v>
      </c>
      <c r="O931">
        <v>12</v>
      </c>
      <c r="P931">
        <v>3</v>
      </c>
      <c r="Q931">
        <v>2</v>
      </c>
      <c r="R931">
        <v>2</v>
      </c>
      <c r="S931">
        <v>3</v>
      </c>
      <c r="T931">
        <v>2</v>
      </c>
      <c r="U931">
        <v>2</v>
      </c>
    </row>
    <row r="932" spans="1:21" x14ac:dyDescent="0.35">
      <c r="A932">
        <v>51</v>
      </c>
      <c r="B932" t="str" cm="1">
        <f t="array" ref="B932">_xlfn.IFS(A932&gt;40,"Senior",A932&gt;30,"Adult",A932&gt;=18,"Teenager")</f>
        <v>Senior</v>
      </c>
      <c r="C932" t="s">
        <v>22</v>
      </c>
      <c r="D932">
        <f t="shared" si="14"/>
        <v>0</v>
      </c>
      <c r="E932" t="s">
        <v>23</v>
      </c>
      <c r="F932">
        <v>2</v>
      </c>
      <c r="G932" t="s">
        <v>20</v>
      </c>
      <c r="H932">
        <v>2</v>
      </c>
      <c r="I932">
        <v>1</v>
      </c>
      <c r="J932" t="s">
        <v>26</v>
      </c>
      <c r="K932">
        <v>3</v>
      </c>
      <c r="L932">
        <v>2838</v>
      </c>
      <c r="M932" t="str" cm="1">
        <f t="array" ref="M932">_xlfn.IFS(L932&lt;= 7000,"Low",L932&lt;=15000,"Medium",L932&lt;=20000,"High")</f>
        <v>Low</v>
      </c>
      <c r="N932" t="s">
        <v>22</v>
      </c>
      <c r="O932">
        <v>14</v>
      </c>
      <c r="P932">
        <v>3</v>
      </c>
      <c r="Q932">
        <v>2</v>
      </c>
      <c r="R932">
        <v>8</v>
      </c>
      <c r="S932">
        <v>2</v>
      </c>
      <c r="T932">
        <v>7</v>
      </c>
      <c r="U932">
        <v>0</v>
      </c>
    </row>
    <row r="933" spans="1:21" x14ac:dyDescent="0.35">
      <c r="A933">
        <v>30</v>
      </c>
      <c r="B933" t="str" cm="1">
        <f t="array" ref="B933">_xlfn.IFS(A933&gt;40,"Senior",A933&gt;30,"Adult",A933&gt;=18,"Teenager")</f>
        <v>Teenager</v>
      </c>
      <c r="C933" t="s">
        <v>22</v>
      </c>
      <c r="D933">
        <f t="shared" si="14"/>
        <v>0</v>
      </c>
      <c r="E933" t="s">
        <v>23</v>
      </c>
      <c r="F933">
        <v>3</v>
      </c>
      <c r="G933" t="s">
        <v>20</v>
      </c>
      <c r="H933">
        <v>3</v>
      </c>
      <c r="I933">
        <v>2</v>
      </c>
      <c r="J933" t="s">
        <v>27</v>
      </c>
      <c r="K933">
        <v>3</v>
      </c>
      <c r="L933">
        <v>4695</v>
      </c>
      <c r="M933" t="str" cm="1">
        <f t="array" ref="M933">_xlfn.IFS(L933&lt;= 7000,"Low",L933&lt;=15000,"Medium",L933&lt;=20000,"High")</f>
        <v>Low</v>
      </c>
      <c r="N933" t="s">
        <v>18</v>
      </c>
      <c r="O933">
        <v>18</v>
      </c>
      <c r="P933">
        <v>3</v>
      </c>
      <c r="Q933">
        <v>3</v>
      </c>
      <c r="R933">
        <v>10</v>
      </c>
      <c r="S933">
        <v>3</v>
      </c>
      <c r="T933">
        <v>8</v>
      </c>
      <c r="U933">
        <v>4</v>
      </c>
    </row>
    <row r="934" spans="1:21" x14ac:dyDescent="0.35">
      <c r="A934">
        <v>29</v>
      </c>
      <c r="B934" t="str" cm="1">
        <f t="array" ref="B934">_xlfn.IFS(A934&gt;40,"Senior",A934&gt;30,"Adult",A934&gt;=18,"Teenager")</f>
        <v>Teenager</v>
      </c>
      <c r="C934" t="s">
        <v>18</v>
      </c>
      <c r="D934">
        <f t="shared" si="14"/>
        <v>1</v>
      </c>
      <c r="E934" t="s">
        <v>23</v>
      </c>
      <c r="F934">
        <v>2</v>
      </c>
      <c r="G934" t="s">
        <v>20</v>
      </c>
      <c r="H934">
        <v>3</v>
      </c>
      <c r="I934">
        <v>1</v>
      </c>
      <c r="J934" t="s">
        <v>26</v>
      </c>
      <c r="K934">
        <v>3</v>
      </c>
      <c r="L934">
        <v>3339</v>
      </c>
      <c r="M934" t="str" cm="1">
        <f t="array" ref="M934">_xlfn.IFS(L934&lt;= 7000,"Low",L934&lt;=15000,"Medium",L934&lt;=20000,"High")</f>
        <v>Low</v>
      </c>
      <c r="N934" t="s">
        <v>18</v>
      </c>
      <c r="O934">
        <v>13</v>
      </c>
      <c r="P934">
        <v>3</v>
      </c>
      <c r="Q934">
        <v>1</v>
      </c>
      <c r="R934">
        <v>10</v>
      </c>
      <c r="S934">
        <v>3</v>
      </c>
      <c r="T934">
        <v>7</v>
      </c>
      <c r="U934">
        <v>7</v>
      </c>
    </row>
    <row r="935" spans="1:21" x14ac:dyDescent="0.35">
      <c r="A935">
        <v>28</v>
      </c>
      <c r="B935" t="str" cm="1">
        <f t="array" ref="B935">_xlfn.IFS(A935&gt;40,"Senior",A935&gt;30,"Adult",A935&gt;=18,"Teenager")</f>
        <v>Teenager</v>
      </c>
      <c r="C935" t="s">
        <v>22</v>
      </c>
      <c r="D935">
        <f t="shared" si="14"/>
        <v>0</v>
      </c>
      <c r="E935" t="s">
        <v>23</v>
      </c>
      <c r="F935">
        <v>4</v>
      </c>
      <c r="G935" t="s">
        <v>24</v>
      </c>
      <c r="H935">
        <v>3</v>
      </c>
      <c r="I935">
        <v>1</v>
      </c>
      <c r="J935" t="s">
        <v>25</v>
      </c>
      <c r="K935">
        <v>1</v>
      </c>
      <c r="L935">
        <v>2080</v>
      </c>
      <c r="M935" t="str" cm="1">
        <f t="array" ref="M935">_xlfn.IFS(L935&lt;= 7000,"Low",L935&lt;=15000,"Medium",L935&lt;=20000,"High")</f>
        <v>Low</v>
      </c>
      <c r="N935" t="s">
        <v>22</v>
      </c>
      <c r="O935">
        <v>11</v>
      </c>
      <c r="P935">
        <v>3</v>
      </c>
      <c r="Q935">
        <v>2</v>
      </c>
      <c r="R935">
        <v>5</v>
      </c>
      <c r="S935">
        <v>2</v>
      </c>
      <c r="T935">
        <v>3</v>
      </c>
      <c r="U935">
        <v>2</v>
      </c>
    </row>
    <row r="936" spans="1:21" x14ac:dyDescent="0.35">
      <c r="A936">
        <v>25</v>
      </c>
      <c r="B936" t="str" cm="1">
        <f t="array" ref="B936">_xlfn.IFS(A936&gt;40,"Senior",A936&gt;30,"Adult",A936&gt;=18,"Teenager")</f>
        <v>Teenager</v>
      </c>
      <c r="C936" t="s">
        <v>22</v>
      </c>
      <c r="D936">
        <f t="shared" si="14"/>
        <v>0</v>
      </c>
      <c r="E936" t="s">
        <v>23</v>
      </c>
      <c r="F936">
        <v>4</v>
      </c>
      <c r="G936" t="s">
        <v>20</v>
      </c>
      <c r="H936">
        <v>3</v>
      </c>
      <c r="I936">
        <v>1</v>
      </c>
      <c r="J936" t="s">
        <v>25</v>
      </c>
      <c r="K936">
        <v>2</v>
      </c>
      <c r="L936">
        <v>2096</v>
      </c>
      <c r="M936" t="str" cm="1">
        <f t="array" ref="M936">_xlfn.IFS(L936&lt;= 7000,"Low",L936&lt;=15000,"Medium",L936&lt;=20000,"High")</f>
        <v>Low</v>
      </c>
      <c r="N936" t="s">
        <v>22</v>
      </c>
      <c r="O936">
        <v>18</v>
      </c>
      <c r="P936">
        <v>3</v>
      </c>
      <c r="Q936">
        <v>4</v>
      </c>
      <c r="R936">
        <v>2</v>
      </c>
      <c r="S936">
        <v>2</v>
      </c>
      <c r="T936">
        <v>2</v>
      </c>
      <c r="U936">
        <v>2</v>
      </c>
    </row>
    <row r="937" spans="1:21" x14ac:dyDescent="0.35">
      <c r="A937">
        <v>32</v>
      </c>
      <c r="B937" t="str" cm="1">
        <f t="array" ref="B937">_xlfn.IFS(A937&gt;40,"Senior",A937&gt;30,"Adult",A937&gt;=18,"Teenager")</f>
        <v>Adult</v>
      </c>
      <c r="C937" t="s">
        <v>22</v>
      </c>
      <c r="D937">
        <f t="shared" si="14"/>
        <v>0</v>
      </c>
      <c r="E937" t="s">
        <v>19</v>
      </c>
      <c r="F937">
        <v>3</v>
      </c>
      <c r="G937" t="s">
        <v>24</v>
      </c>
      <c r="H937">
        <v>4</v>
      </c>
      <c r="I937">
        <v>2</v>
      </c>
      <c r="J937" t="s">
        <v>21</v>
      </c>
      <c r="K937">
        <v>4</v>
      </c>
      <c r="L937">
        <v>6209</v>
      </c>
      <c r="M937" t="str" cm="1">
        <f t="array" ref="M937">_xlfn.IFS(L937&lt;= 7000,"Low",L937&lt;=15000,"Medium",L937&lt;=20000,"High")</f>
        <v>Low</v>
      </c>
      <c r="N937" t="s">
        <v>22</v>
      </c>
      <c r="O937">
        <v>15</v>
      </c>
      <c r="P937">
        <v>3</v>
      </c>
      <c r="Q937">
        <v>3</v>
      </c>
      <c r="R937">
        <v>10</v>
      </c>
      <c r="S937">
        <v>4</v>
      </c>
      <c r="T937">
        <v>10</v>
      </c>
      <c r="U937">
        <v>7</v>
      </c>
    </row>
    <row r="938" spans="1:21" x14ac:dyDescent="0.35">
      <c r="A938">
        <v>45</v>
      </c>
      <c r="B938" t="str" cm="1">
        <f t="array" ref="B938">_xlfn.IFS(A938&gt;40,"Senior",A938&gt;30,"Adult",A938&gt;=18,"Teenager")</f>
        <v>Senior</v>
      </c>
      <c r="C938" t="s">
        <v>22</v>
      </c>
      <c r="D938">
        <f t="shared" si="14"/>
        <v>0</v>
      </c>
      <c r="E938" t="s">
        <v>23</v>
      </c>
      <c r="F938">
        <v>2</v>
      </c>
      <c r="G938" t="s">
        <v>20</v>
      </c>
      <c r="H938">
        <v>3</v>
      </c>
      <c r="I938">
        <v>5</v>
      </c>
      <c r="J938" t="s">
        <v>29</v>
      </c>
      <c r="K938">
        <v>2</v>
      </c>
      <c r="L938">
        <v>18061</v>
      </c>
      <c r="M938" t="str" cm="1">
        <f t="array" ref="M938">_xlfn.IFS(L938&lt;= 7000,"Low",L938&lt;=15000,"Medium",L938&lt;=20000,"High")</f>
        <v>High</v>
      </c>
      <c r="N938" t="s">
        <v>22</v>
      </c>
      <c r="O938">
        <v>22</v>
      </c>
      <c r="P938">
        <v>4</v>
      </c>
      <c r="Q938">
        <v>3</v>
      </c>
      <c r="R938">
        <v>22</v>
      </c>
      <c r="S938">
        <v>3</v>
      </c>
      <c r="T938">
        <v>0</v>
      </c>
      <c r="U938">
        <v>0</v>
      </c>
    </row>
    <row r="939" spans="1:21" x14ac:dyDescent="0.35">
      <c r="A939">
        <v>39</v>
      </c>
      <c r="B939" t="str" cm="1">
        <f t="array" ref="B939">_xlfn.IFS(A939&gt;40,"Senior",A939&gt;30,"Adult",A939&gt;=18,"Teenager")</f>
        <v>Adult</v>
      </c>
      <c r="C939" t="s">
        <v>22</v>
      </c>
      <c r="D939">
        <f t="shared" si="14"/>
        <v>0</v>
      </c>
      <c r="E939" t="s">
        <v>23</v>
      </c>
      <c r="F939">
        <v>3</v>
      </c>
      <c r="G939" t="s">
        <v>20</v>
      </c>
      <c r="H939">
        <v>2</v>
      </c>
      <c r="I939">
        <v>4</v>
      </c>
      <c r="J939" t="s">
        <v>29</v>
      </c>
      <c r="K939">
        <v>2</v>
      </c>
      <c r="L939">
        <v>17123</v>
      </c>
      <c r="M939" t="str" cm="1">
        <f t="array" ref="M939">_xlfn.IFS(L939&lt;= 7000,"Low",L939&lt;=15000,"Medium",L939&lt;=20000,"High")</f>
        <v>High</v>
      </c>
      <c r="N939" t="s">
        <v>18</v>
      </c>
      <c r="O939">
        <v>13</v>
      </c>
      <c r="P939">
        <v>3</v>
      </c>
      <c r="Q939">
        <v>4</v>
      </c>
      <c r="R939">
        <v>21</v>
      </c>
      <c r="S939">
        <v>3</v>
      </c>
      <c r="T939">
        <v>19</v>
      </c>
      <c r="U939">
        <v>9</v>
      </c>
    </row>
    <row r="940" spans="1:21" x14ac:dyDescent="0.35">
      <c r="A940">
        <v>58</v>
      </c>
      <c r="B940" t="str" cm="1">
        <f t="array" ref="B940">_xlfn.IFS(A940&gt;40,"Senior",A940&gt;30,"Adult",A940&gt;=18,"Teenager")</f>
        <v>Senior</v>
      </c>
      <c r="C940" t="s">
        <v>22</v>
      </c>
      <c r="D940">
        <f t="shared" si="14"/>
        <v>0</v>
      </c>
      <c r="E940" t="s">
        <v>23</v>
      </c>
      <c r="F940">
        <v>1</v>
      </c>
      <c r="G940" t="s">
        <v>24</v>
      </c>
      <c r="H940">
        <v>3</v>
      </c>
      <c r="I940">
        <v>1</v>
      </c>
      <c r="J940" t="s">
        <v>25</v>
      </c>
      <c r="K940">
        <v>3</v>
      </c>
      <c r="L940">
        <v>2372</v>
      </c>
      <c r="M940" t="str" cm="1">
        <f t="array" ref="M940">_xlfn.IFS(L940&lt;= 7000,"Low",L940&lt;=15000,"Medium",L940&lt;=20000,"High")</f>
        <v>Low</v>
      </c>
      <c r="N940" t="s">
        <v>22</v>
      </c>
      <c r="O940">
        <v>12</v>
      </c>
      <c r="P940">
        <v>3</v>
      </c>
      <c r="Q940">
        <v>4</v>
      </c>
      <c r="R940">
        <v>2</v>
      </c>
      <c r="S940">
        <v>3</v>
      </c>
      <c r="T940">
        <v>2</v>
      </c>
      <c r="U940">
        <v>2</v>
      </c>
    </row>
    <row r="941" spans="1:21" x14ac:dyDescent="0.35">
      <c r="A941">
        <v>32</v>
      </c>
      <c r="B941" t="str" cm="1">
        <f t="array" ref="B941">_xlfn.IFS(A941&gt;40,"Senior",A941&gt;30,"Adult",A941&gt;=18,"Teenager")</f>
        <v>Adult</v>
      </c>
      <c r="C941" t="s">
        <v>18</v>
      </c>
      <c r="D941">
        <f t="shared" si="14"/>
        <v>1</v>
      </c>
      <c r="E941" t="s">
        <v>23</v>
      </c>
      <c r="F941">
        <v>4</v>
      </c>
      <c r="G941" t="s">
        <v>24</v>
      </c>
      <c r="H941">
        <v>3</v>
      </c>
      <c r="I941">
        <v>2</v>
      </c>
      <c r="J941" t="s">
        <v>26</v>
      </c>
      <c r="K941">
        <v>3</v>
      </c>
      <c r="L941">
        <v>4883</v>
      </c>
      <c r="M941" t="str" cm="1">
        <f t="array" ref="M941">_xlfn.IFS(L941&lt;= 7000,"Low",L941&lt;=15000,"Medium",L941&lt;=20000,"High")</f>
        <v>Low</v>
      </c>
      <c r="N941" t="s">
        <v>22</v>
      </c>
      <c r="O941">
        <v>18</v>
      </c>
      <c r="P941">
        <v>3</v>
      </c>
      <c r="Q941">
        <v>1</v>
      </c>
      <c r="R941">
        <v>10</v>
      </c>
      <c r="S941">
        <v>3</v>
      </c>
      <c r="T941">
        <v>10</v>
      </c>
      <c r="U941">
        <v>4</v>
      </c>
    </row>
    <row r="942" spans="1:21" x14ac:dyDescent="0.35">
      <c r="A942">
        <v>39</v>
      </c>
      <c r="B942" t="str" cm="1">
        <f t="array" ref="B942">_xlfn.IFS(A942&gt;40,"Senior",A942&gt;30,"Adult",A942&gt;=18,"Teenager")</f>
        <v>Adult</v>
      </c>
      <c r="C942" t="s">
        <v>18</v>
      </c>
      <c r="D942">
        <f t="shared" si="14"/>
        <v>1</v>
      </c>
      <c r="E942" t="s">
        <v>23</v>
      </c>
      <c r="F942">
        <v>3</v>
      </c>
      <c r="G942" t="s">
        <v>24</v>
      </c>
      <c r="H942">
        <v>3</v>
      </c>
      <c r="I942">
        <v>1</v>
      </c>
      <c r="J942" t="s">
        <v>25</v>
      </c>
      <c r="K942">
        <v>1</v>
      </c>
      <c r="L942">
        <v>3904</v>
      </c>
      <c r="M942" t="str" cm="1">
        <f t="array" ref="M942">_xlfn.IFS(L942&lt;= 7000,"Low",L942&lt;=15000,"Medium",L942&lt;=20000,"High")</f>
        <v>Low</v>
      </c>
      <c r="N942" t="s">
        <v>22</v>
      </c>
      <c r="O942">
        <v>13</v>
      </c>
      <c r="P942">
        <v>3</v>
      </c>
      <c r="Q942">
        <v>1</v>
      </c>
      <c r="R942">
        <v>6</v>
      </c>
      <c r="S942">
        <v>3</v>
      </c>
      <c r="T942">
        <v>5</v>
      </c>
      <c r="U942">
        <v>2</v>
      </c>
    </row>
    <row r="943" spans="1:21" x14ac:dyDescent="0.35">
      <c r="A943">
        <v>30</v>
      </c>
      <c r="B943" t="str" cm="1">
        <f t="array" ref="B943">_xlfn.IFS(A943&gt;40,"Senior",A943&gt;30,"Adult",A943&gt;=18,"Teenager")</f>
        <v>Teenager</v>
      </c>
      <c r="C943" t="s">
        <v>22</v>
      </c>
      <c r="D943">
        <f t="shared" si="14"/>
        <v>0</v>
      </c>
      <c r="E943" t="s">
        <v>23</v>
      </c>
      <c r="F943">
        <v>1</v>
      </c>
      <c r="G943" t="s">
        <v>20</v>
      </c>
      <c r="H943">
        <v>2</v>
      </c>
      <c r="I943">
        <v>2</v>
      </c>
      <c r="J943" t="s">
        <v>26</v>
      </c>
      <c r="K943">
        <v>4</v>
      </c>
      <c r="L943">
        <v>4627</v>
      </c>
      <c r="M943" t="str" cm="1">
        <f t="array" ref="M943">_xlfn.IFS(L943&lt;= 7000,"Low",L943&lt;=15000,"Medium",L943&lt;=20000,"High")</f>
        <v>Low</v>
      </c>
      <c r="N943" t="s">
        <v>22</v>
      </c>
      <c r="O943">
        <v>12</v>
      </c>
      <c r="P943">
        <v>3</v>
      </c>
      <c r="Q943">
        <v>1</v>
      </c>
      <c r="R943">
        <v>10</v>
      </c>
      <c r="S943">
        <v>3</v>
      </c>
      <c r="T943">
        <v>9</v>
      </c>
      <c r="U943">
        <v>2</v>
      </c>
    </row>
    <row r="944" spans="1:21" x14ac:dyDescent="0.35">
      <c r="A944">
        <v>36</v>
      </c>
      <c r="B944" t="str" cm="1">
        <f t="array" ref="B944">_xlfn.IFS(A944&gt;40,"Senior",A944&gt;30,"Adult",A944&gt;=18,"Teenager")</f>
        <v>Adult</v>
      </c>
      <c r="C944" t="s">
        <v>22</v>
      </c>
      <c r="D944">
        <f t="shared" si="14"/>
        <v>0</v>
      </c>
      <c r="E944" t="s">
        <v>23</v>
      </c>
      <c r="F944">
        <v>4</v>
      </c>
      <c r="G944" t="s">
        <v>20</v>
      </c>
      <c r="H944">
        <v>3</v>
      </c>
      <c r="I944">
        <v>3</v>
      </c>
      <c r="J944" t="s">
        <v>28</v>
      </c>
      <c r="K944">
        <v>3</v>
      </c>
      <c r="L944">
        <v>7094</v>
      </c>
      <c r="M944" t="str" cm="1">
        <f t="array" ref="M944">_xlfn.IFS(L944&lt;= 7000,"Low",L944&lt;=15000,"Medium",L944&lt;=20000,"High")</f>
        <v>Medium</v>
      </c>
      <c r="N944" t="s">
        <v>22</v>
      </c>
      <c r="O944">
        <v>12</v>
      </c>
      <c r="P944">
        <v>3</v>
      </c>
      <c r="Q944">
        <v>1</v>
      </c>
      <c r="R944">
        <v>10</v>
      </c>
      <c r="S944">
        <v>3</v>
      </c>
      <c r="T944">
        <v>7</v>
      </c>
      <c r="U944">
        <v>7</v>
      </c>
    </row>
    <row r="945" spans="1:21" x14ac:dyDescent="0.35">
      <c r="A945">
        <v>46</v>
      </c>
      <c r="B945" t="str" cm="1">
        <f t="array" ref="B945">_xlfn.IFS(A945&gt;40,"Senior",A945&gt;30,"Adult",A945&gt;=18,"Teenager")</f>
        <v>Senior</v>
      </c>
      <c r="C945" t="s">
        <v>22</v>
      </c>
      <c r="D945">
        <f t="shared" si="14"/>
        <v>0</v>
      </c>
      <c r="E945" t="s">
        <v>32</v>
      </c>
      <c r="F945">
        <v>4</v>
      </c>
      <c r="G945" t="s">
        <v>20</v>
      </c>
      <c r="H945">
        <v>3</v>
      </c>
      <c r="I945">
        <v>1</v>
      </c>
      <c r="J945" t="s">
        <v>32</v>
      </c>
      <c r="K945">
        <v>1</v>
      </c>
      <c r="L945">
        <v>3423</v>
      </c>
      <c r="M945" t="str" cm="1">
        <f t="array" ref="M945">_xlfn.IFS(L945&lt;= 7000,"Low",L945&lt;=15000,"Medium",L945&lt;=20000,"High")</f>
        <v>Low</v>
      </c>
      <c r="N945" t="s">
        <v>22</v>
      </c>
      <c r="O945">
        <v>12</v>
      </c>
      <c r="P945">
        <v>3</v>
      </c>
      <c r="Q945">
        <v>3</v>
      </c>
      <c r="R945">
        <v>10</v>
      </c>
      <c r="S945">
        <v>4</v>
      </c>
      <c r="T945">
        <v>7</v>
      </c>
      <c r="U945">
        <v>6</v>
      </c>
    </row>
    <row r="946" spans="1:21" x14ac:dyDescent="0.35">
      <c r="A946">
        <v>28</v>
      </c>
      <c r="B946" t="str" cm="1">
        <f t="array" ref="B946">_xlfn.IFS(A946&gt;40,"Senior",A946&gt;30,"Adult",A946&gt;=18,"Teenager")</f>
        <v>Teenager</v>
      </c>
      <c r="C946" t="s">
        <v>22</v>
      </c>
      <c r="D946">
        <f t="shared" si="14"/>
        <v>0</v>
      </c>
      <c r="E946" t="s">
        <v>23</v>
      </c>
      <c r="F946">
        <v>3</v>
      </c>
      <c r="G946" t="s">
        <v>20</v>
      </c>
      <c r="H946">
        <v>1</v>
      </c>
      <c r="I946">
        <v>2</v>
      </c>
      <c r="J946" t="s">
        <v>26</v>
      </c>
      <c r="K946">
        <v>4</v>
      </c>
      <c r="L946">
        <v>6674</v>
      </c>
      <c r="M946" t="str" cm="1">
        <f t="array" ref="M946">_xlfn.IFS(L946&lt;= 7000,"Low",L946&lt;=15000,"Medium",L946&lt;=20000,"High")</f>
        <v>Low</v>
      </c>
      <c r="N946" t="s">
        <v>22</v>
      </c>
      <c r="O946">
        <v>11</v>
      </c>
      <c r="P946">
        <v>3</v>
      </c>
      <c r="Q946">
        <v>1</v>
      </c>
      <c r="R946">
        <v>10</v>
      </c>
      <c r="S946">
        <v>3</v>
      </c>
      <c r="T946">
        <v>9</v>
      </c>
      <c r="U946">
        <v>8</v>
      </c>
    </row>
    <row r="947" spans="1:21" x14ac:dyDescent="0.35">
      <c r="A947">
        <v>50</v>
      </c>
      <c r="B947" t="str" cm="1">
        <f t="array" ref="B947">_xlfn.IFS(A947&gt;40,"Senior",A947&gt;30,"Adult",A947&gt;=18,"Teenager")</f>
        <v>Senior</v>
      </c>
      <c r="C947" t="s">
        <v>22</v>
      </c>
      <c r="D947">
        <f t="shared" si="14"/>
        <v>0</v>
      </c>
      <c r="E947" t="s">
        <v>23</v>
      </c>
      <c r="F947">
        <v>4</v>
      </c>
      <c r="G947" t="s">
        <v>20</v>
      </c>
      <c r="H947">
        <v>3</v>
      </c>
      <c r="I947">
        <v>4</v>
      </c>
      <c r="J947" t="s">
        <v>31</v>
      </c>
      <c r="K947">
        <v>1</v>
      </c>
      <c r="L947">
        <v>16880</v>
      </c>
      <c r="M947" t="str" cm="1">
        <f t="array" ref="M947">_xlfn.IFS(L947&lt;= 7000,"Low",L947&lt;=15000,"Medium",L947&lt;=20000,"High")</f>
        <v>High</v>
      </c>
      <c r="N947" t="s">
        <v>18</v>
      </c>
      <c r="O947">
        <v>11</v>
      </c>
      <c r="P947">
        <v>3</v>
      </c>
      <c r="Q947">
        <v>2</v>
      </c>
      <c r="R947">
        <v>25</v>
      </c>
      <c r="S947">
        <v>3</v>
      </c>
      <c r="T947">
        <v>3</v>
      </c>
      <c r="U947">
        <v>2</v>
      </c>
    </row>
    <row r="948" spans="1:21" x14ac:dyDescent="0.35">
      <c r="A948">
        <v>40</v>
      </c>
      <c r="B948" t="str" cm="1">
        <f t="array" ref="B948">_xlfn.IFS(A948&gt;40,"Senior",A948&gt;30,"Adult",A948&gt;=18,"Teenager")</f>
        <v>Adult</v>
      </c>
      <c r="C948" t="s">
        <v>18</v>
      </c>
      <c r="D948">
        <f t="shared" si="14"/>
        <v>1</v>
      </c>
      <c r="E948" t="s">
        <v>19</v>
      </c>
      <c r="F948">
        <v>4</v>
      </c>
      <c r="G948" t="s">
        <v>24</v>
      </c>
      <c r="H948">
        <v>2</v>
      </c>
      <c r="I948">
        <v>3</v>
      </c>
      <c r="J948" t="s">
        <v>21</v>
      </c>
      <c r="K948">
        <v>2</v>
      </c>
      <c r="L948">
        <v>9094</v>
      </c>
      <c r="M948" t="str" cm="1">
        <f t="array" ref="M948">_xlfn.IFS(L948&lt;= 7000,"Low",L948&lt;=15000,"Medium",L948&lt;=20000,"High")</f>
        <v>Medium</v>
      </c>
      <c r="N948" t="s">
        <v>18</v>
      </c>
      <c r="O948">
        <v>12</v>
      </c>
      <c r="P948">
        <v>3</v>
      </c>
      <c r="Q948">
        <v>3</v>
      </c>
      <c r="R948">
        <v>9</v>
      </c>
      <c r="S948">
        <v>3</v>
      </c>
      <c r="T948">
        <v>5</v>
      </c>
      <c r="U948">
        <v>4</v>
      </c>
    </row>
    <row r="949" spans="1:21" x14ac:dyDescent="0.35">
      <c r="A949">
        <v>52</v>
      </c>
      <c r="B949" t="str" cm="1">
        <f t="array" ref="B949">_xlfn.IFS(A949&gt;40,"Senior",A949&gt;30,"Adult",A949&gt;=18,"Teenager")</f>
        <v>Senior</v>
      </c>
      <c r="C949" t="s">
        <v>18</v>
      </c>
      <c r="D949">
        <f t="shared" si="14"/>
        <v>1</v>
      </c>
      <c r="E949" t="s">
        <v>19</v>
      </c>
      <c r="F949">
        <v>2</v>
      </c>
      <c r="G949" t="s">
        <v>24</v>
      </c>
      <c r="H949">
        <v>3</v>
      </c>
      <c r="I949">
        <v>3</v>
      </c>
      <c r="J949" t="s">
        <v>21</v>
      </c>
      <c r="K949">
        <v>2</v>
      </c>
      <c r="L949">
        <v>8446</v>
      </c>
      <c r="M949" t="str" cm="1">
        <f t="array" ref="M949">_xlfn.IFS(L949&lt;= 7000,"Low",L949&lt;=15000,"Medium",L949&lt;=20000,"High")</f>
        <v>Medium</v>
      </c>
      <c r="N949" t="s">
        <v>18</v>
      </c>
      <c r="O949">
        <v>19</v>
      </c>
      <c r="P949">
        <v>3</v>
      </c>
      <c r="Q949">
        <v>3</v>
      </c>
      <c r="R949">
        <v>10</v>
      </c>
      <c r="S949">
        <v>2</v>
      </c>
      <c r="T949">
        <v>8</v>
      </c>
      <c r="U949">
        <v>7</v>
      </c>
    </row>
    <row r="950" spans="1:21" x14ac:dyDescent="0.35">
      <c r="A950">
        <v>30</v>
      </c>
      <c r="B950" t="str" cm="1">
        <f t="array" ref="B950">_xlfn.IFS(A950&gt;40,"Senior",A950&gt;30,"Adult",A950&gt;=18,"Teenager")</f>
        <v>Teenager</v>
      </c>
      <c r="C950" t="s">
        <v>22</v>
      </c>
      <c r="D950">
        <f t="shared" si="14"/>
        <v>0</v>
      </c>
      <c r="E950" t="s">
        <v>23</v>
      </c>
      <c r="F950">
        <v>2</v>
      </c>
      <c r="G950" t="s">
        <v>20</v>
      </c>
      <c r="H950">
        <v>3</v>
      </c>
      <c r="I950">
        <v>3</v>
      </c>
      <c r="J950" t="s">
        <v>29</v>
      </c>
      <c r="K950">
        <v>1</v>
      </c>
      <c r="L950">
        <v>11916</v>
      </c>
      <c r="M950" t="str" cm="1">
        <f t="array" ref="M950">_xlfn.IFS(L950&lt;= 7000,"Low",L950&lt;=15000,"Medium",L950&lt;=20000,"High")</f>
        <v>Medium</v>
      </c>
      <c r="N950" t="s">
        <v>18</v>
      </c>
      <c r="O950">
        <v>23</v>
      </c>
      <c r="P950">
        <v>4</v>
      </c>
      <c r="Q950">
        <v>4</v>
      </c>
      <c r="R950">
        <v>9</v>
      </c>
      <c r="S950">
        <v>3</v>
      </c>
      <c r="T950">
        <v>9</v>
      </c>
      <c r="U950">
        <v>1</v>
      </c>
    </row>
    <row r="951" spans="1:21" x14ac:dyDescent="0.35">
      <c r="A951">
        <v>39</v>
      </c>
      <c r="B951" t="str" cm="1">
        <f t="array" ref="B951">_xlfn.IFS(A951&gt;40,"Senior",A951&gt;30,"Adult",A951&gt;=18,"Teenager")</f>
        <v>Adult</v>
      </c>
      <c r="C951" t="s">
        <v>22</v>
      </c>
      <c r="D951">
        <f t="shared" si="14"/>
        <v>0</v>
      </c>
      <c r="E951" t="s">
        <v>23</v>
      </c>
      <c r="F951">
        <v>1</v>
      </c>
      <c r="G951" t="s">
        <v>24</v>
      </c>
      <c r="H951">
        <v>3</v>
      </c>
      <c r="I951">
        <v>2</v>
      </c>
      <c r="J951" t="s">
        <v>27</v>
      </c>
      <c r="K951">
        <v>3</v>
      </c>
      <c r="L951">
        <v>4534</v>
      </c>
      <c r="M951" t="str" cm="1">
        <f t="array" ref="M951">_xlfn.IFS(L951&lt;= 7000,"Low",L951&lt;=15000,"Medium",L951&lt;=20000,"High")</f>
        <v>Low</v>
      </c>
      <c r="N951" t="s">
        <v>22</v>
      </c>
      <c r="O951">
        <v>11</v>
      </c>
      <c r="P951">
        <v>3</v>
      </c>
      <c r="Q951">
        <v>1</v>
      </c>
      <c r="R951">
        <v>9</v>
      </c>
      <c r="S951">
        <v>3</v>
      </c>
      <c r="T951">
        <v>8</v>
      </c>
      <c r="U951">
        <v>7</v>
      </c>
    </row>
    <row r="952" spans="1:21" x14ac:dyDescent="0.35">
      <c r="A952">
        <v>31</v>
      </c>
      <c r="B952" t="str" cm="1">
        <f t="array" ref="B952">_xlfn.IFS(A952&gt;40,"Senior",A952&gt;30,"Adult",A952&gt;=18,"Teenager")</f>
        <v>Adult</v>
      </c>
      <c r="C952" t="s">
        <v>22</v>
      </c>
      <c r="D952">
        <f t="shared" si="14"/>
        <v>0</v>
      </c>
      <c r="E952" t="s">
        <v>19</v>
      </c>
      <c r="F952">
        <v>4</v>
      </c>
      <c r="G952" t="s">
        <v>20</v>
      </c>
      <c r="H952">
        <v>3</v>
      </c>
      <c r="I952">
        <v>3</v>
      </c>
      <c r="J952" t="s">
        <v>21</v>
      </c>
      <c r="K952">
        <v>3</v>
      </c>
      <c r="L952">
        <v>9852</v>
      </c>
      <c r="M952" t="str" cm="1">
        <f t="array" ref="M952">_xlfn.IFS(L952&lt;= 7000,"Low",L952&lt;=15000,"Medium",L952&lt;=20000,"High")</f>
        <v>Medium</v>
      </c>
      <c r="N952" t="s">
        <v>18</v>
      </c>
      <c r="O952">
        <v>19</v>
      </c>
      <c r="P952">
        <v>3</v>
      </c>
      <c r="Q952">
        <v>1</v>
      </c>
      <c r="R952">
        <v>10</v>
      </c>
      <c r="S952">
        <v>2</v>
      </c>
      <c r="T952">
        <v>10</v>
      </c>
      <c r="U952">
        <v>8</v>
      </c>
    </row>
    <row r="953" spans="1:21" x14ac:dyDescent="0.35">
      <c r="A953">
        <v>41</v>
      </c>
      <c r="B953" t="str" cm="1">
        <f t="array" ref="B953">_xlfn.IFS(A953&gt;40,"Senior",A953&gt;30,"Adult",A953&gt;=18,"Teenager")</f>
        <v>Senior</v>
      </c>
      <c r="C953" t="s">
        <v>22</v>
      </c>
      <c r="D953">
        <f t="shared" si="14"/>
        <v>0</v>
      </c>
      <c r="E953" t="s">
        <v>19</v>
      </c>
      <c r="F953">
        <v>3</v>
      </c>
      <c r="G953" t="s">
        <v>24</v>
      </c>
      <c r="H953">
        <v>1</v>
      </c>
      <c r="I953">
        <v>2</v>
      </c>
      <c r="J953" t="s">
        <v>21</v>
      </c>
      <c r="K953">
        <v>2</v>
      </c>
      <c r="L953">
        <v>6151</v>
      </c>
      <c r="M953" t="str" cm="1">
        <f t="array" ref="M953">_xlfn.IFS(L953&lt;= 7000,"Low",L953&lt;=15000,"Medium",L953&lt;=20000,"High")</f>
        <v>Low</v>
      </c>
      <c r="N953" t="s">
        <v>22</v>
      </c>
      <c r="O953">
        <v>13</v>
      </c>
      <c r="P953">
        <v>3</v>
      </c>
      <c r="Q953">
        <v>1</v>
      </c>
      <c r="R953">
        <v>19</v>
      </c>
      <c r="S953">
        <v>3</v>
      </c>
      <c r="T953">
        <v>19</v>
      </c>
      <c r="U953">
        <v>2</v>
      </c>
    </row>
    <row r="954" spans="1:21" x14ac:dyDescent="0.35">
      <c r="A954">
        <v>31</v>
      </c>
      <c r="B954" t="str" cm="1">
        <f t="array" ref="B954">_xlfn.IFS(A954&gt;40,"Senior",A954&gt;30,"Adult",A954&gt;=18,"Teenager")</f>
        <v>Adult</v>
      </c>
      <c r="C954" t="s">
        <v>18</v>
      </c>
      <c r="D954">
        <f t="shared" si="14"/>
        <v>1</v>
      </c>
      <c r="E954" t="s">
        <v>19</v>
      </c>
      <c r="F954">
        <v>4</v>
      </c>
      <c r="G954" t="s">
        <v>20</v>
      </c>
      <c r="H954">
        <v>3</v>
      </c>
      <c r="I954">
        <v>1</v>
      </c>
      <c r="J954" t="s">
        <v>30</v>
      </c>
      <c r="K954">
        <v>2</v>
      </c>
      <c r="L954">
        <v>2302</v>
      </c>
      <c r="M954" t="str" cm="1">
        <f t="array" ref="M954">_xlfn.IFS(L954&lt;= 7000,"Low",L954&lt;=15000,"Medium",L954&lt;=20000,"High")</f>
        <v>Low</v>
      </c>
      <c r="N954" t="s">
        <v>18</v>
      </c>
      <c r="O954">
        <v>11</v>
      </c>
      <c r="P954">
        <v>3</v>
      </c>
      <c r="Q954">
        <v>1</v>
      </c>
      <c r="R954">
        <v>3</v>
      </c>
      <c r="S954">
        <v>4</v>
      </c>
      <c r="T954">
        <v>3</v>
      </c>
      <c r="U954">
        <v>2</v>
      </c>
    </row>
    <row r="955" spans="1:21" x14ac:dyDescent="0.35">
      <c r="A955">
        <v>44</v>
      </c>
      <c r="B955" t="str" cm="1">
        <f t="array" ref="B955">_xlfn.IFS(A955&gt;40,"Senior",A955&gt;30,"Adult",A955&gt;=18,"Teenager")</f>
        <v>Senior</v>
      </c>
      <c r="C955" t="s">
        <v>18</v>
      </c>
      <c r="D955">
        <f t="shared" si="14"/>
        <v>1</v>
      </c>
      <c r="E955" t="s">
        <v>23</v>
      </c>
      <c r="F955">
        <v>1</v>
      </c>
      <c r="G955" t="s">
        <v>24</v>
      </c>
      <c r="H955">
        <v>3</v>
      </c>
      <c r="I955">
        <v>1</v>
      </c>
      <c r="J955" t="s">
        <v>26</v>
      </c>
      <c r="K955">
        <v>1</v>
      </c>
      <c r="L955">
        <v>2362</v>
      </c>
      <c r="M955" t="str" cm="1">
        <f t="array" ref="M955">_xlfn.IFS(L955&lt;= 7000,"Low",L955&lt;=15000,"Medium",L955&lt;=20000,"High")</f>
        <v>Low</v>
      </c>
      <c r="N955" t="s">
        <v>22</v>
      </c>
      <c r="O955">
        <v>12</v>
      </c>
      <c r="P955">
        <v>3</v>
      </c>
      <c r="Q955">
        <v>3</v>
      </c>
      <c r="R955">
        <v>10</v>
      </c>
      <c r="S955">
        <v>4</v>
      </c>
      <c r="T955">
        <v>3</v>
      </c>
      <c r="U955">
        <v>2</v>
      </c>
    </row>
    <row r="956" spans="1:21" x14ac:dyDescent="0.35">
      <c r="A956">
        <v>42</v>
      </c>
      <c r="B956" t="str" cm="1">
        <f t="array" ref="B956">_xlfn.IFS(A956&gt;40,"Senior",A956&gt;30,"Adult",A956&gt;=18,"Teenager")</f>
        <v>Senior</v>
      </c>
      <c r="C956" t="s">
        <v>22</v>
      </c>
      <c r="D956">
        <f t="shared" si="14"/>
        <v>0</v>
      </c>
      <c r="E956" t="s">
        <v>23</v>
      </c>
      <c r="F956">
        <v>3</v>
      </c>
      <c r="G956" t="s">
        <v>24</v>
      </c>
      <c r="H956">
        <v>3</v>
      </c>
      <c r="I956">
        <v>4</v>
      </c>
      <c r="J956" t="s">
        <v>29</v>
      </c>
      <c r="K956">
        <v>3</v>
      </c>
      <c r="L956">
        <v>17861</v>
      </c>
      <c r="M956" t="str" cm="1">
        <f t="array" ref="M956">_xlfn.IFS(L956&lt;= 7000,"Low",L956&lt;=15000,"Medium",L956&lt;=20000,"High")</f>
        <v>High</v>
      </c>
      <c r="N956" t="s">
        <v>18</v>
      </c>
      <c r="O956">
        <v>13</v>
      </c>
      <c r="P956">
        <v>3</v>
      </c>
      <c r="Q956">
        <v>4</v>
      </c>
      <c r="R956">
        <v>21</v>
      </c>
      <c r="S956">
        <v>2</v>
      </c>
      <c r="T956">
        <v>20</v>
      </c>
      <c r="U956">
        <v>8</v>
      </c>
    </row>
    <row r="957" spans="1:21" x14ac:dyDescent="0.35">
      <c r="A957">
        <v>55</v>
      </c>
      <c r="B957" t="str" cm="1">
        <f t="array" ref="B957">_xlfn.IFS(A957&gt;40,"Senior",A957&gt;30,"Adult",A957&gt;=18,"Teenager")</f>
        <v>Senior</v>
      </c>
      <c r="C957" t="s">
        <v>22</v>
      </c>
      <c r="D957">
        <f t="shared" si="14"/>
        <v>0</v>
      </c>
      <c r="E957" t="s">
        <v>23</v>
      </c>
      <c r="F957">
        <v>4</v>
      </c>
      <c r="G957" t="s">
        <v>20</v>
      </c>
      <c r="H957">
        <v>1</v>
      </c>
      <c r="I957">
        <v>5</v>
      </c>
      <c r="J957" t="s">
        <v>29</v>
      </c>
      <c r="K957">
        <v>3</v>
      </c>
      <c r="L957">
        <v>19187</v>
      </c>
      <c r="M957" t="str" cm="1">
        <f t="array" ref="M957">_xlfn.IFS(L957&lt;= 7000,"Low",L957&lt;=15000,"Medium",L957&lt;=20000,"High")</f>
        <v>High</v>
      </c>
      <c r="N957" t="s">
        <v>22</v>
      </c>
      <c r="O957">
        <v>14</v>
      </c>
      <c r="P957">
        <v>3</v>
      </c>
      <c r="Q957">
        <v>4</v>
      </c>
      <c r="R957">
        <v>23</v>
      </c>
      <c r="S957">
        <v>3</v>
      </c>
      <c r="T957">
        <v>19</v>
      </c>
      <c r="U957">
        <v>9</v>
      </c>
    </row>
    <row r="958" spans="1:21" x14ac:dyDescent="0.35">
      <c r="A958">
        <v>56</v>
      </c>
      <c r="B958" t="str" cm="1">
        <f t="array" ref="B958">_xlfn.IFS(A958&gt;40,"Senior",A958&gt;30,"Adult",A958&gt;=18,"Teenager")</f>
        <v>Senior</v>
      </c>
      <c r="C958" t="s">
        <v>22</v>
      </c>
      <c r="D958">
        <f t="shared" si="14"/>
        <v>0</v>
      </c>
      <c r="E958" t="s">
        <v>32</v>
      </c>
      <c r="F958">
        <v>4</v>
      </c>
      <c r="G958" t="s">
        <v>24</v>
      </c>
      <c r="H958">
        <v>3</v>
      </c>
      <c r="I958">
        <v>5</v>
      </c>
      <c r="J958" t="s">
        <v>29</v>
      </c>
      <c r="K958">
        <v>2</v>
      </c>
      <c r="L958">
        <v>19717</v>
      </c>
      <c r="M958" t="str" cm="1">
        <f t="array" ref="M958">_xlfn.IFS(L958&lt;= 7000,"Low",L958&lt;=15000,"Medium",L958&lt;=20000,"High")</f>
        <v>High</v>
      </c>
      <c r="N958" t="s">
        <v>22</v>
      </c>
      <c r="O958">
        <v>14</v>
      </c>
      <c r="P958">
        <v>3</v>
      </c>
      <c r="Q958">
        <v>1</v>
      </c>
      <c r="R958">
        <v>36</v>
      </c>
      <c r="S958">
        <v>3</v>
      </c>
      <c r="T958">
        <v>7</v>
      </c>
      <c r="U958">
        <v>3</v>
      </c>
    </row>
    <row r="959" spans="1:21" x14ac:dyDescent="0.35">
      <c r="A959">
        <v>40</v>
      </c>
      <c r="B959" t="str" cm="1">
        <f t="array" ref="B959">_xlfn.IFS(A959&gt;40,"Senior",A959&gt;30,"Adult",A959&gt;=18,"Teenager")</f>
        <v>Adult</v>
      </c>
      <c r="C959" t="s">
        <v>22</v>
      </c>
      <c r="D959">
        <f t="shared" si="14"/>
        <v>0</v>
      </c>
      <c r="E959" t="s">
        <v>23</v>
      </c>
      <c r="F959">
        <v>3</v>
      </c>
      <c r="G959" t="s">
        <v>24</v>
      </c>
      <c r="H959">
        <v>3</v>
      </c>
      <c r="I959">
        <v>1</v>
      </c>
      <c r="J959" t="s">
        <v>25</v>
      </c>
      <c r="K959">
        <v>3</v>
      </c>
      <c r="L959">
        <v>3544</v>
      </c>
      <c r="M959" t="str" cm="1">
        <f t="array" ref="M959">_xlfn.IFS(L959&lt;= 7000,"Low",L959&lt;=15000,"Medium",L959&lt;=20000,"High")</f>
        <v>Low</v>
      </c>
      <c r="N959" t="s">
        <v>22</v>
      </c>
      <c r="O959">
        <v>16</v>
      </c>
      <c r="P959">
        <v>3</v>
      </c>
      <c r="Q959">
        <v>2</v>
      </c>
      <c r="R959">
        <v>6</v>
      </c>
      <c r="S959">
        <v>3</v>
      </c>
      <c r="T959">
        <v>4</v>
      </c>
      <c r="U959">
        <v>2</v>
      </c>
    </row>
    <row r="960" spans="1:21" x14ac:dyDescent="0.35">
      <c r="A960">
        <v>34</v>
      </c>
      <c r="B960" t="str" cm="1">
        <f t="array" ref="B960">_xlfn.IFS(A960&gt;40,"Senior",A960&gt;30,"Adult",A960&gt;=18,"Teenager")</f>
        <v>Adult</v>
      </c>
      <c r="C960" t="s">
        <v>22</v>
      </c>
      <c r="D960">
        <f t="shared" si="14"/>
        <v>0</v>
      </c>
      <c r="E960" t="s">
        <v>23</v>
      </c>
      <c r="F960">
        <v>4</v>
      </c>
      <c r="G960" t="s">
        <v>24</v>
      </c>
      <c r="H960">
        <v>3</v>
      </c>
      <c r="I960">
        <v>3</v>
      </c>
      <c r="J960" t="s">
        <v>28</v>
      </c>
      <c r="K960">
        <v>4</v>
      </c>
      <c r="L960">
        <v>8500</v>
      </c>
      <c r="M960" t="str" cm="1">
        <f t="array" ref="M960">_xlfn.IFS(L960&lt;= 7000,"Low",L960&lt;=15000,"Medium",L960&lt;=20000,"High")</f>
        <v>Medium</v>
      </c>
      <c r="N960" t="s">
        <v>22</v>
      </c>
      <c r="O960">
        <v>11</v>
      </c>
      <c r="P960">
        <v>3</v>
      </c>
      <c r="Q960">
        <v>4</v>
      </c>
      <c r="R960">
        <v>10</v>
      </c>
      <c r="S960">
        <v>2</v>
      </c>
      <c r="T960">
        <v>9</v>
      </c>
      <c r="U960">
        <v>7</v>
      </c>
    </row>
    <row r="961" spans="1:21" x14ac:dyDescent="0.35">
      <c r="A961">
        <v>40</v>
      </c>
      <c r="B961" t="str" cm="1">
        <f t="array" ref="B961">_xlfn.IFS(A961&gt;40,"Senior",A961&gt;30,"Adult",A961&gt;=18,"Teenager")</f>
        <v>Adult</v>
      </c>
      <c r="C961" t="s">
        <v>22</v>
      </c>
      <c r="D961">
        <f t="shared" si="14"/>
        <v>0</v>
      </c>
      <c r="E961" t="s">
        <v>23</v>
      </c>
      <c r="F961">
        <v>3</v>
      </c>
      <c r="G961" t="s">
        <v>24</v>
      </c>
      <c r="H961">
        <v>3</v>
      </c>
      <c r="I961">
        <v>2</v>
      </c>
      <c r="J961" t="s">
        <v>25</v>
      </c>
      <c r="K961">
        <v>4</v>
      </c>
      <c r="L961">
        <v>4661</v>
      </c>
      <c r="M961" t="str" cm="1">
        <f t="array" ref="M961">_xlfn.IFS(L961&lt;= 7000,"Low",L961&lt;=15000,"Medium",L961&lt;=20000,"High")</f>
        <v>Low</v>
      </c>
      <c r="N961" t="s">
        <v>22</v>
      </c>
      <c r="O961">
        <v>13</v>
      </c>
      <c r="P961">
        <v>3</v>
      </c>
      <c r="Q961">
        <v>3</v>
      </c>
      <c r="R961">
        <v>9</v>
      </c>
      <c r="S961">
        <v>3</v>
      </c>
      <c r="T961">
        <v>9</v>
      </c>
      <c r="U961">
        <v>8</v>
      </c>
    </row>
    <row r="962" spans="1:21" x14ac:dyDescent="0.35">
      <c r="A962">
        <v>41</v>
      </c>
      <c r="B962" t="str" cm="1">
        <f t="array" ref="B962">_xlfn.IFS(A962&gt;40,"Senior",A962&gt;30,"Adult",A962&gt;=18,"Teenager")</f>
        <v>Senior</v>
      </c>
      <c r="C962" t="s">
        <v>22</v>
      </c>
      <c r="D962">
        <f t="shared" si="14"/>
        <v>0</v>
      </c>
      <c r="E962" t="s">
        <v>19</v>
      </c>
      <c r="F962">
        <v>3</v>
      </c>
      <c r="G962" t="s">
        <v>20</v>
      </c>
      <c r="H962">
        <v>3</v>
      </c>
      <c r="I962">
        <v>2</v>
      </c>
      <c r="J962" t="s">
        <v>21</v>
      </c>
      <c r="K962">
        <v>1</v>
      </c>
      <c r="L962">
        <v>4103</v>
      </c>
      <c r="M962" t="str" cm="1">
        <f t="array" ref="M962">_xlfn.IFS(L962&lt;= 7000,"Low",L962&lt;=15000,"Medium",L962&lt;=20000,"High")</f>
        <v>Low</v>
      </c>
      <c r="N962" t="s">
        <v>22</v>
      </c>
      <c r="O962">
        <v>17</v>
      </c>
      <c r="P962">
        <v>3</v>
      </c>
      <c r="Q962">
        <v>4</v>
      </c>
      <c r="R962">
        <v>10</v>
      </c>
      <c r="S962">
        <v>3</v>
      </c>
      <c r="T962">
        <v>9</v>
      </c>
      <c r="U962">
        <v>3</v>
      </c>
    </row>
    <row r="963" spans="1:21" x14ac:dyDescent="0.35">
      <c r="A963">
        <v>35</v>
      </c>
      <c r="B963" t="str" cm="1">
        <f t="array" ref="B963">_xlfn.IFS(A963&gt;40,"Senior",A963&gt;30,"Adult",A963&gt;=18,"Teenager")</f>
        <v>Adult</v>
      </c>
      <c r="C963" t="s">
        <v>22</v>
      </c>
      <c r="D963">
        <f t="shared" ref="D963:D1026" si="15">IF(C963="Yes",1,0)</f>
        <v>0</v>
      </c>
      <c r="E963" t="s">
        <v>23</v>
      </c>
      <c r="F963">
        <v>3</v>
      </c>
      <c r="G963" t="s">
        <v>24</v>
      </c>
      <c r="H963">
        <v>3</v>
      </c>
      <c r="I963">
        <v>2</v>
      </c>
      <c r="J963" t="s">
        <v>25</v>
      </c>
      <c r="K963">
        <v>3</v>
      </c>
      <c r="L963">
        <v>4249</v>
      </c>
      <c r="M963" t="str" cm="1">
        <f t="array" ref="M963">_xlfn.IFS(L963&lt;= 7000,"Low",L963&lt;=15000,"Medium",L963&lt;=20000,"High")</f>
        <v>Low</v>
      </c>
      <c r="N963" t="s">
        <v>18</v>
      </c>
      <c r="O963">
        <v>11</v>
      </c>
      <c r="P963">
        <v>3</v>
      </c>
      <c r="Q963">
        <v>2</v>
      </c>
      <c r="R963">
        <v>9</v>
      </c>
      <c r="S963">
        <v>3</v>
      </c>
      <c r="T963">
        <v>9</v>
      </c>
      <c r="U963">
        <v>6</v>
      </c>
    </row>
    <row r="964" spans="1:21" x14ac:dyDescent="0.35">
      <c r="A964">
        <v>51</v>
      </c>
      <c r="B964" t="str" cm="1">
        <f t="array" ref="B964">_xlfn.IFS(A964&gt;40,"Senior",A964&gt;30,"Adult",A964&gt;=18,"Teenager")</f>
        <v>Senior</v>
      </c>
      <c r="C964" t="s">
        <v>22</v>
      </c>
      <c r="D964">
        <f t="shared" si="15"/>
        <v>0</v>
      </c>
      <c r="E964" t="s">
        <v>32</v>
      </c>
      <c r="F964">
        <v>3</v>
      </c>
      <c r="G964" t="s">
        <v>24</v>
      </c>
      <c r="H964">
        <v>3</v>
      </c>
      <c r="I964">
        <v>4</v>
      </c>
      <c r="J964" t="s">
        <v>29</v>
      </c>
      <c r="K964">
        <v>2</v>
      </c>
      <c r="L964">
        <v>14026</v>
      </c>
      <c r="M964" t="str" cm="1">
        <f t="array" ref="M964">_xlfn.IFS(L964&lt;= 7000,"Low",L964&lt;=15000,"Medium",L964&lt;=20000,"High")</f>
        <v>Medium</v>
      </c>
      <c r="N964" t="s">
        <v>18</v>
      </c>
      <c r="O964">
        <v>11</v>
      </c>
      <c r="P964">
        <v>3</v>
      </c>
      <c r="Q964">
        <v>2</v>
      </c>
      <c r="R964">
        <v>33</v>
      </c>
      <c r="S964">
        <v>3</v>
      </c>
      <c r="T964">
        <v>33</v>
      </c>
      <c r="U964">
        <v>9</v>
      </c>
    </row>
    <row r="965" spans="1:21" x14ac:dyDescent="0.35">
      <c r="A965">
        <v>38</v>
      </c>
      <c r="B965" t="str" cm="1">
        <f t="array" ref="B965">_xlfn.IFS(A965&gt;40,"Senior",A965&gt;30,"Adult",A965&gt;=18,"Teenager")</f>
        <v>Adult</v>
      </c>
      <c r="C965" t="s">
        <v>22</v>
      </c>
      <c r="D965">
        <f t="shared" si="15"/>
        <v>0</v>
      </c>
      <c r="E965" t="s">
        <v>19</v>
      </c>
      <c r="F965">
        <v>2</v>
      </c>
      <c r="G965" t="s">
        <v>20</v>
      </c>
      <c r="H965">
        <v>3</v>
      </c>
      <c r="I965">
        <v>2</v>
      </c>
      <c r="J965" t="s">
        <v>21</v>
      </c>
      <c r="K965">
        <v>1</v>
      </c>
      <c r="L965">
        <v>6893</v>
      </c>
      <c r="M965" t="str" cm="1">
        <f t="array" ref="M965">_xlfn.IFS(L965&lt;= 7000,"Low",L965&lt;=15000,"Medium",L965&lt;=20000,"High")</f>
        <v>Low</v>
      </c>
      <c r="N965" t="s">
        <v>22</v>
      </c>
      <c r="O965">
        <v>15</v>
      </c>
      <c r="P965">
        <v>3</v>
      </c>
      <c r="Q965">
        <v>4</v>
      </c>
      <c r="R965">
        <v>11</v>
      </c>
      <c r="S965">
        <v>3</v>
      </c>
      <c r="T965">
        <v>7</v>
      </c>
      <c r="U965">
        <v>7</v>
      </c>
    </row>
    <row r="966" spans="1:21" x14ac:dyDescent="0.35">
      <c r="A966">
        <v>34</v>
      </c>
      <c r="B966" t="str" cm="1">
        <f t="array" ref="B966">_xlfn.IFS(A966&gt;40,"Senior",A966&gt;30,"Adult",A966&gt;=18,"Teenager")</f>
        <v>Adult</v>
      </c>
      <c r="C966" t="s">
        <v>22</v>
      </c>
      <c r="D966">
        <f t="shared" si="15"/>
        <v>0</v>
      </c>
      <c r="E966" t="s">
        <v>19</v>
      </c>
      <c r="F966">
        <v>3</v>
      </c>
      <c r="G966" t="s">
        <v>20</v>
      </c>
      <c r="H966">
        <v>3</v>
      </c>
      <c r="I966">
        <v>2</v>
      </c>
      <c r="J966" t="s">
        <v>21</v>
      </c>
      <c r="K966">
        <v>1</v>
      </c>
      <c r="L966">
        <v>6125</v>
      </c>
      <c r="M966" t="str" cm="1">
        <f t="array" ref="M966">_xlfn.IFS(L966&lt;= 7000,"Low",L966&lt;=15000,"Medium",L966&lt;=20000,"High")</f>
        <v>Low</v>
      </c>
      <c r="N966" t="s">
        <v>22</v>
      </c>
      <c r="O966">
        <v>12</v>
      </c>
      <c r="P966">
        <v>3</v>
      </c>
      <c r="Q966">
        <v>4</v>
      </c>
      <c r="R966">
        <v>10</v>
      </c>
      <c r="S966">
        <v>4</v>
      </c>
      <c r="T966">
        <v>10</v>
      </c>
      <c r="U966">
        <v>8</v>
      </c>
    </row>
    <row r="967" spans="1:21" x14ac:dyDescent="0.35">
      <c r="A967">
        <v>25</v>
      </c>
      <c r="B967" t="str" cm="1">
        <f t="array" ref="B967">_xlfn.IFS(A967&gt;40,"Senior",A967&gt;30,"Adult",A967&gt;=18,"Teenager")</f>
        <v>Teenager</v>
      </c>
      <c r="C967" t="s">
        <v>22</v>
      </c>
      <c r="D967">
        <f t="shared" si="15"/>
        <v>0</v>
      </c>
      <c r="E967" t="s">
        <v>23</v>
      </c>
      <c r="F967">
        <v>4</v>
      </c>
      <c r="G967" t="s">
        <v>24</v>
      </c>
      <c r="H967">
        <v>3</v>
      </c>
      <c r="I967">
        <v>1</v>
      </c>
      <c r="J967" t="s">
        <v>26</v>
      </c>
      <c r="K967">
        <v>4</v>
      </c>
      <c r="L967">
        <v>3669</v>
      </c>
      <c r="M967" t="str" cm="1">
        <f t="array" ref="M967">_xlfn.IFS(L967&lt;= 7000,"Low",L967&lt;=15000,"Medium",L967&lt;=20000,"High")</f>
        <v>Low</v>
      </c>
      <c r="N967" t="s">
        <v>22</v>
      </c>
      <c r="O967">
        <v>11</v>
      </c>
      <c r="P967">
        <v>3</v>
      </c>
      <c r="Q967">
        <v>3</v>
      </c>
      <c r="R967">
        <v>7</v>
      </c>
      <c r="S967">
        <v>2</v>
      </c>
      <c r="T967">
        <v>3</v>
      </c>
      <c r="U967">
        <v>2</v>
      </c>
    </row>
    <row r="968" spans="1:21" x14ac:dyDescent="0.35">
      <c r="A968">
        <v>58</v>
      </c>
      <c r="B968" t="str" cm="1">
        <f t="array" ref="B968">_xlfn.IFS(A968&gt;40,"Senior",A968&gt;30,"Adult",A968&gt;=18,"Teenager")</f>
        <v>Senior</v>
      </c>
      <c r="C968" t="s">
        <v>18</v>
      </c>
      <c r="D968">
        <f t="shared" si="15"/>
        <v>1</v>
      </c>
      <c r="E968" t="s">
        <v>23</v>
      </c>
      <c r="F968">
        <v>3</v>
      </c>
      <c r="G968" t="s">
        <v>20</v>
      </c>
      <c r="H968">
        <v>2</v>
      </c>
      <c r="I968">
        <v>3</v>
      </c>
      <c r="J968" t="s">
        <v>27</v>
      </c>
      <c r="K968">
        <v>1</v>
      </c>
      <c r="L968">
        <v>10008</v>
      </c>
      <c r="M968" t="str" cm="1">
        <f t="array" ref="M968">_xlfn.IFS(L968&lt;= 7000,"Low",L968&lt;=15000,"Medium",L968&lt;=20000,"High")</f>
        <v>Medium</v>
      </c>
      <c r="N968" t="s">
        <v>18</v>
      </c>
      <c r="O968">
        <v>14</v>
      </c>
      <c r="P968">
        <v>3</v>
      </c>
      <c r="Q968">
        <v>4</v>
      </c>
      <c r="R968">
        <v>31</v>
      </c>
      <c r="S968">
        <v>2</v>
      </c>
      <c r="T968">
        <v>10</v>
      </c>
      <c r="U968">
        <v>9</v>
      </c>
    </row>
    <row r="969" spans="1:21" x14ac:dyDescent="0.35">
      <c r="A969">
        <v>40</v>
      </c>
      <c r="B969" t="str" cm="1">
        <f t="array" ref="B969">_xlfn.IFS(A969&gt;40,"Senior",A969&gt;30,"Adult",A969&gt;=18,"Teenager")</f>
        <v>Adult</v>
      </c>
      <c r="C969" t="s">
        <v>22</v>
      </c>
      <c r="D969">
        <f t="shared" si="15"/>
        <v>0</v>
      </c>
      <c r="E969" t="s">
        <v>23</v>
      </c>
      <c r="F969">
        <v>2</v>
      </c>
      <c r="G969" t="s">
        <v>24</v>
      </c>
      <c r="H969">
        <v>3</v>
      </c>
      <c r="I969">
        <v>1</v>
      </c>
      <c r="J969" t="s">
        <v>26</v>
      </c>
      <c r="K969">
        <v>2</v>
      </c>
      <c r="L969">
        <v>2387</v>
      </c>
      <c r="M969" t="str" cm="1">
        <f t="array" ref="M969">_xlfn.IFS(L969&lt;= 7000,"Low",L969&lt;=15000,"Medium",L969&lt;=20000,"High")</f>
        <v>Low</v>
      </c>
      <c r="N969" t="s">
        <v>22</v>
      </c>
      <c r="O969">
        <v>22</v>
      </c>
      <c r="P969">
        <v>4</v>
      </c>
      <c r="Q969">
        <v>3</v>
      </c>
      <c r="R969">
        <v>7</v>
      </c>
      <c r="S969">
        <v>3</v>
      </c>
      <c r="T969">
        <v>4</v>
      </c>
      <c r="U969">
        <v>2</v>
      </c>
    </row>
    <row r="970" spans="1:21" x14ac:dyDescent="0.35">
      <c r="A970">
        <v>36</v>
      </c>
      <c r="B970" t="str" cm="1">
        <f t="array" ref="B970">_xlfn.IFS(A970&gt;40,"Senior",A970&gt;30,"Adult",A970&gt;=18,"Teenager")</f>
        <v>Adult</v>
      </c>
      <c r="C970" t="s">
        <v>22</v>
      </c>
      <c r="D970">
        <f t="shared" si="15"/>
        <v>0</v>
      </c>
      <c r="E970" t="s">
        <v>19</v>
      </c>
      <c r="F970">
        <v>1</v>
      </c>
      <c r="G970" t="s">
        <v>20</v>
      </c>
      <c r="H970">
        <v>4</v>
      </c>
      <c r="I970">
        <v>2</v>
      </c>
      <c r="J970" t="s">
        <v>21</v>
      </c>
      <c r="K970">
        <v>1</v>
      </c>
      <c r="L970">
        <v>4639</v>
      </c>
      <c r="M970" t="str" cm="1">
        <f t="array" ref="M970">_xlfn.IFS(L970&lt;= 7000,"Low",L970&lt;=15000,"Medium",L970&lt;=20000,"High")</f>
        <v>Low</v>
      </c>
      <c r="N970" t="s">
        <v>22</v>
      </c>
      <c r="O970">
        <v>16</v>
      </c>
      <c r="P970">
        <v>3</v>
      </c>
      <c r="Q970">
        <v>4</v>
      </c>
      <c r="R970">
        <v>17</v>
      </c>
      <c r="S970">
        <v>2</v>
      </c>
      <c r="T970">
        <v>15</v>
      </c>
      <c r="U970">
        <v>7</v>
      </c>
    </row>
    <row r="971" spans="1:21" x14ac:dyDescent="0.35">
      <c r="A971">
        <v>48</v>
      </c>
      <c r="B971" t="str" cm="1">
        <f t="array" ref="B971">_xlfn.IFS(A971&gt;40,"Senior",A971&gt;30,"Adult",A971&gt;=18,"Teenager")</f>
        <v>Senior</v>
      </c>
      <c r="C971" t="s">
        <v>22</v>
      </c>
      <c r="D971">
        <f t="shared" si="15"/>
        <v>0</v>
      </c>
      <c r="E971" t="s">
        <v>23</v>
      </c>
      <c r="F971">
        <v>4</v>
      </c>
      <c r="G971" t="s">
        <v>24</v>
      </c>
      <c r="H971">
        <v>3</v>
      </c>
      <c r="I971">
        <v>3</v>
      </c>
      <c r="J971" t="s">
        <v>27</v>
      </c>
      <c r="K971">
        <v>4</v>
      </c>
      <c r="L971">
        <v>7898</v>
      </c>
      <c r="M971" t="str" cm="1">
        <f t="array" ref="M971">_xlfn.IFS(L971&lt;= 7000,"Low",L971&lt;=15000,"Medium",L971&lt;=20000,"High")</f>
        <v>Medium</v>
      </c>
      <c r="N971" t="s">
        <v>22</v>
      </c>
      <c r="O971">
        <v>11</v>
      </c>
      <c r="P971">
        <v>3</v>
      </c>
      <c r="Q971">
        <v>3</v>
      </c>
      <c r="R971">
        <v>11</v>
      </c>
      <c r="S971">
        <v>3</v>
      </c>
      <c r="T971">
        <v>10</v>
      </c>
      <c r="U971">
        <v>9</v>
      </c>
    </row>
    <row r="972" spans="1:21" x14ac:dyDescent="0.35">
      <c r="A972">
        <v>27</v>
      </c>
      <c r="B972" t="str" cm="1">
        <f t="array" ref="B972">_xlfn.IFS(A972&gt;40,"Senior",A972&gt;30,"Adult",A972&gt;=18,"Teenager")</f>
        <v>Teenager</v>
      </c>
      <c r="C972" t="s">
        <v>22</v>
      </c>
      <c r="D972">
        <f t="shared" si="15"/>
        <v>0</v>
      </c>
      <c r="E972" t="s">
        <v>19</v>
      </c>
      <c r="F972">
        <v>3</v>
      </c>
      <c r="G972" t="s">
        <v>20</v>
      </c>
      <c r="H972">
        <v>4</v>
      </c>
      <c r="I972">
        <v>1</v>
      </c>
      <c r="J972" t="s">
        <v>30</v>
      </c>
      <c r="K972">
        <v>4</v>
      </c>
      <c r="L972">
        <v>2534</v>
      </c>
      <c r="M972" t="str" cm="1">
        <f t="array" ref="M972">_xlfn.IFS(L972&lt;= 7000,"Low",L972&lt;=15000,"Medium",L972&lt;=20000,"High")</f>
        <v>Low</v>
      </c>
      <c r="N972" t="s">
        <v>22</v>
      </c>
      <c r="O972">
        <v>14</v>
      </c>
      <c r="P972">
        <v>3</v>
      </c>
      <c r="Q972">
        <v>2</v>
      </c>
      <c r="R972">
        <v>5</v>
      </c>
      <c r="S972">
        <v>3</v>
      </c>
      <c r="T972">
        <v>1</v>
      </c>
      <c r="U972">
        <v>0</v>
      </c>
    </row>
    <row r="973" spans="1:21" x14ac:dyDescent="0.35">
      <c r="A973">
        <v>51</v>
      </c>
      <c r="B973" t="str" cm="1">
        <f t="array" ref="B973">_xlfn.IFS(A973&gt;40,"Senior",A973&gt;30,"Adult",A973&gt;=18,"Teenager")</f>
        <v>Senior</v>
      </c>
      <c r="C973" t="s">
        <v>22</v>
      </c>
      <c r="D973">
        <f t="shared" si="15"/>
        <v>0</v>
      </c>
      <c r="E973" t="s">
        <v>23</v>
      </c>
      <c r="F973">
        <v>4</v>
      </c>
      <c r="G973" t="s">
        <v>20</v>
      </c>
      <c r="H973">
        <v>2</v>
      </c>
      <c r="I973">
        <v>4</v>
      </c>
      <c r="J973" t="s">
        <v>27</v>
      </c>
      <c r="K973">
        <v>2</v>
      </c>
      <c r="L973">
        <v>13142</v>
      </c>
      <c r="M973" t="str" cm="1">
        <f t="array" ref="M973">_xlfn.IFS(L973&lt;= 7000,"Low",L973&lt;=15000,"Medium",L973&lt;=20000,"High")</f>
        <v>Medium</v>
      </c>
      <c r="N973" t="s">
        <v>22</v>
      </c>
      <c r="O973">
        <v>16</v>
      </c>
      <c r="P973">
        <v>3</v>
      </c>
      <c r="Q973">
        <v>2</v>
      </c>
      <c r="R973">
        <v>29</v>
      </c>
      <c r="S973">
        <v>2</v>
      </c>
      <c r="T973">
        <v>5</v>
      </c>
      <c r="U973">
        <v>2</v>
      </c>
    </row>
    <row r="974" spans="1:21" x14ac:dyDescent="0.35">
      <c r="A974">
        <v>18</v>
      </c>
      <c r="B974" t="str" cm="1">
        <f t="array" ref="B974">_xlfn.IFS(A974&gt;40,"Senior",A974&gt;30,"Adult",A974&gt;=18,"Teenager")</f>
        <v>Teenager</v>
      </c>
      <c r="C974" t="s">
        <v>22</v>
      </c>
      <c r="D974">
        <f t="shared" si="15"/>
        <v>0</v>
      </c>
      <c r="E974" t="s">
        <v>23</v>
      </c>
      <c r="F974">
        <v>4</v>
      </c>
      <c r="G974" t="s">
        <v>20</v>
      </c>
      <c r="H974">
        <v>3</v>
      </c>
      <c r="I974">
        <v>1</v>
      </c>
      <c r="J974" t="s">
        <v>26</v>
      </c>
      <c r="K974">
        <v>4</v>
      </c>
      <c r="L974">
        <v>1611</v>
      </c>
      <c r="M974" t="str" cm="1">
        <f t="array" ref="M974">_xlfn.IFS(L974&lt;= 7000,"Low",L974&lt;=15000,"Medium",L974&lt;=20000,"High")</f>
        <v>Low</v>
      </c>
      <c r="N974" t="s">
        <v>22</v>
      </c>
      <c r="O974">
        <v>15</v>
      </c>
      <c r="P974">
        <v>3</v>
      </c>
      <c r="Q974">
        <v>3</v>
      </c>
      <c r="R974">
        <v>0</v>
      </c>
      <c r="S974">
        <v>4</v>
      </c>
      <c r="T974">
        <v>0</v>
      </c>
      <c r="U974">
        <v>0</v>
      </c>
    </row>
    <row r="975" spans="1:21" x14ac:dyDescent="0.35">
      <c r="A975">
        <v>35</v>
      </c>
      <c r="B975" t="str" cm="1">
        <f t="array" ref="B975">_xlfn.IFS(A975&gt;40,"Senior",A975&gt;30,"Adult",A975&gt;=18,"Teenager")</f>
        <v>Adult</v>
      </c>
      <c r="C975" t="s">
        <v>22</v>
      </c>
      <c r="D975">
        <f t="shared" si="15"/>
        <v>0</v>
      </c>
      <c r="E975" t="s">
        <v>23</v>
      </c>
      <c r="F975">
        <v>4</v>
      </c>
      <c r="G975" t="s">
        <v>20</v>
      </c>
      <c r="H975">
        <v>2</v>
      </c>
      <c r="I975">
        <v>2</v>
      </c>
      <c r="J975" t="s">
        <v>26</v>
      </c>
      <c r="K975">
        <v>4</v>
      </c>
      <c r="L975">
        <v>5363</v>
      </c>
      <c r="M975" t="str" cm="1">
        <f t="array" ref="M975">_xlfn.IFS(L975&lt;= 7000,"Low",L975&lt;=15000,"Medium",L975&lt;=20000,"High")</f>
        <v>Low</v>
      </c>
      <c r="N975" t="s">
        <v>22</v>
      </c>
      <c r="O975">
        <v>12</v>
      </c>
      <c r="P975">
        <v>3</v>
      </c>
      <c r="Q975">
        <v>2</v>
      </c>
      <c r="R975">
        <v>10</v>
      </c>
      <c r="S975">
        <v>3</v>
      </c>
      <c r="T975">
        <v>9</v>
      </c>
      <c r="U975">
        <v>7</v>
      </c>
    </row>
    <row r="976" spans="1:21" x14ac:dyDescent="0.35">
      <c r="A976">
        <v>27</v>
      </c>
      <c r="B976" t="str" cm="1">
        <f t="array" ref="B976">_xlfn.IFS(A976&gt;40,"Senior",A976&gt;30,"Adult",A976&gt;=18,"Teenager")</f>
        <v>Teenager</v>
      </c>
      <c r="C976" t="s">
        <v>22</v>
      </c>
      <c r="D976">
        <f t="shared" si="15"/>
        <v>0</v>
      </c>
      <c r="E976" t="s">
        <v>19</v>
      </c>
      <c r="F976">
        <v>4</v>
      </c>
      <c r="G976" t="s">
        <v>24</v>
      </c>
      <c r="H976">
        <v>1</v>
      </c>
      <c r="I976">
        <v>2</v>
      </c>
      <c r="J976" t="s">
        <v>21</v>
      </c>
      <c r="K976">
        <v>4</v>
      </c>
      <c r="L976">
        <v>5071</v>
      </c>
      <c r="M976" t="str" cm="1">
        <f t="array" ref="M976">_xlfn.IFS(L976&lt;= 7000,"Low",L976&lt;=15000,"Medium",L976&lt;=20000,"High")</f>
        <v>Low</v>
      </c>
      <c r="N976" t="s">
        <v>22</v>
      </c>
      <c r="O976">
        <v>20</v>
      </c>
      <c r="P976">
        <v>4</v>
      </c>
      <c r="Q976">
        <v>2</v>
      </c>
      <c r="R976">
        <v>8</v>
      </c>
      <c r="S976">
        <v>3</v>
      </c>
      <c r="T976">
        <v>6</v>
      </c>
      <c r="U976">
        <v>2</v>
      </c>
    </row>
    <row r="977" spans="1:21" x14ac:dyDescent="0.35">
      <c r="A977">
        <v>55</v>
      </c>
      <c r="B977" t="str" cm="1">
        <f t="array" ref="B977">_xlfn.IFS(A977&gt;40,"Senior",A977&gt;30,"Adult",A977&gt;=18,"Teenager")</f>
        <v>Senior</v>
      </c>
      <c r="C977" t="s">
        <v>18</v>
      </c>
      <c r="D977">
        <f t="shared" si="15"/>
        <v>1</v>
      </c>
      <c r="E977" t="s">
        <v>19</v>
      </c>
      <c r="F977">
        <v>1</v>
      </c>
      <c r="G977" t="s">
        <v>24</v>
      </c>
      <c r="H977">
        <v>4</v>
      </c>
      <c r="I977">
        <v>4</v>
      </c>
      <c r="J977" t="s">
        <v>21</v>
      </c>
      <c r="K977">
        <v>3</v>
      </c>
      <c r="L977">
        <v>13695</v>
      </c>
      <c r="M977" t="str" cm="1">
        <f t="array" ref="M977">_xlfn.IFS(L977&lt;= 7000,"Low",L977&lt;=15000,"Medium",L977&lt;=20000,"High")</f>
        <v>Medium</v>
      </c>
      <c r="N977" t="s">
        <v>18</v>
      </c>
      <c r="O977">
        <v>17</v>
      </c>
      <c r="P977">
        <v>3</v>
      </c>
      <c r="Q977">
        <v>3</v>
      </c>
      <c r="R977">
        <v>24</v>
      </c>
      <c r="S977">
        <v>2</v>
      </c>
      <c r="T977">
        <v>19</v>
      </c>
      <c r="U977">
        <v>7</v>
      </c>
    </row>
    <row r="978" spans="1:21" x14ac:dyDescent="0.35">
      <c r="A978">
        <v>56</v>
      </c>
      <c r="B978" t="str" cm="1">
        <f t="array" ref="B978">_xlfn.IFS(A978&gt;40,"Senior",A978&gt;30,"Adult",A978&gt;=18,"Teenager")</f>
        <v>Senior</v>
      </c>
      <c r="C978" t="s">
        <v>22</v>
      </c>
      <c r="D978">
        <f t="shared" si="15"/>
        <v>0</v>
      </c>
      <c r="E978" t="s">
        <v>23</v>
      </c>
      <c r="F978">
        <v>4</v>
      </c>
      <c r="G978" t="s">
        <v>24</v>
      </c>
      <c r="H978">
        <v>3</v>
      </c>
      <c r="I978">
        <v>4</v>
      </c>
      <c r="J978" t="s">
        <v>27</v>
      </c>
      <c r="K978">
        <v>2</v>
      </c>
      <c r="L978">
        <v>13402</v>
      </c>
      <c r="M978" t="str" cm="1">
        <f t="array" ref="M978">_xlfn.IFS(L978&lt;= 7000,"Low",L978&lt;=15000,"Medium",L978&lt;=20000,"High")</f>
        <v>Medium</v>
      </c>
      <c r="N978" t="s">
        <v>18</v>
      </c>
      <c r="O978">
        <v>12</v>
      </c>
      <c r="P978">
        <v>3</v>
      </c>
      <c r="Q978">
        <v>1</v>
      </c>
      <c r="R978">
        <v>33</v>
      </c>
      <c r="S978">
        <v>3</v>
      </c>
      <c r="T978">
        <v>19</v>
      </c>
      <c r="U978">
        <v>16</v>
      </c>
    </row>
    <row r="979" spans="1:21" x14ac:dyDescent="0.35">
      <c r="A979">
        <v>34</v>
      </c>
      <c r="B979" t="str" cm="1">
        <f t="array" ref="B979">_xlfn.IFS(A979&gt;40,"Senior",A979&gt;30,"Adult",A979&gt;=18,"Teenager")</f>
        <v>Adult</v>
      </c>
      <c r="C979" t="s">
        <v>22</v>
      </c>
      <c r="D979">
        <f t="shared" si="15"/>
        <v>0</v>
      </c>
      <c r="E979" t="s">
        <v>23</v>
      </c>
      <c r="F979">
        <v>1</v>
      </c>
      <c r="G979" t="s">
        <v>20</v>
      </c>
      <c r="H979">
        <v>2</v>
      </c>
      <c r="I979">
        <v>1</v>
      </c>
      <c r="J979" t="s">
        <v>25</v>
      </c>
      <c r="K979">
        <v>3</v>
      </c>
      <c r="L979">
        <v>2029</v>
      </c>
      <c r="M979" t="str" cm="1">
        <f t="array" ref="M979">_xlfn.IFS(L979&lt;= 7000,"Low",L979&lt;=15000,"Medium",L979&lt;=20000,"High")</f>
        <v>Low</v>
      </c>
      <c r="N979" t="s">
        <v>22</v>
      </c>
      <c r="O979">
        <v>20</v>
      </c>
      <c r="P979">
        <v>4</v>
      </c>
      <c r="Q979">
        <v>3</v>
      </c>
      <c r="R979">
        <v>5</v>
      </c>
      <c r="S979">
        <v>3</v>
      </c>
      <c r="T979">
        <v>5</v>
      </c>
      <c r="U979">
        <v>4</v>
      </c>
    </row>
    <row r="980" spans="1:21" x14ac:dyDescent="0.35">
      <c r="A980">
        <v>40</v>
      </c>
      <c r="B980" t="str" cm="1">
        <f t="array" ref="B980">_xlfn.IFS(A980&gt;40,"Senior",A980&gt;30,"Adult",A980&gt;=18,"Teenager")</f>
        <v>Adult</v>
      </c>
      <c r="C980" t="s">
        <v>22</v>
      </c>
      <c r="D980">
        <f t="shared" si="15"/>
        <v>0</v>
      </c>
      <c r="E980" t="s">
        <v>23</v>
      </c>
      <c r="F980">
        <v>2</v>
      </c>
      <c r="G980" t="s">
        <v>20</v>
      </c>
      <c r="H980">
        <v>4</v>
      </c>
      <c r="I980">
        <v>2</v>
      </c>
      <c r="J980" t="s">
        <v>28</v>
      </c>
      <c r="K980">
        <v>3</v>
      </c>
      <c r="L980">
        <v>6377</v>
      </c>
      <c r="M980" t="str" cm="1">
        <f t="array" ref="M980">_xlfn.IFS(L980&lt;= 7000,"Low",L980&lt;=15000,"Medium",L980&lt;=20000,"High")</f>
        <v>Low</v>
      </c>
      <c r="N980" t="s">
        <v>22</v>
      </c>
      <c r="O980">
        <v>20</v>
      </c>
      <c r="P980">
        <v>4</v>
      </c>
      <c r="Q980">
        <v>2</v>
      </c>
      <c r="R980">
        <v>15</v>
      </c>
      <c r="S980">
        <v>3</v>
      </c>
      <c r="T980">
        <v>12</v>
      </c>
      <c r="U980">
        <v>11</v>
      </c>
    </row>
    <row r="981" spans="1:21" x14ac:dyDescent="0.35">
      <c r="A981">
        <v>34</v>
      </c>
      <c r="B981" t="str" cm="1">
        <f t="array" ref="B981">_xlfn.IFS(A981&gt;40,"Senior",A981&gt;30,"Adult",A981&gt;=18,"Teenager")</f>
        <v>Adult</v>
      </c>
      <c r="C981" t="s">
        <v>22</v>
      </c>
      <c r="D981">
        <f t="shared" si="15"/>
        <v>0</v>
      </c>
      <c r="E981" t="s">
        <v>23</v>
      </c>
      <c r="F981">
        <v>2</v>
      </c>
      <c r="G981" t="s">
        <v>24</v>
      </c>
      <c r="H981">
        <v>3</v>
      </c>
      <c r="I981">
        <v>2</v>
      </c>
      <c r="J981" t="s">
        <v>26</v>
      </c>
      <c r="K981">
        <v>3</v>
      </c>
      <c r="L981">
        <v>5429</v>
      </c>
      <c r="M981" t="str" cm="1">
        <f t="array" ref="M981">_xlfn.IFS(L981&lt;= 7000,"Low",L981&lt;=15000,"Medium",L981&lt;=20000,"High")</f>
        <v>Low</v>
      </c>
      <c r="N981" t="s">
        <v>22</v>
      </c>
      <c r="O981">
        <v>13</v>
      </c>
      <c r="P981">
        <v>3</v>
      </c>
      <c r="Q981">
        <v>1</v>
      </c>
      <c r="R981">
        <v>10</v>
      </c>
      <c r="S981">
        <v>3</v>
      </c>
      <c r="T981">
        <v>8</v>
      </c>
      <c r="U981">
        <v>7</v>
      </c>
    </row>
    <row r="982" spans="1:21" x14ac:dyDescent="0.35">
      <c r="A982">
        <v>31</v>
      </c>
      <c r="B982" t="str" cm="1">
        <f t="array" ref="B982">_xlfn.IFS(A982&gt;40,"Senior",A982&gt;30,"Adult",A982&gt;=18,"Teenager")</f>
        <v>Adult</v>
      </c>
      <c r="C982" t="s">
        <v>18</v>
      </c>
      <c r="D982">
        <f t="shared" si="15"/>
        <v>1</v>
      </c>
      <c r="E982" t="s">
        <v>19</v>
      </c>
      <c r="F982">
        <v>3</v>
      </c>
      <c r="G982" t="s">
        <v>20</v>
      </c>
      <c r="H982">
        <v>2</v>
      </c>
      <c r="I982">
        <v>1</v>
      </c>
      <c r="J982" t="s">
        <v>30</v>
      </c>
      <c r="K982">
        <v>4</v>
      </c>
      <c r="L982">
        <v>2785</v>
      </c>
      <c r="M982" t="str" cm="1">
        <f t="array" ref="M982">_xlfn.IFS(L982&lt;= 7000,"Low",L982&lt;=15000,"Medium",L982&lt;=20000,"High")</f>
        <v>Low</v>
      </c>
      <c r="N982" t="s">
        <v>22</v>
      </c>
      <c r="O982">
        <v>14</v>
      </c>
      <c r="P982">
        <v>3</v>
      </c>
      <c r="Q982">
        <v>3</v>
      </c>
      <c r="R982">
        <v>3</v>
      </c>
      <c r="S982">
        <v>4</v>
      </c>
      <c r="T982">
        <v>1</v>
      </c>
      <c r="U982">
        <v>0</v>
      </c>
    </row>
    <row r="983" spans="1:21" x14ac:dyDescent="0.35">
      <c r="A983">
        <v>35</v>
      </c>
      <c r="B983" t="str" cm="1">
        <f t="array" ref="B983">_xlfn.IFS(A983&gt;40,"Senior",A983&gt;30,"Adult",A983&gt;=18,"Teenager")</f>
        <v>Adult</v>
      </c>
      <c r="C983" t="s">
        <v>18</v>
      </c>
      <c r="D983">
        <f t="shared" si="15"/>
        <v>1</v>
      </c>
      <c r="E983" t="s">
        <v>19</v>
      </c>
      <c r="F983">
        <v>4</v>
      </c>
      <c r="G983" t="s">
        <v>20</v>
      </c>
      <c r="H983">
        <v>3</v>
      </c>
      <c r="I983">
        <v>2</v>
      </c>
      <c r="J983" t="s">
        <v>21</v>
      </c>
      <c r="K983">
        <v>3</v>
      </c>
      <c r="L983">
        <v>4614</v>
      </c>
      <c r="M983" t="str" cm="1">
        <f t="array" ref="M983">_xlfn.IFS(L983&lt;= 7000,"Low",L983&lt;=15000,"Medium",L983&lt;=20000,"High")</f>
        <v>Low</v>
      </c>
      <c r="N983" t="s">
        <v>18</v>
      </c>
      <c r="O983">
        <v>18</v>
      </c>
      <c r="P983">
        <v>3</v>
      </c>
      <c r="Q983">
        <v>3</v>
      </c>
      <c r="R983">
        <v>5</v>
      </c>
      <c r="S983">
        <v>2</v>
      </c>
      <c r="T983">
        <v>4</v>
      </c>
      <c r="U983">
        <v>2</v>
      </c>
    </row>
    <row r="984" spans="1:21" x14ac:dyDescent="0.35">
      <c r="A984">
        <v>38</v>
      </c>
      <c r="B984" t="str" cm="1">
        <f t="array" ref="B984">_xlfn.IFS(A984&gt;40,"Senior",A984&gt;30,"Adult",A984&gt;=18,"Teenager")</f>
        <v>Adult</v>
      </c>
      <c r="C984" t="s">
        <v>22</v>
      </c>
      <c r="D984">
        <f t="shared" si="15"/>
        <v>0</v>
      </c>
      <c r="E984" t="s">
        <v>23</v>
      </c>
      <c r="F984">
        <v>4</v>
      </c>
      <c r="G984" t="s">
        <v>24</v>
      </c>
      <c r="H984">
        <v>4</v>
      </c>
      <c r="I984">
        <v>1</v>
      </c>
      <c r="J984" t="s">
        <v>25</v>
      </c>
      <c r="K984">
        <v>3</v>
      </c>
      <c r="L984">
        <v>2610</v>
      </c>
      <c r="M984" t="str" cm="1">
        <f t="array" ref="M984">_xlfn.IFS(L984&lt;= 7000,"Low",L984&lt;=15000,"Medium",L984&lt;=20000,"High")</f>
        <v>Low</v>
      </c>
      <c r="N984" t="s">
        <v>22</v>
      </c>
      <c r="O984">
        <v>11</v>
      </c>
      <c r="P984">
        <v>3</v>
      </c>
      <c r="Q984">
        <v>4</v>
      </c>
      <c r="R984">
        <v>4</v>
      </c>
      <c r="S984">
        <v>3</v>
      </c>
      <c r="T984">
        <v>4</v>
      </c>
      <c r="U984">
        <v>2</v>
      </c>
    </row>
    <row r="985" spans="1:21" x14ac:dyDescent="0.35">
      <c r="A985">
        <v>34</v>
      </c>
      <c r="B985" t="str" cm="1">
        <f t="array" ref="B985">_xlfn.IFS(A985&gt;40,"Senior",A985&gt;30,"Adult",A985&gt;=18,"Teenager")</f>
        <v>Adult</v>
      </c>
      <c r="C985" t="s">
        <v>22</v>
      </c>
      <c r="D985">
        <f t="shared" si="15"/>
        <v>0</v>
      </c>
      <c r="E985" t="s">
        <v>23</v>
      </c>
      <c r="F985">
        <v>3</v>
      </c>
      <c r="G985" t="s">
        <v>20</v>
      </c>
      <c r="H985">
        <v>3</v>
      </c>
      <c r="I985">
        <v>2</v>
      </c>
      <c r="J985" t="s">
        <v>28</v>
      </c>
      <c r="K985">
        <v>4</v>
      </c>
      <c r="L985">
        <v>6687</v>
      </c>
      <c r="M985" t="str" cm="1">
        <f t="array" ref="M985">_xlfn.IFS(L985&lt;= 7000,"Low",L985&lt;=15000,"Medium",L985&lt;=20000,"High")</f>
        <v>Low</v>
      </c>
      <c r="N985" t="s">
        <v>22</v>
      </c>
      <c r="O985">
        <v>11</v>
      </c>
      <c r="P985">
        <v>3</v>
      </c>
      <c r="Q985">
        <v>4</v>
      </c>
      <c r="R985">
        <v>14</v>
      </c>
      <c r="S985">
        <v>4</v>
      </c>
      <c r="T985">
        <v>14</v>
      </c>
      <c r="U985">
        <v>11</v>
      </c>
    </row>
    <row r="986" spans="1:21" x14ac:dyDescent="0.35">
      <c r="A986">
        <v>28</v>
      </c>
      <c r="B986" t="str" cm="1">
        <f t="array" ref="B986">_xlfn.IFS(A986&gt;40,"Senior",A986&gt;30,"Adult",A986&gt;=18,"Teenager")</f>
        <v>Teenager</v>
      </c>
      <c r="C986" t="s">
        <v>22</v>
      </c>
      <c r="D986">
        <f t="shared" si="15"/>
        <v>0</v>
      </c>
      <c r="E986" t="s">
        <v>19</v>
      </c>
      <c r="F986">
        <v>3</v>
      </c>
      <c r="G986" t="s">
        <v>24</v>
      </c>
      <c r="H986">
        <v>2</v>
      </c>
      <c r="I986">
        <v>2</v>
      </c>
      <c r="J986" t="s">
        <v>21</v>
      </c>
      <c r="K986">
        <v>1</v>
      </c>
      <c r="L986">
        <v>4724</v>
      </c>
      <c r="M986" t="str" cm="1">
        <f t="array" ref="M986">_xlfn.IFS(L986&lt;= 7000,"Low",L986&lt;=15000,"Medium",L986&lt;=20000,"High")</f>
        <v>Low</v>
      </c>
      <c r="N986" t="s">
        <v>22</v>
      </c>
      <c r="O986">
        <v>11</v>
      </c>
      <c r="P986">
        <v>3</v>
      </c>
      <c r="Q986">
        <v>3</v>
      </c>
      <c r="R986">
        <v>5</v>
      </c>
      <c r="S986">
        <v>3</v>
      </c>
      <c r="T986">
        <v>5</v>
      </c>
      <c r="U986">
        <v>3</v>
      </c>
    </row>
    <row r="987" spans="1:21" x14ac:dyDescent="0.35">
      <c r="A987">
        <v>31</v>
      </c>
      <c r="B987" t="str" cm="1">
        <f t="array" ref="B987">_xlfn.IFS(A987&gt;40,"Senior",A987&gt;30,"Adult",A987&gt;=18,"Teenager")</f>
        <v>Adult</v>
      </c>
      <c r="C987" t="s">
        <v>18</v>
      </c>
      <c r="D987">
        <f t="shared" si="15"/>
        <v>1</v>
      </c>
      <c r="E987" t="s">
        <v>23</v>
      </c>
      <c r="F987">
        <v>4</v>
      </c>
      <c r="G987" t="s">
        <v>24</v>
      </c>
      <c r="H987">
        <v>3</v>
      </c>
      <c r="I987">
        <v>2</v>
      </c>
      <c r="J987" t="s">
        <v>27</v>
      </c>
      <c r="K987">
        <v>3</v>
      </c>
      <c r="L987">
        <v>6179</v>
      </c>
      <c r="M987" t="str" cm="1">
        <f t="array" ref="M987">_xlfn.IFS(L987&lt;= 7000,"Low",L987&lt;=15000,"Medium",L987&lt;=20000,"High")</f>
        <v>Low</v>
      </c>
      <c r="N987" t="s">
        <v>18</v>
      </c>
      <c r="O987">
        <v>15</v>
      </c>
      <c r="P987">
        <v>3</v>
      </c>
      <c r="Q987">
        <v>4</v>
      </c>
      <c r="R987">
        <v>10</v>
      </c>
      <c r="S987">
        <v>2</v>
      </c>
      <c r="T987">
        <v>10</v>
      </c>
      <c r="U987">
        <v>2</v>
      </c>
    </row>
    <row r="988" spans="1:21" x14ac:dyDescent="0.35">
      <c r="A988">
        <v>39</v>
      </c>
      <c r="B988" t="str" cm="1">
        <f t="array" ref="B988">_xlfn.IFS(A988&gt;40,"Senior",A988&gt;30,"Adult",A988&gt;=18,"Teenager")</f>
        <v>Adult</v>
      </c>
      <c r="C988" t="s">
        <v>22</v>
      </c>
      <c r="D988">
        <f t="shared" si="15"/>
        <v>0</v>
      </c>
      <c r="E988" t="s">
        <v>19</v>
      </c>
      <c r="F988">
        <v>1</v>
      </c>
      <c r="G988" t="s">
        <v>24</v>
      </c>
      <c r="H988">
        <v>2</v>
      </c>
      <c r="I988">
        <v>2</v>
      </c>
      <c r="J988" t="s">
        <v>21</v>
      </c>
      <c r="K988">
        <v>4</v>
      </c>
      <c r="L988">
        <v>6120</v>
      </c>
      <c r="M988" t="str" cm="1">
        <f t="array" ref="M988">_xlfn.IFS(L988&lt;= 7000,"Low",L988&lt;=15000,"Medium",L988&lt;=20000,"High")</f>
        <v>Low</v>
      </c>
      <c r="N988" t="s">
        <v>18</v>
      </c>
      <c r="O988">
        <v>12</v>
      </c>
      <c r="P988">
        <v>3</v>
      </c>
      <c r="Q988">
        <v>4</v>
      </c>
      <c r="R988">
        <v>8</v>
      </c>
      <c r="S988">
        <v>4</v>
      </c>
      <c r="T988">
        <v>5</v>
      </c>
      <c r="U988">
        <v>4</v>
      </c>
    </row>
    <row r="989" spans="1:21" x14ac:dyDescent="0.35">
      <c r="A989">
        <v>51</v>
      </c>
      <c r="B989" t="str" cm="1">
        <f t="array" ref="B989">_xlfn.IFS(A989&gt;40,"Senior",A989&gt;30,"Adult",A989&gt;=18,"Teenager")</f>
        <v>Senior</v>
      </c>
      <c r="C989" t="s">
        <v>22</v>
      </c>
      <c r="D989">
        <f t="shared" si="15"/>
        <v>0</v>
      </c>
      <c r="E989" t="s">
        <v>19</v>
      </c>
      <c r="F989">
        <v>2</v>
      </c>
      <c r="G989" t="s">
        <v>24</v>
      </c>
      <c r="H989">
        <v>3</v>
      </c>
      <c r="I989">
        <v>3</v>
      </c>
      <c r="J989" t="s">
        <v>21</v>
      </c>
      <c r="K989">
        <v>2</v>
      </c>
      <c r="L989">
        <v>10596</v>
      </c>
      <c r="M989" t="str" cm="1">
        <f t="array" ref="M989">_xlfn.IFS(L989&lt;= 7000,"Low",L989&lt;=15000,"Medium",L989&lt;=20000,"High")</f>
        <v>Medium</v>
      </c>
      <c r="N989" t="s">
        <v>22</v>
      </c>
      <c r="O989">
        <v>11</v>
      </c>
      <c r="P989">
        <v>3</v>
      </c>
      <c r="Q989">
        <v>2</v>
      </c>
      <c r="R989">
        <v>14</v>
      </c>
      <c r="S989">
        <v>3</v>
      </c>
      <c r="T989">
        <v>4</v>
      </c>
      <c r="U989">
        <v>2</v>
      </c>
    </row>
    <row r="990" spans="1:21" x14ac:dyDescent="0.35">
      <c r="A990">
        <v>41</v>
      </c>
      <c r="B990" t="str" cm="1">
        <f t="array" ref="B990">_xlfn.IFS(A990&gt;40,"Senior",A990&gt;30,"Adult",A990&gt;=18,"Teenager")</f>
        <v>Senior</v>
      </c>
      <c r="C990" t="s">
        <v>22</v>
      </c>
      <c r="D990">
        <f t="shared" si="15"/>
        <v>0</v>
      </c>
      <c r="E990" t="s">
        <v>23</v>
      </c>
      <c r="F990">
        <v>4</v>
      </c>
      <c r="G990" t="s">
        <v>20</v>
      </c>
      <c r="H990">
        <v>3</v>
      </c>
      <c r="I990">
        <v>2</v>
      </c>
      <c r="J990" t="s">
        <v>25</v>
      </c>
      <c r="K990">
        <v>4</v>
      </c>
      <c r="L990">
        <v>5467</v>
      </c>
      <c r="M990" t="str" cm="1">
        <f t="array" ref="M990">_xlfn.IFS(L990&lt;= 7000,"Low",L990&lt;=15000,"Medium",L990&lt;=20000,"High")</f>
        <v>Low</v>
      </c>
      <c r="N990" t="s">
        <v>18</v>
      </c>
      <c r="O990">
        <v>14</v>
      </c>
      <c r="P990">
        <v>3</v>
      </c>
      <c r="Q990">
        <v>1</v>
      </c>
      <c r="R990">
        <v>12</v>
      </c>
      <c r="S990">
        <v>2</v>
      </c>
      <c r="T990">
        <v>6</v>
      </c>
      <c r="U990">
        <v>2</v>
      </c>
    </row>
    <row r="991" spans="1:21" x14ac:dyDescent="0.35">
      <c r="A991">
        <v>37</v>
      </c>
      <c r="B991" t="str" cm="1">
        <f t="array" ref="B991">_xlfn.IFS(A991&gt;40,"Senior",A991&gt;30,"Adult",A991&gt;=18,"Teenager")</f>
        <v>Adult</v>
      </c>
      <c r="C991" t="s">
        <v>22</v>
      </c>
      <c r="D991">
        <f t="shared" si="15"/>
        <v>0</v>
      </c>
      <c r="E991" t="s">
        <v>23</v>
      </c>
      <c r="F991">
        <v>3</v>
      </c>
      <c r="G991" t="s">
        <v>24</v>
      </c>
      <c r="H991">
        <v>3</v>
      </c>
      <c r="I991">
        <v>1</v>
      </c>
      <c r="J991" t="s">
        <v>25</v>
      </c>
      <c r="K991">
        <v>3</v>
      </c>
      <c r="L991">
        <v>2996</v>
      </c>
      <c r="M991" t="str" cm="1">
        <f t="array" ref="M991">_xlfn.IFS(L991&lt;= 7000,"Low",L991&lt;=15000,"Medium",L991&lt;=20000,"High")</f>
        <v>Low</v>
      </c>
      <c r="N991" t="s">
        <v>18</v>
      </c>
      <c r="O991">
        <v>15</v>
      </c>
      <c r="P991">
        <v>3</v>
      </c>
      <c r="Q991">
        <v>4</v>
      </c>
      <c r="R991">
        <v>8</v>
      </c>
      <c r="S991">
        <v>3</v>
      </c>
      <c r="T991">
        <v>6</v>
      </c>
      <c r="U991">
        <v>4</v>
      </c>
    </row>
    <row r="992" spans="1:21" x14ac:dyDescent="0.35">
      <c r="A992">
        <v>33</v>
      </c>
      <c r="B992" t="str" cm="1">
        <f t="array" ref="B992">_xlfn.IFS(A992&gt;40,"Senior",A992&gt;30,"Adult",A992&gt;=18,"Teenager")</f>
        <v>Adult</v>
      </c>
      <c r="C992" t="s">
        <v>22</v>
      </c>
      <c r="D992">
        <f t="shared" si="15"/>
        <v>0</v>
      </c>
      <c r="E992" t="s">
        <v>19</v>
      </c>
      <c r="F992">
        <v>2</v>
      </c>
      <c r="G992" t="s">
        <v>24</v>
      </c>
      <c r="H992">
        <v>3</v>
      </c>
      <c r="I992">
        <v>2</v>
      </c>
      <c r="J992" t="s">
        <v>21</v>
      </c>
      <c r="K992">
        <v>4</v>
      </c>
      <c r="L992">
        <v>9998</v>
      </c>
      <c r="M992" t="str" cm="1">
        <f t="array" ref="M992">_xlfn.IFS(L992&lt;= 7000,"Low",L992&lt;=15000,"Medium",L992&lt;=20000,"High")</f>
        <v>Medium</v>
      </c>
      <c r="N992" t="s">
        <v>22</v>
      </c>
      <c r="O992">
        <v>13</v>
      </c>
      <c r="P992">
        <v>3</v>
      </c>
      <c r="Q992">
        <v>1</v>
      </c>
      <c r="R992">
        <v>8</v>
      </c>
      <c r="S992">
        <v>4</v>
      </c>
      <c r="T992">
        <v>5</v>
      </c>
      <c r="U992">
        <v>4</v>
      </c>
    </row>
    <row r="993" spans="1:21" x14ac:dyDescent="0.35">
      <c r="A993">
        <v>32</v>
      </c>
      <c r="B993" t="str" cm="1">
        <f t="array" ref="B993">_xlfn.IFS(A993&gt;40,"Senior",A993&gt;30,"Adult",A993&gt;=18,"Teenager")</f>
        <v>Adult</v>
      </c>
      <c r="C993" t="s">
        <v>22</v>
      </c>
      <c r="D993">
        <f t="shared" si="15"/>
        <v>0</v>
      </c>
      <c r="E993" t="s">
        <v>19</v>
      </c>
      <c r="F993">
        <v>3</v>
      </c>
      <c r="G993" t="s">
        <v>24</v>
      </c>
      <c r="H993">
        <v>3</v>
      </c>
      <c r="I993">
        <v>2</v>
      </c>
      <c r="J993" t="s">
        <v>21</v>
      </c>
      <c r="K993">
        <v>2</v>
      </c>
      <c r="L993">
        <v>4078</v>
      </c>
      <c r="M993" t="str" cm="1">
        <f t="array" ref="M993">_xlfn.IFS(L993&lt;= 7000,"Low",L993&lt;=15000,"Medium",L993&lt;=20000,"High")</f>
        <v>Low</v>
      </c>
      <c r="N993" t="s">
        <v>18</v>
      </c>
      <c r="O993">
        <v>13</v>
      </c>
      <c r="P993">
        <v>3</v>
      </c>
      <c r="Q993">
        <v>1</v>
      </c>
      <c r="R993">
        <v>4</v>
      </c>
      <c r="S993">
        <v>2</v>
      </c>
      <c r="T993">
        <v>3</v>
      </c>
      <c r="U993">
        <v>2</v>
      </c>
    </row>
    <row r="994" spans="1:21" x14ac:dyDescent="0.35">
      <c r="A994">
        <v>39</v>
      </c>
      <c r="B994" t="str" cm="1">
        <f t="array" ref="B994">_xlfn.IFS(A994&gt;40,"Senior",A994&gt;30,"Adult",A994&gt;=18,"Teenager")</f>
        <v>Adult</v>
      </c>
      <c r="C994" t="s">
        <v>22</v>
      </c>
      <c r="D994">
        <f t="shared" si="15"/>
        <v>0</v>
      </c>
      <c r="E994" t="s">
        <v>23</v>
      </c>
      <c r="F994">
        <v>3</v>
      </c>
      <c r="G994" t="s">
        <v>24</v>
      </c>
      <c r="H994">
        <v>3</v>
      </c>
      <c r="I994">
        <v>3</v>
      </c>
      <c r="J994" t="s">
        <v>28</v>
      </c>
      <c r="K994">
        <v>3</v>
      </c>
      <c r="L994">
        <v>10920</v>
      </c>
      <c r="M994" t="str" cm="1">
        <f t="array" ref="M994">_xlfn.IFS(L994&lt;= 7000,"Low",L994&lt;=15000,"Medium",L994&lt;=20000,"High")</f>
        <v>Medium</v>
      </c>
      <c r="N994" t="s">
        <v>22</v>
      </c>
      <c r="O994">
        <v>21</v>
      </c>
      <c r="P994">
        <v>4</v>
      </c>
      <c r="Q994">
        <v>2</v>
      </c>
      <c r="R994">
        <v>13</v>
      </c>
      <c r="S994">
        <v>3</v>
      </c>
      <c r="T994">
        <v>6</v>
      </c>
      <c r="U994">
        <v>4</v>
      </c>
    </row>
    <row r="995" spans="1:21" x14ac:dyDescent="0.35">
      <c r="A995">
        <v>25</v>
      </c>
      <c r="B995" t="str" cm="1">
        <f t="array" ref="B995">_xlfn.IFS(A995&gt;40,"Senior",A995&gt;30,"Adult",A995&gt;=18,"Teenager")</f>
        <v>Teenager</v>
      </c>
      <c r="C995" t="s">
        <v>22</v>
      </c>
      <c r="D995">
        <f t="shared" si="15"/>
        <v>0</v>
      </c>
      <c r="E995" t="s">
        <v>19</v>
      </c>
      <c r="F995">
        <v>1</v>
      </c>
      <c r="G995" t="s">
        <v>24</v>
      </c>
      <c r="H995">
        <v>4</v>
      </c>
      <c r="I995">
        <v>2</v>
      </c>
      <c r="J995" t="s">
        <v>21</v>
      </c>
      <c r="K995">
        <v>3</v>
      </c>
      <c r="L995">
        <v>6232</v>
      </c>
      <c r="M995" t="str" cm="1">
        <f t="array" ref="M995">_xlfn.IFS(L995&lt;= 7000,"Low",L995&lt;=15000,"Medium",L995&lt;=20000,"High")</f>
        <v>Low</v>
      </c>
      <c r="N995" t="s">
        <v>22</v>
      </c>
      <c r="O995">
        <v>11</v>
      </c>
      <c r="P995">
        <v>3</v>
      </c>
      <c r="Q995">
        <v>2</v>
      </c>
      <c r="R995">
        <v>6</v>
      </c>
      <c r="S995">
        <v>2</v>
      </c>
      <c r="T995">
        <v>3</v>
      </c>
      <c r="U995">
        <v>2</v>
      </c>
    </row>
    <row r="996" spans="1:21" x14ac:dyDescent="0.35">
      <c r="A996">
        <v>52</v>
      </c>
      <c r="B996" t="str" cm="1">
        <f t="array" ref="B996">_xlfn.IFS(A996&gt;40,"Senior",A996&gt;30,"Adult",A996&gt;=18,"Teenager")</f>
        <v>Senior</v>
      </c>
      <c r="C996" t="s">
        <v>22</v>
      </c>
      <c r="D996">
        <f t="shared" si="15"/>
        <v>0</v>
      </c>
      <c r="E996" t="s">
        <v>23</v>
      </c>
      <c r="F996">
        <v>4</v>
      </c>
      <c r="G996" t="s">
        <v>20</v>
      </c>
      <c r="H996">
        <v>4</v>
      </c>
      <c r="I996">
        <v>4</v>
      </c>
      <c r="J996" t="s">
        <v>27</v>
      </c>
      <c r="K996">
        <v>3</v>
      </c>
      <c r="L996">
        <v>13247</v>
      </c>
      <c r="M996" t="str" cm="1">
        <f t="array" ref="M996">_xlfn.IFS(L996&lt;= 7000,"Low",L996&lt;=15000,"Medium",L996&lt;=20000,"High")</f>
        <v>Medium</v>
      </c>
      <c r="N996" t="s">
        <v>18</v>
      </c>
      <c r="O996">
        <v>11</v>
      </c>
      <c r="P996">
        <v>3</v>
      </c>
      <c r="Q996">
        <v>2</v>
      </c>
      <c r="R996">
        <v>24</v>
      </c>
      <c r="S996">
        <v>2</v>
      </c>
      <c r="T996">
        <v>5</v>
      </c>
      <c r="U996">
        <v>3</v>
      </c>
    </row>
    <row r="997" spans="1:21" x14ac:dyDescent="0.35">
      <c r="A997">
        <v>43</v>
      </c>
      <c r="B997" t="str" cm="1">
        <f t="array" ref="B997">_xlfn.IFS(A997&gt;40,"Senior",A997&gt;30,"Adult",A997&gt;=18,"Teenager")</f>
        <v>Senior</v>
      </c>
      <c r="C997" t="s">
        <v>22</v>
      </c>
      <c r="D997">
        <f t="shared" si="15"/>
        <v>0</v>
      </c>
      <c r="E997" t="s">
        <v>23</v>
      </c>
      <c r="F997">
        <v>1</v>
      </c>
      <c r="G997" t="s">
        <v>20</v>
      </c>
      <c r="H997">
        <v>2</v>
      </c>
      <c r="I997">
        <v>2</v>
      </c>
      <c r="J997" t="s">
        <v>25</v>
      </c>
      <c r="K997">
        <v>3</v>
      </c>
      <c r="L997">
        <v>4081</v>
      </c>
      <c r="M997" t="str" cm="1">
        <f t="array" ref="M997">_xlfn.IFS(L997&lt;= 7000,"Low",L997&lt;=15000,"Medium",L997&lt;=20000,"High")</f>
        <v>Low</v>
      </c>
      <c r="N997" t="s">
        <v>18</v>
      </c>
      <c r="O997">
        <v>14</v>
      </c>
      <c r="P997">
        <v>3</v>
      </c>
      <c r="Q997">
        <v>1</v>
      </c>
      <c r="R997">
        <v>20</v>
      </c>
      <c r="S997">
        <v>1</v>
      </c>
      <c r="T997">
        <v>20</v>
      </c>
      <c r="U997">
        <v>7</v>
      </c>
    </row>
    <row r="998" spans="1:21" x14ac:dyDescent="0.35">
      <c r="A998">
        <v>27</v>
      </c>
      <c r="B998" t="str" cm="1">
        <f t="array" ref="B998">_xlfn.IFS(A998&gt;40,"Senior",A998&gt;30,"Adult",A998&gt;=18,"Teenager")</f>
        <v>Teenager</v>
      </c>
      <c r="C998" t="s">
        <v>22</v>
      </c>
      <c r="D998">
        <f t="shared" si="15"/>
        <v>0</v>
      </c>
      <c r="E998" t="s">
        <v>19</v>
      </c>
      <c r="F998">
        <v>4</v>
      </c>
      <c r="G998" t="s">
        <v>20</v>
      </c>
      <c r="H998">
        <v>2</v>
      </c>
      <c r="I998">
        <v>2</v>
      </c>
      <c r="J998" t="s">
        <v>21</v>
      </c>
      <c r="K998">
        <v>4</v>
      </c>
      <c r="L998">
        <v>5769</v>
      </c>
      <c r="M998" t="str" cm="1">
        <f t="array" ref="M998">_xlfn.IFS(L998&lt;= 7000,"Low",L998&lt;=15000,"Medium",L998&lt;=20000,"High")</f>
        <v>Low</v>
      </c>
      <c r="N998" t="s">
        <v>18</v>
      </c>
      <c r="O998">
        <v>11</v>
      </c>
      <c r="P998">
        <v>3</v>
      </c>
      <c r="Q998">
        <v>4</v>
      </c>
      <c r="R998">
        <v>6</v>
      </c>
      <c r="S998">
        <v>3</v>
      </c>
      <c r="T998">
        <v>6</v>
      </c>
      <c r="U998">
        <v>2</v>
      </c>
    </row>
    <row r="999" spans="1:21" x14ac:dyDescent="0.35">
      <c r="A999">
        <v>27</v>
      </c>
      <c r="B999" t="str" cm="1">
        <f t="array" ref="B999">_xlfn.IFS(A999&gt;40,"Senior",A999&gt;30,"Adult",A999&gt;=18,"Teenager")</f>
        <v>Teenager</v>
      </c>
      <c r="C999" t="s">
        <v>18</v>
      </c>
      <c r="D999">
        <f t="shared" si="15"/>
        <v>1</v>
      </c>
      <c r="E999" t="s">
        <v>23</v>
      </c>
      <c r="F999">
        <v>4</v>
      </c>
      <c r="G999" t="s">
        <v>20</v>
      </c>
      <c r="H999">
        <v>3</v>
      </c>
      <c r="I999">
        <v>1</v>
      </c>
      <c r="J999" t="s">
        <v>25</v>
      </c>
      <c r="K999">
        <v>3</v>
      </c>
      <c r="L999">
        <v>2394</v>
      </c>
      <c r="M999" t="str" cm="1">
        <f t="array" ref="M999">_xlfn.IFS(L999&lt;= 7000,"Low",L999&lt;=15000,"Medium",L999&lt;=20000,"High")</f>
        <v>Low</v>
      </c>
      <c r="N999" t="s">
        <v>18</v>
      </c>
      <c r="O999">
        <v>13</v>
      </c>
      <c r="P999">
        <v>3</v>
      </c>
      <c r="Q999">
        <v>4</v>
      </c>
      <c r="R999">
        <v>8</v>
      </c>
      <c r="S999">
        <v>3</v>
      </c>
      <c r="T999">
        <v>8</v>
      </c>
      <c r="U999">
        <v>2</v>
      </c>
    </row>
    <row r="1000" spans="1:21" x14ac:dyDescent="0.35">
      <c r="A1000">
        <v>26</v>
      </c>
      <c r="B1000" t="str" cm="1">
        <f t="array" ref="B1000">_xlfn.IFS(A1000&gt;40,"Senior",A1000&gt;30,"Adult",A1000&gt;=18,"Teenager")</f>
        <v>Teenager</v>
      </c>
      <c r="C1000" t="s">
        <v>22</v>
      </c>
      <c r="D1000">
        <f t="shared" si="15"/>
        <v>0</v>
      </c>
      <c r="E1000" t="s">
        <v>23</v>
      </c>
      <c r="F1000">
        <v>1</v>
      </c>
      <c r="G1000" t="s">
        <v>24</v>
      </c>
      <c r="H1000">
        <v>2</v>
      </c>
      <c r="I1000">
        <v>1</v>
      </c>
      <c r="J1000" t="s">
        <v>25</v>
      </c>
      <c r="K1000">
        <v>4</v>
      </c>
      <c r="L1000">
        <v>3904</v>
      </c>
      <c r="M1000" t="str" cm="1">
        <f t="array" ref="M1000">_xlfn.IFS(L1000&lt;= 7000,"Low",L1000&lt;=15000,"Medium",L1000&lt;=20000,"High")</f>
        <v>Low</v>
      </c>
      <c r="N1000" t="s">
        <v>22</v>
      </c>
      <c r="O1000">
        <v>12</v>
      </c>
      <c r="P1000">
        <v>3</v>
      </c>
      <c r="Q1000">
        <v>4</v>
      </c>
      <c r="R1000">
        <v>5</v>
      </c>
      <c r="S1000">
        <v>3</v>
      </c>
      <c r="T1000">
        <v>4</v>
      </c>
      <c r="U1000">
        <v>3</v>
      </c>
    </row>
    <row r="1001" spans="1:21" x14ac:dyDescent="0.35">
      <c r="A1001">
        <v>42</v>
      </c>
      <c r="B1001" t="str" cm="1">
        <f t="array" ref="B1001">_xlfn.IFS(A1001&gt;40,"Senior",A1001&gt;30,"Adult",A1001&gt;=18,"Teenager")</f>
        <v>Senior</v>
      </c>
      <c r="C1001" t="s">
        <v>22</v>
      </c>
      <c r="D1001">
        <f t="shared" si="15"/>
        <v>0</v>
      </c>
      <c r="E1001" t="s">
        <v>32</v>
      </c>
      <c r="F1001">
        <v>3</v>
      </c>
      <c r="G1001" t="s">
        <v>20</v>
      </c>
      <c r="H1001">
        <v>3</v>
      </c>
      <c r="I1001">
        <v>4</v>
      </c>
      <c r="J1001" t="s">
        <v>29</v>
      </c>
      <c r="K1001">
        <v>1</v>
      </c>
      <c r="L1001">
        <v>16799</v>
      </c>
      <c r="M1001" t="str" cm="1">
        <f t="array" ref="M1001">_xlfn.IFS(L1001&lt;= 7000,"Low",L1001&lt;=15000,"Medium",L1001&lt;=20000,"High")</f>
        <v>High</v>
      </c>
      <c r="N1001" t="s">
        <v>22</v>
      </c>
      <c r="O1001">
        <v>14</v>
      </c>
      <c r="P1001">
        <v>3</v>
      </c>
      <c r="Q1001">
        <v>3</v>
      </c>
      <c r="R1001">
        <v>21</v>
      </c>
      <c r="S1001">
        <v>3</v>
      </c>
      <c r="T1001">
        <v>20</v>
      </c>
      <c r="U1001">
        <v>7</v>
      </c>
    </row>
    <row r="1002" spans="1:21" x14ac:dyDescent="0.35">
      <c r="A1002">
        <v>52</v>
      </c>
      <c r="B1002" t="str" cm="1">
        <f t="array" ref="B1002">_xlfn.IFS(A1002&gt;40,"Senior",A1002&gt;30,"Adult",A1002&gt;=18,"Teenager")</f>
        <v>Senior</v>
      </c>
      <c r="C1002" t="s">
        <v>22</v>
      </c>
      <c r="D1002">
        <f t="shared" si="15"/>
        <v>0</v>
      </c>
      <c r="E1002" t="s">
        <v>23</v>
      </c>
      <c r="F1002">
        <v>3</v>
      </c>
      <c r="G1002" t="s">
        <v>20</v>
      </c>
      <c r="H1002">
        <v>3</v>
      </c>
      <c r="I1002">
        <v>1</v>
      </c>
      <c r="J1002" t="s">
        <v>26</v>
      </c>
      <c r="K1002">
        <v>1</v>
      </c>
      <c r="L1002">
        <v>2950</v>
      </c>
      <c r="M1002" t="str" cm="1">
        <f t="array" ref="M1002">_xlfn.IFS(L1002&lt;= 7000,"Low",L1002&lt;=15000,"Medium",L1002&lt;=20000,"High")</f>
        <v>Low</v>
      </c>
      <c r="N1002" t="s">
        <v>22</v>
      </c>
      <c r="O1002">
        <v>13</v>
      </c>
      <c r="P1002">
        <v>3</v>
      </c>
      <c r="Q1002">
        <v>3</v>
      </c>
      <c r="R1002">
        <v>12</v>
      </c>
      <c r="S1002">
        <v>1</v>
      </c>
      <c r="T1002">
        <v>5</v>
      </c>
      <c r="U1002">
        <v>4</v>
      </c>
    </row>
    <row r="1003" spans="1:21" x14ac:dyDescent="0.35">
      <c r="A1003">
        <v>37</v>
      </c>
      <c r="B1003" t="str" cm="1">
        <f t="array" ref="B1003">_xlfn.IFS(A1003&gt;40,"Senior",A1003&gt;30,"Adult",A1003&gt;=18,"Teenager")</f>
        <v>Adult</v>
      </c>
      <c r="C1003" t="s">
        <v>22</v>
      </c>
      <c r="D1003">
        <f t="shared" si="15"/>
        <v>0</v>
      </c>
      <c r="E1003" t="s">
        <v>23</v>
      </c>
      <c r="F1003">
        <v>1</v>
      </c>
      <c r="G1003" t="s">
        <v>20</v>
      </c>
      <c r="H1003">
        <v>3</v>
      </c>
      <c r="I1003">
        <v>1</v>
      </c>
      <c r="J1003" t="s">
        <v>26</v>
      </c>
      <c r="K1003">
        <v>3</v>
      </c>
      <c r="L1003">
        <v>3629</v>
      </c>
      <c r="M1003" t="str" cm="1">
        <f t="array" ref="M1003">_xlfn.IFS(L1003&lt;= 7000,"Low",L1003&lt;=15000,"Medium",L1003&lt;=20000,"High")</f>
        <v>Low</v>
      </c>
      <c r="N1003" t="s">
        <v>22</v>
      </c>
      <c r="O1003">
        <v>18</v>
      </c>
      <c r="P1003">
        <v>3</v>
      </c>
      <c r="Q1003">
        <v>1</v>
      </c>
      <c r="R1003">
        <v>8</v>
      </c>
      <c r="S1003">
        <v>3</v>
      </c>
      <c r="T1003">
        <v>3</v>
      </c>
      <c r="U1003">
        <v>2</v>
      </c>
    </row>
    <row r="1004" spans="1:21" x14ac:dyDescent="0.35">
      <c r="A1004">
        <v>35</v>
      </c>
      <c r="B1004" t="str" cm="1">
        <f t="array" ref="B1004">_xlfn.IFS(A1004&gt;40,"Senior",A1004&gt;30,"Adult",A1004&gt;=18,"Teenager")</f>
        <v>Adult</v>
      </c>
      <c r="C1004" t="s">
        <v>22</v>
      </c>
      <c r="D1004">
        <f t="shared" si="15"/>
        <v>0</v>
      </c>
      <c r="E1004" t="s">
        <v>23</v>
      </c>
      <c r="F1004">
        <v>3</v>
      </c>
      <c r="G1004" t="s">
        <v>24</v>
      </c>
      <c r="H1004">
        <v>3</v>
      </c>
      <c r="I1004">
        <v>3</v>
      </c>
      <c r="J1004" t="s">
        <v>27</v>
      </c>
      <c r="K1004">
        <v>4</v>
      </c>
      <c r="L1004">
        <v>9362</v>
      </c>
      <c r="M1004" t="str" cm="1">
        <f t="array" ref="M1004">_xlfn.IFS(L1004&lt;= 7000,"Low",L1004&lt;=15000,"Medium",L1004&lt;=20000,"High")</f>
        <v>Medium</v>
      </c>
      <c r="N1004" t="s">
        <v>22</v>
      </c>
      <c r="O1004">
        <v>11</v>
      </c>
      <c r="P1004">
        <v>3</v>
      </c>
      <c r="Q1004">
        <v>3</v>
      </c>
      <c r="R1004">
        <v>10</v>
      </c>
      <c r="S1004">
        <v>3</v>
      </c>
      <c r="T1004">
        <v>2</v>
      </c>
      <c r="U1004">
        <v>2</v>
      </c>
    </row>
    <row r="1005" spans="1:21" x14ac:dyDescent="0.35">
      <c r="A1005">
        <v>25</v>
      </c>
      <c r="B1005" t="str" cm="1">
        <f t="array" ref="B1005">_xlfn.IFS(A1005&gt;40,"Senior",A1005&gt;30,"Adult",A1005&gt;=18,"Teenager")</f>
        <v>Teenager</v>
      </c>
      <c r="C1005" t="s">
        <v>22</v>
      </c>
      <c r="D1005">
        <f t="shared" si="15"/>
        <v>0</v>
      </c>
      <c r="E1005" t="s">
        <v>23</v>
      </c>
      <c r="F1005">
        <v>1</v>
      </c>
      <c r="G1005" t="s">
        <v>24</v>
      </c>
      <c r="H1005">
        <v>3</v>
      </c>
      <c r="I1005">
        <v>1</v>
      </c>
      <c r="J1005" t="s">
        <v>26</v>
      </c>
      <c r="K1005">
        <v>4</v>
      </c>
      <c r="L1005">
        <v>3229</v>
      </c>
      <c r="M1005" t="str" cm="1">
        <f t="array" ref="M1005">_xlfn.IFS(L1005&lt;= 7000,"Low",L1005&lt;=15000,"Medium",L1005&lt;=20000,"High")</f>
        <v>Low</v>
      </c>
      <c r="N1005" t="s">
        <v>22</v>
      </c>
      <c r="O1005">
        <v>11</v>
      </c>
      <c r="P1005">
        <v>3</v>
      </c>
      <c r="Q1005">
        <v>2</v>
      </c>
      <c r="R1005">
        <v>7</v>
      </c>
      <c r="S1005">
        <v>2</v>
      </c>
      <c r="T1005">
        <v>3</v>
      </c>
      <c r="U1005">
        <v>2</v>
      </c>
    </row>
    <row r="1006" spans="1:21" x14ac:dyDescent="0.35">
      <c r="A1006">
        <v>26</v>
      </c>
      <c r="B1006" t="str" cm="1">
        <f t="array" ref="B1006">_xlfn.IFS(A1006&gt;40,"Senior",A1006&gt;30,"Adult",A1006&gt;=18,"Teenager")</f>
        <v>Teenager</v>
      </c>
      <c r="C1006" t="s">
        <v>22</v>
      </c>
      <c r="D1006">
        <f t="shared" si="15"/>
        <v>0</v>
      </c>
      <c r="E1006" t="s">
        <v>23</v>
      </c>
      <c r="F1006">
        <v>3</v>
      </c>
      <c r="G1006" t="s">
        <v>24</v>
      </c>
      <c r="H1006">
        <v>4</v>
      </c>
      <c r="I1006">
        <v>1</v>
      </c>
      <c r="J1006" t="s">
        <v>26</v>
      </c>
      <c r="K1006">
        <v>1</v>
      </c>
      <c r="L1006">
        <v>3578</v>
      </c>
      <c r="M1006" t="str" cm="1">
        <f t="array" ref="M1006">_xlfn.IFS(L1006&lt;= 7000,"Low",L1006&lt;=15000,"Medium",L1006&lt;=20000,"High")</f>
        <v>Low</v>
      </c>
      <c r="N1006" t="s">
        <v>22</v>
      </c>
      <c r="O1006">
        <v>12</v>
      </c>
      <c r="P1006">
        <v>3</v>
      </c>
      <c r="Q1006">
        <v>4</v>
      </c>
      <c r="R1006">
        <v>8</v>
      </c>
      <c r="S1006">
        <v>3</v>
      </c>
      <c r="T1006">
        <v>7</v>
      </c>
      <c r="U1006">
        <v>7</v>
      </c>
    </row>
    <row r="1007" spans="1:21" x14ac:dyDescent="0.35">
      <c r="A1007">
        <v>29</v>
      </c>
      <c r="B1007" t="str" cm="1">
        <f t="array" ref="B1007">_xlfn.IFS(A1007&gt;40,"Senior",A1007&gt;30,"Adult",A1007&gt;=18,"Teenager")</f>
        <v>Teenager</v>
      </c>
      <c r="C1007" t="s">
        <v>22</v>
      </c>
      <c r="D1007">
        <f t="shared" si="15"/>
        <v>0</v>
      </c>
      <c r="E1007" t="s">
        <v>32</v>
      </c>
      <c r="F1007">
        <v>2</v>
      </c>
      <c r="G1007" t="s">
        <v>24</v>
      </c>
      <c r="H1007">
        <v>2</v>
      </c>
      <c r="I1007">
        <v>3</v>
      </c>
      <c r="J1007" t="s">
        <v>32</v>
      </c>
      <c r="K1007">
        <v>1</v>
      </c>
      <c r="L1007">
        <v>7988</v>
      </c>
      <c r="M1007" t="str" cm="1">
        <f t="array" ref="M1007">_xlfn.IFS(L1007&lt;= 7000,"Low",L1007&lt;=15000,"Medium",L1007&lt;=20000,"High")</f>
        <v>Medium</v>
      </c>
      <c r="N1007" t="s">
        <v>22</v>
      </c>
      <c r="O1007">
        <v>13</v>
      </c>
      <c r="P1007">
        <v>3</v>
      </c>
      <c r="Q1007">
        <v>1</v>
      </c>
      <c r="R1007">
        <v>10</v>
      </c>
      <c r="S1007">
        <v>2</v>
      </c>
      <c r="T1007">
        <v>10</v>
      </c>
      <c r="U1007">
        <v>9</v>
      </c>
    </row>
    <row r="1008" spans="1:21" x14ac:dyDescent="0.35">
      <c r="A1008">
        <v>49</v>
      </c>
      <c r="B1008" t="str" cm="1">
        <f t="array" ref="B1008">_xlfn.IFS(A1008&gt;40,"Senior",A1008&gt;30,"Adult",A1008&gt;=18,"Teenager")</f>
        <v>Senior</v>
      </c>
      <c r="C1008" t="s">
        <v>18</v>
      </c>
      <c r="D1008">
        <f t="shared" si="15"/>
        <v>1</v>
      </c>
      <c r="E1008" t="s">
        <v>23</v>
      </c>
      <c r="F1008">
        <v>1</v>
      </c>
      <c r="G1008" t="s">
        <v>24</v>
      </c>
      <c r="H1008">
        <v>2</v>
      </c>
      <c r="I1008">
        <v>2</v>
      </c>
      <c r="J1008" t="s">
        <v>26</v>
      </c>
      <c r="K1008">
        <v>1</v>
      </c>
      <c r="L1008">
        <v>4284</v>
      </c>
      <c r="M1008" t="str" cm="1">
        <f t="array" ref="M1008">_xlfn.IFS(L1008&lt;= 7000,"Low",L1008&lt;=15000,"Medium",L1008&lt;=20000,"High")</f>
        <v>Low</v>
      </c>
      <c r="N1008" t="s">
        <v>22</v>
      </c>
      <c r="O1008">
        <v>20</v>
      </c>
      <c r="P1008">
        <v>4</v>
      </c>
      <c r="Q1008">
        <v>1</v>
      </c>
      <c r="R1008">
        <v>20</v>
      </c>
      <c r="S1008">
        <v>3</v>
      </c>
      <c r="T1008">
        <v>4</v>
      </c>
      <c r="U1008">
        <v>3</v>
      </c>
    </row>
    <row r="1009" spans="1:21" x14ac:dyDescent="0.35">
      <c r="A1009">
        <v>29</v>
      </c>
      <c r="B1009" t="str" cm="1">
        <f t="array" ref="B1009">_xlfn.IFS(A1009&gt;40,"Senior",A1009&gt;30,"Adult",A1009&gt;=18,"Teenager")</f>
        <v>Teenager</v>
      </c>
      <c r="C1009" t="s">
        <v>18</v>
      </c>
      <c r="D1009">
        <f t="shared" si="15"/>
        <v>1</v>
      </c>
      <c r="E1009" t="s">
        <v>23</v>
      </c>
      <c r="F1009">
        <v>3</v>
      </c>
      <c r="G1009" t="s">
        <v>20</v>
      </c>
      <c r="H1009">
        <v>3</v>
      </c>
      <c r="I1009">
        <v>3</v>
      </c>
      <c r="J1009" t="s">
        <v>28</v>
      </c>
      <c r="K1009">
        <v>4</v>
      </c>
      <c r="L1009">
        <v>7553</v>
      </c>
      <c r="M1009" t="str" cm="1">
        <f t="array" ref="M1009">_xlfn.IFS(L1009&lt;= 7000,"Low",L1009&lt;=15000,"Medium",L1009&lt;=20000,"High")</f>
        <v>Medium</v>
      </c>
      <c r="N1009" t="s">
        <v>18</v>
      </c>
      <c r="O1009">
        <v>12</v>
      </c>
      <c r="P1009">
        <v>3</v>
      </c>
      <c r="Q1009">
        <v>1</v>
      </c>
      <c r="R1009">
        <v>9</v>
      </c>
      <c r="S1009">
        <v>3</v>
      </c>
      <c r="T1009">
        <v>8</v>
      </c>
      <c r="U1009">
        <v>7</v>
      </c>
    </row>
    <row r="1010" spans="1:21" x14ac:dyDescent="0.35">
      <c r="A1010">
        <v>54</v>
      </c>
      <c r="B1010" t="str" cm="1">
        <f t="array" ref="B1010">_xlfn.IFS(A1010&gt;40,"Senior",A1010&gt;30,"Adult",A1010&gt;=18,"Teenager")</f>
        <v>Senior</v>
      </c>
      <c r="C1010" t="s">
        <v>22</v>
      </c>
      <c r="D1010">
        <f t="shared" si="15"/>
        <v>0</v>
      </c>
      <c r="E1010" t="s">
        <v>23</v>
      </c>
      <c r="F1010">
        <v>4</v>
      </c>
      <c r="G1010" t="s">
        <v>20</v>
      </c>
      <c r="H1010">
        <v>3</v>
      </c>
      <c r="I1010">
        <v>4</v>
      </c>
      <c r="J1010" t="s">
        <v>31</v>
      </c>
      <c r="K1010">
        <v>4</v>
      </c>
      <c r="L1010">
        <v>17328</v>
      </c>
      <c r="M1010" t="str" cm="1">
        <f t="array" ref="M1010">_xlfn.IFS(L1010&lt;= 7000,"Low",L1010&lt;=15000,"Medium",L1010&lt;=20000,"High")</f>
        <v>High</v>
      </c>
      <c r="N1010" t="s">
        <v>22</v>
      </c>
      <c r="O1010">
        <v>19</v>
      </c>
      <c r="P1010">
        <v>3</v>
      </c>
      <c r="Q1010">
        <v>4</v>
      </c>
      <c r="R1010">
        <v>29</v>
      </c>
      <c r="S1010">
        <v>2</v>
      </c>
      <c r="T1010">
        <v>20</v>
      </c>
      <c r="U1010">
        <v>7</v>
      </c>
    </row>
    <row r="1011" spans="1:21" x14ac:dyDescent="0.35">
      <c r="A1011">
        <v>58</v>
      </c>
      <c r="B1011" t="str" cm="1">
        <f t="array" ref="B1011">_xlfn.IFS(A1011&gt;40,"Senior",A1011&gt;30,"Adult",A1011&gt;=18,"Teenager")</f>
        <v>Senior</v>
      </c>
      <c r="C1011" t="s">
        <v>22</v>
      </c>
      <c r="D1011">
        <f t="shared" si="15"/>
        <v>0</v>
      </c>
      <c r="E1011" t="s">
        <v>23</v>
      </c>
      <c r="F1011">
        <v>4</v>
      </c>
      <c r="G1011" t="s">
        <v>20</v>
      </c>
      <c r="H1011">
        <v>3</v>
      </c>
      <c r="I1011">
        <v>5</v>
      </c>
      <c r="J1011" t="s">
        <v>31</v>
      </c>
      <c r="K1011">
        <v>1</v>
      </c>
      <c r="L1011">
        <v>19701</v>
      </c>
      <c r="M1011" t="str" cm="1">
        <f t="array" ref="M1011">_xlfn.IFS(L1011&lt;= 7000,"Low",L1011&lt;=15000,"Medium",L1011&lt;=20000,"High")</f>
        <v>High</v>
      </c>
      <c r="N1011" t="s">
        <v>18</v>
      </c>
      <c r="O1011">
        <v>21</v>
      </c>
      <c r="P1011">
        <v>4</v>
      </c>
      <c r="Q1011">
        <v>3</v>
      </c>
      <c r="R1011">
        <v>32</v>
      </c>
      <c r="S1011">
        <v>3</v>
      </c>
      <c r="T1011">
        <v>9</v>
      </c>
      <c r="U1011">
        <v>8</v>
      </c>
    </row>
    <row r="1012" spans="1:21" x14ac:dyDescent="0.35">
      <c r="A1012">
        <v>55</v>
      </c>
      <c r="B1012" t="str" cm="1">
        <f t="array" ref="B1012">_xlfn.IFS(A1012&gt;40,"Senior",A1012&gt;30,"Adult",A1012&gt;=18,"Teenager")</f>
        <v>Senior</v>
      </c>
      <c r="C1012" t="s">
        <v>22</v>
      </c>
      <c r="D1012">
        <f t="shared" si="15"/>
        <v>0</v>
      </c>
      <c r="E1012" t="s">
        <v>23</v>
      </c>
      <c r="F1012">
        <v>2</v>
      </c>
      <c r="G1012" t="s">
        <v>24</v>
      </c>
      <c r="H1012">
        <v>4</v>
      </c>
      <c r="I1012">
        <v>4</v>
      </c>
      <c r="J1012" t="s">
        <v>31</v>
      </c>
      <c r="K1012">
        <v>4</v>
      </c>
      <c r="L1012">
        <v>14732</v>
      </c>
      <c r="M1012" t="str" cm="1">
        <f t="array" ref="M1012">_xlfn.IFS(L1012&lt;= 7000,"Low",L1012&lt;=15000,"Medium",L1012&lt;=20000,"High")</f>
        <v>Medium</v>
      </c>
      <c r="N1012" t="s">
        <v>22</v>
      </c>
      <c r="O1012">
        <v>13</v>
      </c>
      <c r="P1012">
        <v>3</v>
      </c>
      <c r="Q1012">
        <v>4</v>
      </c>
      <c r="R1012">
        <v>31</v>
      </c>
      <c r="S1012">
        <v>4</v>
      </c>
      <c r="T1012">
        <v>7</v>
      </c>
      <c r="U1012">
        <v>7</v>
      </c>
    </row>
    <row r="1013" spans="1:21" x14ac:dyDescent="0.35">
      <c r="A1013">
        <v>36</v>
      </c>
      <c r="B1013" t="str" cm="1">
        <f t="array" ref="B1013">_xlfn.IFS(A1013&gt;40,"Senior",A1013&gt;30,"Adult",A1013&gt;=18,"Teenager")</f>
        <v>Adult</v>
      </c>
      <c r="C1013" t="s">
        <v>22</v>
      </c>
      <c r="D1013">
        <f t="shared" si="15"/>
        <v>0</v>
      </c>
      <c r="E1013" t="s">
        <v>19</v>
      </c>
      <c r="F1013">
        <v>1</v>
      </c>
      <c r="G1013" t="s">
        <v>20</v>
      </c>
      <c r="H1013">
        <v>3</v>
      </c>
      <c r="I1013">
        <v>2</v>
      </c>
      <c r="J1013" t="s">
        <v>21</v>
      </c>
      <c r="K1013">
        <v>2</v>
      </c>
      <c r="L1013">
        <v>9278</v>
      </c>
      <c r="M1013" t="str" cm="1">
        <f t="array" ref="M1013">_xlfn.IFS(L1013&lt;= 7000,"Low",L1013&lt;=15000,"Medium",L1013&lt;=20000,"High")</f>
        <v>Medium</v>
      </c>
      <c r="N1013" t="s">
        <v>18</v>
      </c>
      <c r="O1013">
        <v>16</v>
      </c>
      <c r="P1013">
        <v>3</v>
      </c>
      <c r="Q1013">
        <v>4</v>
      </c>
      <c r="R1013">
        <v>15</v>
      </c>
      <c r="S1013">
        <v>3</v>
      </c>
      <c r="T1013">
        <v>5</v>
      </c>
      <c r="U1013">
        <v>4</v>
      </c>
    </row>
    <row r="1014" spans="1:21" x14ac:dyDescent="0.35">
      <c r="A1014">
        <v>31</v>
      </c>
      <c r="B1014" t="str" cm="1">
        <f t="array" ref="B1014">_xlfn.IFS(A1014&gt;40,"Senior",A1014&gt;30,"Adult",A1014&gt;=18,"Teenager")</f>
        <v>Adult</v>
      </c>
      <c r="C1014" t="s">
        <v>18</v>
      </c>
      <c r="D1014">
        <f t="shared" si="15"/>
        <v>1</v>
      </c>
      <c r="E1014" t="s">
        <v>19</v>
      </c>
      <c r="F1014">
        <v>2</v>
      </c>
      <c r="G1014" t="s">
        <v>20</v>
      </c>
      <c r="H1014">
        <v>1</v>
      </c>
      <c r="I1014">
        <v>1</v>
      </c>
      <c r="J1014" t="s">
        <v>30</v>
      </c>
      <c r="K1014">
        <v>3</v>
      </c>
      <c r="L1014">
        <v>1359</v>
      </c>
      <c r="M1014" t="str" cm="1">
        <f t="array" ref="M1014">_xlfn.IFS(L1014&lt;= 7000,"Low",L1014&lt;=15000,"Medium",L1014&lt;=20000,"High")</f>
        <v>Low</v>
      </c>
      <c r="N1014" t="s">
        <v>22</v>
      </c>
      <c r="O1014">
        <v>12</v>
      </c>
      <c r="P1014">
        <v>3</v>
      </c>
      <c r="Q1014">
        <v>2</v>
      </c>
      <c r="R1014">
        <v>1</v>
      </c>
      <c r="S1014">
        <v>3</v>
      </c>
      <c r="T1014">
        <v>1</v>
      </c>
      <c r="U1014">
        <v>0</v>
      </c>
    </row>
    <row r="1015" spans="1:21" x14ac:dyDescent="0.35">
      <c r="A1015">
        <v>30</v>
      </c>
      <c r="B1015" t="str" cm="1">
        <f t="array" ref="B1015">_xlfn.IFS(A1015&gt;40,"Senior",A1015&gt;30,"Adult",A1015&gt;=18,"Teenager")</f>
        <v>Teenager</v>
      </c>
      <c r="C1015" t="s">
        <v>22</v>
      </c>
      <c r="D1015">
        <f t="shared" si="15"/>
        <v>0</v>
      </c>
      <c r="E1015" t="s">
        <v>19</v>
      </c>
      <c r="F1015">
        <v>4</v>
      </c>
      <c r="G1015" t="s">
        <v>20</v>
      </c>
      <c r="H1015">
        <v>3</v>
      </c>
      <c r="I1015">
        <v>2</v>
      </c>
      <c r="J1015" t="s">
        <v>21</v>
      </c>
      <c r="K1015">
        <v>1</v>
      </c>
      <c r="L1015">
        <v>4779</v>
      </c>
      <c r="M1015" t="str" cm="1">
        <f t="array" ref="M1015">_xlfn.IFS(L1015&lt;= 7000,"Low",L1015&lt;=15000,"Medium",L1015&lt;=20000,"High")</f>
        <v>Low</v>
      </c>
      <c r="N1015" t="s">
        <v>22</v>
      </c>
      <c r="O1015">
        <v>14</v>
      </c>
      <c r="P1015">
        <v>3</v>
      </c>
      <c r="Q1015">
        <v>2</v>
      </c>
      <c r="R1015">
        <v>8</v>
      </c>
      <c r="S1015">
        <v>3</v>
      </c>
      <c r="T1015">
        <v>3</v>
      </c>
      <c r="U1015">
        <v>2</v>
      </c>
    </row>
    <row r="1016" spans="1:21" x14ac:dyDescent="0.35">
      <c r="A1016">
        <v>31</v>
      </c>
      <c r="B1016" t="str" cm="1">
        <f t="array" ref="B1016">_xlfn.IFS(A1016&gt;40,"Senior",A1016&gt;30,"Adult",A1016&gt;=18,"Teenager")</f>
        <v>Adult</v>
      </c>
      <c r="C1016" t="s">
        <v>22</v>
      </c>
      <c r="D1016">
        <f t="shared" si="15"/>
        <v>0</v>
      </c>
      <c r="E1016" t="s">
        <v>23</v>
      </c>
      <c r="F1016">
        <v>1</v>
      </c>
      <c r="G1016" t="s">
        <v>20</v>
      </c>
      <c r="H1016">
        <v>3</v>
      </c>
      <c r="I1016">
        <v>4</v>
      </c>
      <c r="J1016" t="s">
        <v>31</v>
      </c>
      <c r="K1016">
        <v>2</v>
      </c>
      <c r="L1016">
        <v>16422</v>
      </c>
      <c r="M1016" t="str" cm="1">
        <f t="array" ref="M1016">_xlfn.IFS(L1016&lt;= 7000,"Low",L1016&lt;=15000,"Medium",L1016&lt;=20000,"High")</f>
        <v>High</v>
      </c>
      <c r="N1016" t="s">
        <v>22</v>
      </c>
      <c r="O1016">
        <v>11</v>
      </c>
      <c r="P1016">
        <v>3</v>
      </c>
      <c r="Q1016">
        <v>3</v>
      </c>
      <c r="R1016">
        <v>9</v>
      </c>
      <c r="S1016">
        <v>4</v>
      </c>
      <c r="T1016">
        <v>3</v>
      </c>
      <c r="U1016">
        <v>2</v>
      </c>
    </row>
    <row r="1017" spans="1:21" x14ac:dyDescent="0.35">
      <c r="A1017">
        <v>34</v>
      </c>
      <c r="B1017" t="str" cm="1">
        <f t="array" ref="B1017">_xlfn.IFS(A1017&gt;40,"Senior",A1017&gt;30,"Adult",A1017&gt;=18,"Teenager")</f>
        <v>Adult</v>
      </c>
      <c r="C1017" t="s">
        <v>22</v>
      </c>
      <c r="D1017">
        <f t="shared" si="15"/>
        <v>0</v>
      </c>
      <c r="E1017" t="s">
        <v>23</v>
      </c>
      <c r="F1017">
        <v>4</v>
      </c>
      <c r="G1017" t="s">
        <v>24</v>
      </c>
      <c r="H1017">
        <v>3</v>
      </c>
      <c r="I1017">
        <v>1</v>
      </c>
      <c r="J1017" t="s">
        <v>25</v>
      </c>
      <c r="K1017">
        <v>1</v>
      </c>
      <c r="L1017">
        <v>2996</v>
      </c>
      <c r="M1017" t="str" cm="1">
        <f t="array" ref="M1017">_xlfn.IFS(L1017&lt;= 7000,"Low",L1017&lt;=15000,"Medium",L1017&lt;=20000,"High")</f>
        <v>Low</v>
      </c>
      <c r="N1017" t="s">
        <v>22</v>
      </c>
      <c r="O1017">
        <v>14</v>
      </c>
      <c r="P1017">
        <v>3</v>
      </c>
      <c r="Q1017">
        <v>3</v>
      </c>
      <c r="R1017">
        <v>10</v>
      </c>
      <c r="S1017">
        <v>3</v>
      </c>
      <c r="T1017">
        <v>4</v>
      </c>
      <c r="U1017">
        <v>3</v>
      </c>
    </row>
    <row r="1018" spans="1:21" x14ac:dyDescent="0.35">
      <c r="A1018">
        <v>31</v>
      </c>
      <c r="B1018" t="str" cm="1">
        <f t="array" ref="B1018">_xlfn.IFS(A1018&gt;40,"Senior",A1018&gt;30,"Adult",A1018&gt;=18,"Teenager")</f>
        <v>Adult</v>
      </c>
      <c r="C1018" t="s">
        <v>18</v>
      </c>
      <c r="D1018">
        <f t="shared" si="15"/>
        <v>1</v>
      </c>
      <c r="E1018" t="s">
        <v>23</v>
      </c>
      <c r="F1018">
        <v>1</v>
      </c>
      <c r="G1018" t="s">
        <v>20</v>
      </c>
      <c r="H1018">
        <v>2</v>
      </c>
      <c r="I1018">
        <v>1</v>
      </c>
      <c r="J1018" t="s">
        <v>25</v>
      </c>
      <c r="K1018">
        <v>2</v>
      </c>
      <c r="L1018">
        <v>1261</v>
      </c>
      <c r="M1018" t="str" cm="1">
        <f t="array" ref="M1018">_xlfn.IFS(L1018&lt;= 7000,"Low",L1018&lt;=15000,"Medium",L1018&lt;=20000,"High")</f>
        <v>Low</v>
      </c>
      <c r="N1018" t="s">
        <v>22</v>
      </c>
      <c r="O1018">
        <v>12</v>
      </c>
      <c r="P1018">
        <v>3</v>
      </c>
      <c r="Q1018">
        <v>3</v>
      </c>
      <c r="R1018">
        <v>1</v>
      </c>
      <c r="S1018">
        <v>4</v>
      </c>
      <c r="T1018">
        <v>1</v>
      </c>
      <c r="U1018">
        <v>0</v>
      </c>
    </row>
    <row r="1019" spans="1:21" x14ac:dyDescent="0.35">
      <c r="A1019">
        <v>27</v>
      </c>
      <c r="B1019" t="str" cm="1">
        <f t="array" ref="B1019">_xlfn.IFS(A1019&gt;40,"Senior",A1019&gt;30,"Adult",A1019&gt;=18,"Teenager")</f>
        <v>Teenager</v>
      </c>
      <c r="C1019" t="s">
        <v>22</v>
      </c>
      <c r="D1019">
        <f t="shared" si="15"/>
        <v>0</v>
      </c>
      <c r="E1019" t="s">
        <v>23</v>
      </c>
      <c r="F1019">
        <v>2</v>
      </c>
      <c r="G1019" t="s">
        <v>24</v>
      </c>
      <c r="H1019">
        <v>3</v>
      </c>
      <c r="I1019">
        <v>1</v>
      </c>
      <c r="J1019" t="s">
        <v>26</v>
      </c>
      <c r="K1019">
        <v>1</v>
      </c>
      <c r="L1019">
        <v>2099</v>
      </c>
      <c r="M1019" t="str" cm="1">
        <f t="array" ref="M1019">_xlfn.IFS(L1019&lt;= 7000,"Low",L1019&lt;=15000,"Medium",L1019&lt;=20000,"High")</f>
        <v>Low</v>
      </c>
      <c r="N1019" t="s">
        <v>22</v>
      </c>
      <c r="O1019">
        <v>14</v>
      </c>
      <c r="P1019">
        <v>3</v>
      </c>
      <c r="Q1019">
        <v>2</v>
      </c>
      <c r="R1019">
        <v>6</v>
      </c>
      <c r="S1019">
        <v>4</v>
      </c>
      <c r="T1019">
        <v>5</v>
      </c>
      <c r="U1019">
        <v>0</v>
      </c>
    </row>
    <row r="1020" spans="1:21" x14ac:dyDescent="0.35">
      <c r="A1020">
        <v>36</v>
      </c>
      <c r="B1020" t="str" cm="1">
        <f t="array" ref="B1020">_xlfn.IFS(A1020&gt;40,"Senior",A1020&gt;30,"Adult",A1020&gt;=18,"Teenager")</f>
        <v>Adult</v>
      </c>
      <c r="C1020" t="s">
        <v>22</v>
      </c>
      <c r="D1020">
        <f t="shared" si="15"/>
        <v>0</v>
      </c>
      <c r="E1020" t="s">
        <v>23</v>
      </c>
      <c r="F1020">
        <v>1</v>
      </c>
      <c r="G1020" t="s">
        <v>24</v>
      </c>
      <c r="H1020">
        <v>2</v>
      </c>
      <c r="I1020">
        <v>2</v>
      </c>
      <c r="J1020" t="s">
        <v>26</v>
      </c>
      <c r="K1020">
        <v>4</v>
      </c>
      <c r="L1020">
        <v>5810</v>
      </c>
      <c r="M1020" t="str" cm="1">
        <f t="array" ref="M1020">_xlfn.IFS(L1020&lt;= 7000,"Low",L1020&lt;=15000,"Medium",L1020&lt;=20000,"High")</f>
        <v>Low</v>
      </c>
      <c r="N1020" t="s">
        <v>22</v>
      </c>
      <c r="O1020">
        <v>16</v>
      </c>
      <c r="P1020">
        <v>3</v>
      </c>
      <c r="Q1020">
        <v>3</v>
      </c>
      <c r="R1020">
        <v>10</v>
      </c>
      <c r="S1020">
        <v>2</v>
      </c>
      <c r="T1020">
        <v>10</v>
      </c>
      <c r="U1020">
        <v>4</v>
      </c>
    </row>
    <row r="1021" spans="1:21" x14ac:dyDescent="0.35">
      <c r="A1021">
        <v>36</v>
      </c>
      <c r="B1021" t="str" cm="1">
        <f t="array" ref="B1021">_xlfn.IFS(A1021&gt;40,"Senior",A1021&gt;30,"Adult",A1021&gt;=18,"Teenager")</f>
        <v>Adult</v>
      </c>
      <c r="C1021" t="s">
        <v>22</v>
      </c>
      <c r="D1021">
        <f t="shared" si="15"/>
        <v>0</v>
      </c>
      <c r="E1021" t="s">
        <v>19</v>
      </c>
      <c r="F1021">
        <v>3</v>
      </c>
      <c r="G1021" t="s">
        <v>20</v>
      </c>
      <c r="H1021">
        <v>2</v>
      </c>
      <c r="I1021">
        <v>2</v>
      </c>
      <c r="J1021" t="s">
        <v>21</v>
      </c>
      <c r="K1021">
        <v>1</v>
      </c>
      <c r="L1021">
        <v>5647</v>
      </c>
      <c r="M1021" t="str" cm="1">
        <f t="array" ref="M1021">_xlfn.IFS(L1021&lt;= 7000,"Low",L1021&lt;=15000,"Medium",L1021&lt;=20000,"High")</f>
        <v>Low</v>
      </c>
      <c r="N1021" t="s">
        <v>22</v>
      </c>
      <c r="O1021">
        <v>13</v>
      </c>
      <c r="P1021">
        <v>3</v>
      </c>
      <c r="Q1021">
        <v>1</v>
      </c>
      <c r="R1021">
        <v>11</v>
      </c>
      <c r="S1021">
        <v>2</v>
      </c>
      <c r="T1021">
        <v>3</v>
      </c>
      <c r="U1021">
        <v>2</v>
      </c>
    </row>
    <row r="1022" spans="1:21" x14ac:dyDescent="0.35">
      <c r="A1022">
        <v>47</v>
      </c>
      <c r="B1022" t="str" cm="1">
        <f t="array" ref="B1022">_xlfn.IFS(A1022&gt;40,"Senior",A1022&gt;30,"Adult",A1022&gt;=18,"Teenager")</f>
        <v>Senior</v>
      </c>
      <c r="C1022" t="s">
        <v>22</v>
      </c>
      <c r="D1022">
        <f t="shared" si="15"/>
        <v>0</v>
      </c>
      <c r="E1022" t="s">
        <v>23</v>
      </c>
      <c r="F1022">
        <v>1</v>
      </c>
      <c r="G1022" t="s">
        <v>24</v>
      </c>
      <c r="H1022">
        <v>3</v>
      </c>
      <c r="I1022">
        <v>1</v>
      </c>
      <c r="J1022" t="s">
        <v>25</v>
      </c>
      <c r="K1022">
        <v>4</v>
      </c>
      <c r="L1022">
        <v>3420</v>
      </c>
      <c r="M1022" t="str" cm="1">
        <f t="array" ref="M1022">_xlfn.IFS(L1022&lt;= 7000,"Low",L1022&lt;=15000,"Medium",L1022&lt;=20000,"High")</f>
        <v>Low</v>
      </c>
      <c r="N1022" t="s">
        <v>22</v>
      </c>
      <c r="O1022">
        <v>12</v>
      </c>
      <c r="P1022">
        <v>3</v>
      </c>
      <c r="Q1022">
        <v>3</v>
      </c>
      <c r="R1022">
        <v>17</v>
      </c>
      <c r="S1022">
        <v>2</v>
      </c>
      <c r="T1022">
        <v>6</v>
      </c>
      <c r="U1022">
        <v>5</v>
      </c>
    </row>
    <row r="1023" spans="1:21" x14ac:dyDescent="0.35">
      <c r="A1023">
        <v>25</v>
      </c>
      <c r="B1023" t="str" cm="1">
        <f t="array" ref="B1023">_xlfn.IFS(A1023&gt;40,"Senior",A1023&gt;30,"Adult",A1023&gt;=18,"Teenager")</f>
        <v>Teenager</v>
      </c>
      <c r="C1023" t="s">
        <v>18</v>
      </c>
      <c r="D1023">
        <f t="shared" si="15"/>
        <v>1</v>
      </c>
      <c r="E1023" t="s">
        <v>19</v>
      </c>
      <c r="F1023">
        <v>1</v>
      </c>
      <c r="G1023" t="s">
        <v>24</v>
      </c>
      <c r="H1023">
        <v>2</v>
      </c>
      <c r="I1023">
        <v>1</v>
      </c>
      <c r="J1023" t="s">
        <v>30</v>
      </c>
      <c r="K1023">
        <v>1</v>
      </c>
      <c r="L1023">
        <v>4400</v>
      </c>
      <c r="M1023" t="str" cm="1">
        <f t="array" ref="M1023">_xlfn.IFS(L1023&lt;= 7000,"Low",L1023&lt;=15000,"Medium",L1023&lt;=20000,"High")</f>
        <v>Low</v>
      </c>
      <c r="N1023" t="s">
        <v>22</v>
      </c>
      <c r="O1023">
        <v>12</v>
      </c>
      <c r="P1023">
        <v>3</v>
      </c>
      <c r="Q1023">
        <v>1</v>
      </c>
      <c r="R1023">
        <v>6</v>
      </c>
      <c r="S1023">
        <v>3</v>
      </c>
      <c r="T1023">
        <v>3</v>
      </c>
      <c r="U1023">
        <v>2</v>
      </c>
    </row>
    <row r="1024" spans="1:21" x14ac:dyDescent="0.35">
      <c r="A1024">
        <v>37</v>
      </c>
      <c r="B1024" t="str" cm="1">
        <f t="array" ref="B1024">_xlfn.IFS(A1024&gt;40,"Senior",A1024&gt;30,"Adult",A1024&gt;=18,"Teenager")</f>
        <v>Adult</v>
      </c>
      <c r="C1024" t="s">
        <v>22</v>
      </c>
      <c r="D1024">
        <f t="shared" si="15"/>
        <v>0</v>
      </c>
      <c r="E1024" t="s">
        <v>23</v>
      </c>
      <c r="F1024">
        <v>3</v>
      </c>
      <c r="G1024" t="s">
        <v>24</v>
      </c>
      <c r="H1024">
        <v>4</v>
      </c>
      <c r="I1024">
        <v>1</v>
      </c>
      <c r="J1024" t="s">
        <v>26</v>
      </c>
      <c r="K1024">
        <v>3</v>
      </c>
      <c r="L1024">
        <v>3500</v>
      </c>
      <c r="M1024" t="str" cm="1">
        <f t="array" ref="M1024">_xlfn.IFS(L1024&lt;= 7000,"Low",L1024&lt;=15000,"Medium",L1024&lt;=20000,"High")</f>
        <v>Low</v>
      </c>
      <c r="N1024" t="s">
        <v>22</v>
      </c>
      <c r="O1024">
        <v>14</v>
      </c>
      <c r="P1024">
        <v>3</v>
      </c>
      <c r="Q1024">
        <v>1</v>
      </c>
      <c r="R1024">
        <v>7</v>
      </c>
      <c r="S1024">
        <v>1</v>
      </c>
      <c r="T1024">
        <v>6</v>
      </c>
      <c r="U1024">
        <v>5</v>
      </c>
    </row>
    <row r="1025" spans="1:21" x14ac:dyDescent="0.35">
      <c r="A1025">
        <v>56</v>
      </c>
      <c r="B1025" t="str" cm="1">
        <f t="array" ref="B1025">_xlfn.IFS(A1025&gt;40,"Senior",A1025&gt;30,"Adult",A1025&gt;=18,"Teenager")</f>
        <v>Senior</v>
      </c>
      <c r="C1025" t="s">
        <v>22</v>
      </c>
      <c r="D1025">
        <f t="shared" si="15"/>
        <v>0</v>
      </c>
      <c r="E1025" t="s">
        <v>23</v>
      </c>
      <c r="F1025">
        <v>1</v>
      </c>
      <c r="G1025" t="s">
        <v>20</v>
      </c>
      <c r="H1025">
        <v>3</v>
      </c>
      <c r="I1025">
        <v>1</v>
      </c>
      <c r="J1025" t="s">
        <v>25</v>
      </c>
      <c r="K1025">
        <v>1</v>
      </c>
      <c r="L1025">
        <v>2066</v>
      </c>
      <c r="M1025" t="str" cm="1">
        <f t="array" ref="M1025">_xlfn.IFS(L1025&lt;= 7000,"Low",L1025&lt;=15000,"Medium",L1025&lt;=20000,"High")</f>
        <v>Low</v>
      </c>
      <c r="N1025" t="s">
        <v>22</v>
      </c>
      <c r="O1025">
        <v>22</v>
      </c>
      <c r="P1025">
        <v>4</v>
      </c>
      <c r="Q1025">
        <v>4</v>
      </c>
      <c r="R1025">
        <v>5</v>
      </c>
      <c r="S1025">
        <v>4</v>
      </c>
      <c r="T1025">
        <v>3</v>
      </c>
      <c r="U1025">
        <v>2</v>
      </c>
    </row>
    <row r="1026" spans="1:21" x14ac:dyDescent="0.35">
      <c r="A1026">
        <v>47</v>
      </c>
      <c r="B1026" t="str" cm="1">
        <f t="array" ref="B1026">_xlfn.IFS(A1026&gt;40,"Senior",A1026&gt;30,"Adult",A1026&gt;=18,"Teenager")</f>
        <v>Senior</v>
      </c>
      <c r="C1026" t="s">
        <v>22</v>
      </c>
      <c r="D1026">
        <f t="shared" si="15"/>
        <v>0</v>
      </c>
      <c r="E1026" t="s">
        <v>23</v>
      </c>
      <c r="F1026">
        <v>1</v>
      </c>
      <c r="G1026" t="s">
        <v>20</v>
      </c>
      <c r="H1026">
        <v>3</v>
      </c>
      <c r="I1026">
        <v>4</v>
      </c>
      <c r="J1026" t="s">
        <v>31</v>
      </c>
      <c r="K1026">
        <v>3</v>
      </c>
      <c r="L1026">
        <v>17169</v>
      </c>
      <c r="M1026" t="str" cm="1">
        <f t="array" ref="M1026">_xlfn.IFS(L1026&lt;= 7000,"Low",L1026&lt;=15000,"Medium",L1026&lt;=20000,"High")</f>
        <v>High</v>
      </c>
      <c r="N1026" t="s">
        <v>22</v>
      </c>
      <c r="O1026">
        <v>19</v>
      </c>
      <c r="P1026">
        <v>3</v>
      </c>
      <c r="Q1026">
        <v>2</v>
      </c>
      <c r="R1026">
        <v>26</v>
      </c>
      <c r="S1026">
        <v>4</v>
      </c>
      <c r="T1026">
        <v>20</v>
      </c>
      <c r="U1026">
        <v>17</v>
      </c>
    </row>
    <row r="1027" spans="1:21" x14ac:dyDescent="0.35">
      <c r="A1027">
        <v>24</v>
      </c>
      <c r="B1027" t="str" cm="1">
        <f t="array" ref="B1027">_xlfn.IFS(A1027&gt;40,"Senior",A1027&gt;30,"Adult",A1027&gt;=18,"Teenager")</f>
        <v>Teenager</v>
      </c>
      <c r="C1027" t="s">
        <v>22</v>
      </c>
      <c r="D1027">
        <f t="shared" ref="D1027:D1090" si="16">IF(C1027="Yes",1,0)</f>
        <v>0</v>
      </c>
      <c r="E1027" t="s">
        <v>19</v>
      </c>
      <c r="F1027">
        <v>4</v>
      </c>
      <c r="G1027" t="s">
        <v>20</v>
      </c>
      <c r="H1027">
        <v>3</v>
      </c>
      <c r="I1027">
        <v>2</v>
      </c>
      <c r="J1027" t="s">
        <v>21</v>
      </c>
      <c r="K1027">
        <v>3</v>
      </c>
      <c r="L1027">
        <v>4162</v>
      </c>
      <c r="M1027" t="str" cm="1">
        <f t="array" ref="M1027">_xlfn.IFS(L1027&lt;= 7000,"Low",L1027&lt;=15000,"Medium",L1027&lt;=20000,"High")</f>
        <v>Low</v>
      </c>
      <c r="N1027" t="s">
        <v>18</v>
      </c>
      <c r="O1027">
        <v>12</v>
      </c>
      <c r="P1027">
        <v>3</v>
      </c>
      <c r="Q1027">
        <v>3</v>
      </c>
      <c r="R1027">
        <v>5</v>
      </c>
      <c r="S1027">
        <v>3</v>
      </c>
      <c r="T1027">
        <v>5</v>
      </c>
      <c r="U1027">
        <v>4</v>
      </c>
    </row>
    <row r="1028" spans="1:21" x14ac:dyDescent="0.35">
      <c r="A1028">
        <v>32</v>
      </c>
      <c r="B1028" t="str" cm="1">
        <f t="array" ref="B1028">_xlfn.IFS(A1028&gt;40,"Senior",A1028&gt;30,"Adult",A1028&gt;=18,"Teenager")</f>
        <v>Adult</v>
      </c>
      <c r="C1028" t="s">
        <v>22</v>
      </c>
      <c r="D1028">
        <f t="shared" si="16"/>
        <v>0</v>
      </c>
      <c r="E1028" t="s">
        <v>19</v>
      </c>
      <c r="F1028">
        <v>4</v>
      </c>
      <c r="G1028" t="s">
        <v>24</v>
      </c>
      <c r="H1028">
        <v>3</v>
      </c>
      <c r="I1028">
        <v>2</v>
      </c>
      <c r="J1028" t="s">
        <v>21</v>
      </c>
      <c r="K1028">
        <v>4</v>
      </c>
      <c r="L1028">
        <v>9204</v>
      </c>
      <c r="M1028" t="str" cm="1">
        <f t="array" ref="M1028">_xlfn.IFS(L1028&lt;= 7000,"Low",L1028&lt;=15000,"Medium",L1028&lt;=20000,"High")</f>
        <v>Medium</v>
      </c>
      <c r="N1028" t="s">
        <v>22</v>
      </c>
      <c r="O1028">
        <v>12</v>
      </c>
      <c r="P1028">
        <v>3</v>
      </c>
      <c r="Q1028">
        <v>3</v>
      </c>
      <c r="R1028">
        <v>7</v>
      </c>
      <c r="S1028">
        <v>2</v>
      </c>
      <c r="T1028">
        <v>4</v>
      </c>
      <c r="U1028">
        <v>3</v>
      </c>
    </row>
    <row r="1029" spans="1:21" x14ac:dyDescent="0.35">
      <c r="A1029">
        <v>34</v>
      </c>
      <c r="B1029" t="str" cm="1">
        <f t="array" ref="B1029">_xlfn.IFS(A1029&gt;40,"Senior",A1029&gt;30,"Adult",A1029&gt;=18,"Teenager")</f>
        <v>Adult</v>
      </c>
      <c r="C1029" t="s">
        <v>22</v>
      </c>
      <c r="D1029">
        <f t="shared" si="16"/>
        <v>0</v>
      </c>
      <c r="E1029" t="s">
        <v>23</v>
      </c>
      <c r="F1029">
        <v>4</v>
      </c>
      <c r="G1029" t="s">
        <v>20</v>
      </c>
      <c r="H1029">
        <v>2</v>
      </c>
      <c r="I1029">
        <v>1</v>
      </c>
      <c r="J1029" t="s">
        <v>26</v>
      </c>
      <c r="K1029">
        <v>2</v>
      </c>
      <c r="L1029">
        <v>3294</v>
      </c>
      <c r="M1029" t="str" cm="1">
        <f t="array" ref="M1029">_xlfn.IFS(L1029&lt;= 7000,"Low",L1029&lt;=15000,"Medium",L1029&lt;=20000,"High")</f>
        <v>Low</v>
      </c>
      <c r="N1029" t="s">
        <v>22</v>
      </c>
      <c r="O1029">
        <v>17</v>
      </c>
      <c r="P1029">
        <v>3</v>
      </c>
      <c r="Q1029">
        <v>1</v>
      </c>
      <c r="R1029">
        <v>7</v>
      </c>
      <c r="S1029">
        <v>2</v>
      </c>
      <c r="T1029">
        <v>5</v>
      </c>
      <c r="U1029">
        <v>4</v>
      </c>
    </row>
    <row r="1030" spans="1:21" x14ac:dyDescent="0.35">
      <c r="A1030">
        <v>41</v>
      </c>
      <c r="B1030" t="str" cm="1">
        <f t="array" ref="B1030">_xlfn.IFS(A1030&gt;40,"Senior",A1030&gt;30,"Adult",A1030&gt;=18,"Teenager")</f>
        <v>Senior</v>
      </c>
      <c r="C1030" t="s">
        <v>22</v>
      </c>
      <c r="D1030">
        <f t="shared" si="16"/>
        <v>0</v>
      </c>
      <c r="E1030" t="s">
        <v>23</v>
      </c>
      <c r="F1030">
        <v>2</v>
      </c>
      <c r="G1030" t="s">
        <v>24</v>
      </c>
      <c r="H1030">
        <v>4</v>
      </c>
      <c r="I1030">
        <v>1</v>
      </c>
      <c r="J1030" t="s">
        <v>25</v>
      </c>
      <c r="K1030">
        <v>3</v>
      </c>
      <c r="L1030">
        <v>2127</v>
      </c>
      <c r="M1030" t="str" cm="1">
        <f t="array" ref="M1030">_xlfn.IFS(L1030&lt;= 7000,"Low",L1030&lt;=15000,"Medium",L1030&lt;=20000,"High")</f>
        <v>Low</v>
      </c>
      <c r="N1030" t="s">
        <v>18</v>
      </c>
      <c r="O1030">
        <v>12</v>
      </c>
      <c r="P1030">
        <v>3</v>
      </c>
      <c r="Q1030">
        <v>1</v>
      </c>
      <c r="R1030">
        <v>7</v>
      </c>
      <c r="S1030">
        <v>2</v>
      </c>
      <c r="T1030">
        <v>4</v>
      </c>
      <c r="U1030">
        <v>2</v>
      </c>
    </row>
    <row r="1031" spans="1:21" x14ac:dyDescent="0.35">
      <c r="A1031">
        <v>40</v>
      </c>
      <c r="B1031" t="str" cm="1">
        <f t="array" ref="B1031">_xlfn.IFS(A1031&gt;40,"Senior",A1031&gt;30,"Adult",A1031&gt;=18,"Teenager")</f>
        <v>Adult</v>
      </c>
      <c r="C1031" t="s">
        <v>22</v>
      </c>
      <c r="D1031">
        <f t="shared" si="16"/>
        <v>0</v>
      </c>
      <c r="E1031" t="s">
        <v>23</v>
      </c>
      <c r="F1031">
        <v>3</v>
      </c>
      <c r="G1031" t="s">
        <v>24</v>
      </c>
      <c r="H1031">
        <v>3</v>
      </c>
      <c r="I1031">
        <v>2</v>
      </c>
      <c r="J1031" t="s">
        <v>26</v>
      </c>
      <c r="K1031">
        <v>3</v>
      </c>
      <c r="L1031">
        <v>3975</v>
      </c>
      <c r="M1031" t="str" cm="1">
        <f t="array" ref="M1031">_xlfn.IFS(L1031&lt;= 7000,"Low",L1031&lt;=15000,"Medium",L1031&lt;=20000,"High")</f>
        <v>Low</v>
      </c>
      <c r="N1031" t="s">
        <v>22</v>
      </c>
      <c r="O1031">
        <v>11</v>
      </c>
      <c r="P1031">
        <v>3</v>
      </c>
      <c r="Q1031">
        <v>3</v>
      </c>
      <c r="R1031">
        <v>11</v>
      </c>
      <c r="S1031">
        <v>4</v>
      </c>
      <c r="T1031">
        <v>8</v>
      </c>
      <c r="U1031">
        <v>7</v>
      </c>
    </row>
    <row r="1032" spans="1:21" x14ac:dyDescent="0.35">
      <c r="A1032">
        <v>31</v>
      </c>
      <c r="B1032" t="str" cm="1">
        <f t="array" ref="B1032">_xlfn.IFS(A1032&gt;40,"Senior",A1032&gt;30,"Adult",A1032&gt;=18,"Teenager")</f>
        <v>Adult</v>
      </c>
      <c r="C1032" t="s">
        <v>22</v>
      </c>
      <c r="D1032">
        <f t="shared" si="16"/>
        <v>0</v>
      </c>
      <c r="E1032" t="s">
        <v>19</v>
      </c>
      <c r="F1032">
        <v>1</v>
      </c>
      <c r="G1032" t="s">
        <v>24</v>
      </c>
      <c r="H1032">
        <v>3</v>
      </c>
      <c r="I1032">
        <v>3</v>
      </c>
      <c r="J1032" t="s">
        <v>21</v>
      </c>
      <c r="K1032">
        <v>4</v>
      </c>
      <c r="L1032">
        <v>10793</v>
      </c>
      <c r="M1032" t="str" cm="1">
        <f t="array" ref="M1032">_xlfn.IFS(L1032&lt;= 7000,"Low",L1032&lt;=15000,"Medium",L1032&lt;=20000,"High")</f>
        <v>Medium</v>
      </c>
      <c r="N1032" t="s">
        <v>22</v>
      </c>
      <c r="O1032">
        <v>18</v>
      </c>
      <c r="P1032">
        <v>3</v>
      </c>
      <c r="Q1032">
        <v>1</v>
      </c>
      <c r="R1032">
        <v>13</v>
      </c>
      <c r="S1032">
        <v>3</v>
      </c>
      <c r="T1032">
        <v>13</v>
      </c>
      <c r="U1032">
        <v>7</v>
      </c>
    </row>
    <row r="1033" spans="1:21" x14ac:dyDescent="0.35">
      <c r="A1033">
        <v>46</v>
      </c>
      <c r="B1033" t="str" cm="1">
        <f t="array" ref="B1033">_xlfn.IFS(A1033&gt;40,"Senior",A1033&gt;30,"Adult",A1033&gt;=18,"Teenager")</f>
        <v>Senior</v>
      </c>
      <c r="C1033" t="s">
        <v>18</v>
      </c>
      <c r="D1033">
        <f t="shared" si="16"/>
        <v>1</v>
      </c>
      <c r="E1033" t="s">
        <v>19</v>
      </c>
      <c r="F1033">
        <v>1</v>
      </c>
      <c r="G1033" t="s">
        <v>24</v>
      </c>
      <c r="H1033">
        <v>3</v>
      </c>
      <c r="I1033">
        <v>3</v>
      </c>
      <c r="J1033" t="s">
        <v>21</v>
      </c>
      <c r="K1033">
        <v>4</v>
      </c>
      <c r="L1033">
        <v>10096</v>
      </c>
      <c r="M1033" t="str" cm="1">
        <f t="array" ref="M1033">_xlfn.IFS(L1033&lt;= 7000,"Low",L1033&lt;=15000,"Medium",L1033&lt;=20000,"High")</f>
        <v>Medium</v>
      </c>
      <c r="N1033" t="s">
        <v>22</v>
      </c>
      <c r="O1033">
        <v>11</v>
      </c>
      <c r="P1033">
        <v>3</v>
      </c>
      <c r="Q1033">
        <v>1</v>
      </c>
      <c r="R1033">
        <v>28</v>
      </c>
      <c r="S1033">
        <v>4</v>
      </c>
      <c r="T1033">
        <v>7</v>
      </c>
      <c r="U1033">
        <v>7</v>
      </c>
    </row>
    <row r="1034" spans="1:21" x14ac:dyDescent="0.35">
      <c r="A1034">
        <v>39</v>
      </c>
      <c r="B1034" t="str" cm="1">
        <f t="array" ref="B1034">_xlfn.IFS(A1034&gt;40,"Senior",A1034&gt;30,"Adult",A1034&gt;=18,"Teenager")</f>
        <v>Adult</v>
      </c>
      <c r="C1034" t="s">
        <v>18</v>
      </c>
      <c r="D1034">
        <f t="shared" si="16"/>
        <v>1</v>
      </c>
      <c r="E1034" t="s">
        <v>23</v>
      </c>
      <c r="F1034">
        <v>1</v>
      </c>
      <c r="G1034" t="s">
        <v>20</v>
      </c>
      <c r="H1034">
        <v>2</v>
      </c>
      <c r="I1034">
        <v>1</v>
      </c>
      <c r="J1034" t="s">
        <v>26</v>
      </c>
      <c r="K1034">
        <v>1</v>
      </c>
      <c r="L1034">
        <v>3646</v>
      </c>
      <c r="M1034" t="str" cm="1">
        <f t="array" ref="M1034">_xlfn.IFS(L1034&lt;= 7000,"Low",L1034&lt;=15000,"Medium",L1034&lt;=20000,"High")</f>
        <v>Low</v>
      </c>
      <c r="N1034" t="s">
        <v>18</v>
      </c>
      <c r="O1034">
        <v>23</v>
      </c>
      <c r="P1034">
        <v>4</v>
      </c>
      <c r="Q1034">
        <v>2</v>
      </c>
      <c r="R1034">
        <v>11</v>
      </c>
      <c r="S1034">
        <v>4</v>
      </c>
      <c r="T1034">
        <v>1</v>
      </c>
      <c r="U1034">
        <v>0</v>
      </c>
    </row>
    <row r="1035" spans="1:21" x14ac:dyDescent="0.35">
      <c r="A1035">
        <v>31</v>
      </c>
      <c r="B1035" t="str" cm="1">
        <f t="array" ref="B1035">_xlfn.IFS(A1035&gt;40,"Senior",A1035&gt;30,"Adult",A1035&gt;=18,"Teenager")</f>
        <v>Adult</v>
      </c>
      <c r="C1035" t="s">
        <v>18</v>
      </c>
      <c r="D1035">
        <f t="shared" si="16"/>
        <v>1</v>
      </c>
      <c r="E1035" t="s">
        <v>23</v>
      </c>
      <c r="F1035">
        <v>3</v>
      </c>
      <c r="G1035" t="s">
        <v>20</v>
      </c>
      <c r="H1035">
        <v>4</v>
      </c>
      <c r="I1035">
        <v>3</v>
      </c>
      <c r="J1035" t="s">
        <v>27</v>
      </c>
      <c r="K1035">
        <v>2</v>
      </c>
      <c r="L1035">
        <v>7446</v>
      </c>
      <c r="M1035" t="str" cm="1">
        <f t="array" ref="M1035">_xlfn.IFS(L1035&lt;= 7000,"Low",L1035&lt;=15000,"Medium",L1035&lt;=20000,"High")</f>
        <v>Medium</v>
      </c>
      <c r="N1035" t="s">
        <v>22</v>
      </c>
      <c r="O1035">
        <v>11</v>
      </c>
      <c r="P1035">
        <v>3</v>
      </c>
      <c r="Q1035">
        <v>1</v>
      </c>
      <c r="R1035">
        <v>10</v>
      </c>
      <c r="S1035">
        <v>3</v>
      </c>
      <c r="T1035">
        <v>10</v>
      </c>
      <c r="U1035">
        <v>8</v>
      </c>
    </row>
    <row r="1036" spans="1:21" x14ac:dyDescent="0.35">
      <c r="A1036">
        <v>45</v>
      </c>
      <c r="B1036" t="str" cm="1">
        <f t="array" ref="B1036">_xlfn.IFS(A1036&gt;40,"Senior",A1036&gt;30,"Adult",A1036&gt;=18,"Teenager")</f>
        <v>Senior</v>
      </c>
      <c r="C1036" t="s">
        <v>22</v>
      </c>
      <c r="D1036">
        <f t="shared" si="16"/>
        <v>0</v>
      </c>
      <c r="E1036" t="s">
        <v>23</v>
      </c>
      <c r="F1036">
        <v>2</v>
      </c>
      <c r="G1036" t="s">
        <v>24</v>
      </c>
      <c r="H1036">
        <v>1</v>
      </c>
      <c r="I1036">
        <v>3</v>
      </c>
      <c r="J1036" t="s">
        <v>28</v>
      </c>
      <c r="K1036">
        <v>1</v>
      </c>
      <c r="L1036">
        <v>10851</v>
      </c>
      <c r="M1036" t="str" cm="1">
        <f t="array" ref="M1036">_xlfn.IFS(L1036&lt;= 7000,"Low",L1036&lt;=15000,"Medium",L1036&lt;=20000,"High")</f>
        <v>Medium</v>
      </c>
      <c r="N1036" t="s">
        <v>18</v>
      </c>
      <c r="O1036">
        <v>18</v>
      </c>
      <c r="P1036">
        <v>3</v>
      </c>
      <c r="Q1036">
        <v>2</v>
      </c>
      <c r="R1036">
        <v>24</v>
      </c>
      <c r="S1036">
        <v>3</v>
      </c>
      <c r="T1036">
        <v>7</v>
      </c>
      <c r="U1036">
        <v>7</v>
      </c>
    </row>
    <row r="1037" spans="1:21" x14ac:dyDescent="0.35">
      <c r="A1037">
        <v>31</v>
      </c>
      <c r="B1037" t="str" cm="1">
        <f t="array" ref="B1037">_xlfn.IFS(A1037&gt;40,"Senior",A1037&gt;30,"Adult",A1037&gt;=18,"Teenager")</f>
        <v>Adult</v>
      </c>
      <c r="C1037" t="s">
        <v>22</v>
      </c>
      <c r="D1037">
        <f t="shared" si="16"/>
        <v>0</v>
      </c>
      <c r="E1037" t="s">
        <v>32</v>
      </c>
      <c r="F1037">
        <v>4</v>
      </c>
      <c r="G1037" t="s">
        <v>20</v>
      </c>
      <c r="H1037">
        <v>4</v>
      </c>
      <c r="I1037">
        <v>1</v>
      </c>
      <c r="J1037" t="s">
        <v>32</v>
      </c>
      <c r="K1037">
        <v>2</v>
      </c>
      <c r="L1037">
        <v>2109</v>
      </c>
      <c r="M1037" t="str" cm="1">
        <f t="array" ref="M1037">_xlfn.IFS(L1037&lt;= 7000,"Low",L1037&lt;=15000,"Medium",L1037&lt;=20000,"High")</f>
        <v>Low</v>
      </c>
      <c r="N1037" t="s">
        <v>22</v>
      </c>
      <c r="O1037">
        <v>18</v>
      </c>
      <c r="P1037">
        <v>3</v>
      </c>
      <c r="Q1037">
        <v>4</v>
      </c>
      <c r="R1037">
        <v>8</v>
      </c>
      <c r="S1037">
        <v>3</v>
      </c>
      <c r="T1037">
        <v>3</v>
      </c>
      <c r="U1037">
        <v>2</v>
      </c>
    </row>
    <row r="1038" spans="1:21" x14ac:dyDescent="0.35">
      <c r="A1038">
        <v>31</v>
      </c>
      <c r="B1038" t="str" cm="1">
        <f t="array" ref="B1038">_xlfn.IFS(A1038&gt;40,"Senior",A1038&gt;30,"Adult",A1038&gt;=18,"Teenager")</f>
        <v>Adult</v>
      </c>
      <c r="C1038" t="s">
        <v>18</v>
      </c>
      <c r="D1038">
        <f t="shared" si="16"/>
        <v>1</v>
      </c>
      <c r="E1038" t="s">
        <v>23</v>
      </c>
      <c r="F1038">
        <v>2</v>
      </c>
      <c r="G1038" t="s">
        <v>24</v>
      </c>
      <c r="H1038">
        <v>3</v>
      </c>
      <c r="I1038">
        <v>1</v>
      </c>
      <c r="J1038" t="s">
        <v>26</v>
      </c>
      <c r="K1038">
        <v>4</v>
      </c>
      <c r="L1038">
        <v>3722</v>
      </c>
      <c r="M1038" t="str" cm="1">
        <f t="array" ref="M1038">_xlfn.IFS(L1038&lt;= 7000,"Low",L1038&lt;=15000,"Medium",L1038&lt;=20000,"High")</f>
        <v>Low</v>
      </c>
      <c r="N1038" t="s">
        <v>18</v>
      </c>
      <c r="O1038">
        <v>13</v>
      </c>
      <c r="P1038">
        <v>3</v>
      </c>
      <c r="Q1038">
        <v>3</v>
      </c>
      <c r="R1038">
        <v>7</v>
      </c>
      <c r="S1038">
        <v>1</v>
      </c>
      <c r="T1038">
        <v>2</v>
      </c>
      <c r="U1038">
        <v>2</v>
      </c>
    </row>
    <row r="1039" spans="1:21" x14ac:dyDescent="0.35">
      <c r="A1039">
        <v>45</v>
      </c>
      <c r="B1039" t="str" cm="1">
        <f t="array" ref="B1039">_xlfn.IFS(A1039&gt;40,"Senior",A1039&gt;30,"Adult",A1039&gt;=18,"Teenager")</f>
        <v>Senior</v>
      </c>
      <c r="C1039" t="s">
        <v>22</v>
      </c>
      <c r="D1039">
        <f t="shared" si="16"/>
        <v>0</v>
      </c>
      <c r="E1039" t="s">
        <v>23</v>
      </c>
      <c r="F1039">
        <v>2</v>
      </c>
      <c r="G1039" t="s">
        <v>24</v>
      </c>
      <c r="H1039">
        <v>3</v>
      </c>
      <c r="I1039">
        <v>3</v>
      </c>
      <c r="J1039" t="s">
        <v>27</v>
      </c>
      <c r="K1039">
        <v>4</v>
      </c>
      <c r="L1039">
        <v>9380</v>
      </c>
      <c r="M1039" t="str" cm="1">
        <f t="array" ref="M1039">_xlfn.IFS(L1039&lt;= 7000,"Low",L1039&lt;=15000,"Medium",L1039&lt;=20000,"High")</f>
        <v>Medium</v>
      </c>
      <c r="N1039" t="s">
        <v>18</v>
      </c>
      <c r="O1039">
        <v>18</v>
      </c>
      <c r="P1039">
        <v>3</v>
      </c>
      <c r="Q1039">
        <v>4</v>
      </c>
      <c r="R1039">
        <v>10</v>
      </c>
      <c r="S1039">
        <v>4</v>
      </c>
      <c r="T1039">
        <v>3</v>
      </c>
      <c r="U1039">
        <v>1</v>
      </c>
    </row>
    <row r="1040" spans="1:21" x14ac:dyDescent="0.35">
      <c r="A1040">
        <v>48</v>
      </c>
      <c r="B1040" t="str" cm="1">
        <f t="array" ref="B1040">_xlfn.IFS(A1040&gt;40,"Senior",A1040&gt;30,"Adult",A1040&gt;=18,"Teenager")</f>
        <v>Senior</v>
      </c>
      <c r="C1040" t="s">
        <v>22</v>
      </c>
      <c r="D1040">
        <f t="shared" si="16"/>
        <v>0</v>
      </c>
      <c r="E1040" t="s">
        <v>19</v>
      </c>
      <c r="F1040">
        <v>3</v>
      </c>
      <c r="G1040" t="s">
        <v>24</v>
      </c>
      <c r="H1040">
        <v>3</v>
      </c>
      <c r="I1040">
        <v>2</v>
      </c>
      <c r="J1040" t="s">
        <v>21</v>
      </c>
      <c r="K1040">
        <v>1</v>
      </c>
      <c r="L1040">
        <v>5486</v>
      </c>
      <c r="M1040" t="str" cm="1">
        <f t="array" ref="M1040">_xlfn.IFS(L1040&lt;= 7000,"Low",L1040&lt;=15000,"Medium",L1040&lt;=20000,"High")</f>
        <v>Low</v>
      </c>
      <c r="N1040" t="s">
        <v>22</v>
      </c>
      <c r="O1040">
        <v>11</v>
      </c>
      <c r="P1040">
        <v>3</v>
      </c>
      <c r="Q1040">
        <v>1</v>
      </c>
      <c r="R1040">
        <v>15</v>
      </c>
      <c r="S1040">
        <v>3</v>
      </c>
      <c r="T1040">
        <v>2</v>
      </c>
      <c r="U1040">
        <v>2</v>
      </c>
    </row>
    <row r="1041" spans="1:21" x14ac:dyDescent="0.35">
      <c r="A1041">
        <v>34</v>
      </c>
      <c r="B1041" t="str" cm="1">
        <f t="array" ref="B1041">_xlfn.IFS(A1041&gt;40,"Senior",A1041&gt;30,"Adult",A1041&gt;=18,"Teenager")</f>
        <v>Adult</v>
      </c>
      <c r="C1041" t="s">
        <v>18</v>
      </c>
      <c r="D1041">
        <f t="shared" si="16"/>
        <v>1</v>
      </c>
      <c r="E1041" t="s">
        <v>32</v>
      </c>
      <c r="F1041">
        <v>1</v>
      </c>
      <c r="G1041" t="s">
        <v>20</v>
      </c>
      <c r="H1041">
        <v>3</v>
      </c>
      <c r="I1041">
        <v>1</v>
      </c>
      <c r="J1041" t="s">
        <v>32</v>
      </c>
      <c r="K1041">
        <v>3</v>
      </c>
      <c r="L1041">
        <v>2742</v>
      </c>
      <c r="M1041" t="str" cm="1">
        <f t="array" ref="M1041">_xlfn.IFS(L1041&lt;= 7000,"Low",L1041&lt;=15000,"Medium",L1041&lt;=20000,"High")</f>
        <v>Low</v>
      </c>
      <c r="N1041" t="s">
        <v>22</v>
      </c>
      <c r="O1041">
        <v>15</v>
      </c>
      <c r="P1041">
        <v>3</v>
      </c>
      <c r="Q1041">
        <v>4</v>
      </c>
      <c r="R1041">
        <v>2</v>
      </c>
      <c r="S1041">
        <v>3</v>
      </c>
      <c r="T1041">
        <v>2</v>
      </c>
      <c r="U1041">
        <v>2</v>
      </c>
    </row>
    <row r="1042" spans="1:21" x14ac:dyDescent="0.35">
      <c r="A1042">
        <v>40</v>
      </c>
      <c r="B1042" t="str" cm="1">
        <f t="array" ref="B1042">_xlfn.IFS(A1042&gt;40,"Senior",A1042&gt;30,"Adult",A1042&gt;=18,"Teenager")</f>
        <v>Adult</v>
      </c>
      <c r="C1042" t="s">
        <v>22</v>
      </c>
      <c r="D1042">
        <f t="shared" si="16"/>
        <v>0</v>
      </c>
      <c r="E1042" t="s">
        <v>23</v>
      </c>
      <c r="F1042">
        <v>4</v>
      </c>
      <c r="G1042" t="s">
        <v>24</v>
      </c>
      <c r="H1042">
        <v>2</v>
      </c>
      <c r="I1042">
        <v>3</v>
      </c>
      <c r="J1042" t="s">
        <v>31</v>
      </c>
      <c r="K1042">
        <v>2</v>
      </c>
      <c r="L1042">
        <v>13757</v>
      </c>
      <c r="M1042" t="str" cm="1">
        <f t="array" ref="M1042">_xlfn.IFS(L1042&lt;= 7000,"Low",L1042&lt;=15000,"Medium",L1042&lt;=20000,"High")</f>
        <v>Medium</v>
      </c>
      <c r="N1042" t="s">
        <v>22</v>
      </c>
      <c r="O1042">
        <v>11</v>
      </c>
      <c r="P1042">
        <v>3</v>
      </c>
      <c r="Q1042">
        <v>3</v>
      </c>
      <c r="R1042">
        <v>16</v>
      </c>
      <c r="S1042">
        <v>3</v>
      </c>
      <c r="T1042">
        <v>9</v>
      </c>
      <c r="U1042">
        <v>8</v>
      </c>
    </row>
    <row r="1043" spans="1:21" x14ac:dyDescent="0.35">
      <c r="A1043">
        <v>28</v>
      </c>
      <c r="B1043" t="str" cm="1">
        <f t="array" ref="B1043">_xlfn.IFS(A1043&gt;40,"Senior",A1043&gt;30,"Adult",A1043&gt;=18,"Teenager")</f>
        <v>Teenager</v>
      </c>
      <c r="C1043" t="s">
        <v>22</v>
      </c>
      <c r="D1043">
        <f t="shared" si="16"/>
        <v>0</v>
      </c>
      <c r="E1043" t="s">
        <v>19</v>
      </c>
      <c r="F1043">
        <v>4</v>
      </c>
      <c r="G1043" t="s">
        <v>24</v>
      </c>
      <c r="H1043">
        <v>3</v>
      </c>
      <c r="I1043">
        <v>2</v>
      </c>
      <c r="J1043" t="s">
        <v>21</v>
      </c>
      <c r="K1043">
        <v>1</v>
      </c>
      <c r="L1043">
        <v>8463</v>
      </c>
      <c r="M1043" t="str" cm="1">
        <f t="array" ref="M1043">_xlfn.IFS(L1043&lt;= 7000,"Low",L1043&lt;=15000,"Medium",L1043&lt;=20000,"High")</f>
        <v>Medium</v>
      </c>
      <c r="N1043" t="s">
        <v>22</v>
      </c>
      <c r="O1043">
        <v>18</v>
      </c>
      <c r="P1043">
        <v>3</v>
      </c>
      <c r="Q1043">
        <v>4</v>
      </c>
      <c r="R1043">
        <v>6</v>
      </c>
      <c r="S1043">
        <v>3</v>
      </c>
      <c r="T1043">
        <v>5</v>
      </c>
      <c r="U1043">
        <v>4</v>
      </c>
    </row>
    <row r="1044" spans="1:21" x14ac:dyDescent="0.35">
      <c r="A1044">
        <v>44</v>
      </c>
      <c r="B1044" t="str" cm="1">
        <f t="array" ref="B1044">_xlfn.IFS(A1044&gt;40,"Senior",A1044&gt;30,"Adult",A1044&gt;=18,"Teenager")</f>
        <v>Senior</v>
      </c>
      <c r="C1044" t="s">
        <v>22</v>
      </c>
      <c r="D1044">
        <f t="shared" si="16"/>
        <v>0</v>
      </c>
      <c r="E1044" t="s">
        <v>23</v>
      </c>
      <c r="F1044">
        <v>3</v>
      </c>
      <c r="G1044" t="s">
        <v>24</v>
      </c>
      <c r="H1044">
        <v>2</v>
      </c>
      <c r="I1044">
        <v>1</v>
      </c>
      <c r="J1044" t="s">
        <v>26</v>
      </c>
      <c r="K1044">
        <v>3</v>
      </c>
      <c r="L1044">
        <v>3162</v>
      </c>
      <c r="M1044" t="str" cm="1">
        <f t="array" ref="M1044">_xlfn.IFS(L1044&lt;= 7000,"Low",L1044&lt;=15000,"Medium",L1044&lt;=20000,"High")</f>
        <v>Low</v>
      </c>
      <c r="N1044" t="s">
        <v>22</v>
      </c>
      <c r="O1044">
        <v>14</v>
      </c>
      <c r="P1044">
        <v>3</v>
      </c>
      <c r="Q1044">
        <v>4</v>
      </c>
      <c r="R1044">
        <v>7</v>
      </c>
      <c r="S1044">
        <v>3</v>
      </c>
      <c r="T1044">
        <v>5</v>
      </c>
      <c r="U1044">
        <v>2</v>
      </c>
    </row>
    <row r="1045" spans="1:21" x14ac:dyDescent="0.35">
      <c r="A1045">
        <v>53</v>
      </c>
      <c r="B1045" t="str" cm="1">
        <f t="array" ref="B1045">_xlfn.IFS(A1045&gt;40,"Senior",A1045&gt;30,"Adult",A1045&gt;=18,"Teenager")</f>
        <v>Senior</v>
      </c>
      <c r="C1045" t="s">
        <v>22</v>
      </c>
      <c r="D1045">
        <f t="shared" si="16"/>
        <v>0</v>
      </c>
      <c r="E1045" t="s">
        <v>23</v>
      </c>
      <c r="F1045">
        <v>4</v>
      </c>
      <c r="G1045" t="s">
        <v>24</v>
      </c>
      <c r="H1045">
        <v>4</v>
      </c>
      <c r="I1045">
        <v>4</v>
      </c>
      <c r="J1045" t="s">
        <v>31</v>
      </c>
      <c r="K1045">
        <v>2</v>
      </c>
      <c r="L1045">
        <v>16598</v>
      </c>
      <c r="M1045" t="str" cm="1">
        <f t="array" ref="M1045">_xlfn.IFS(L1045&lt;= 7000,"Low",L1045&lt;=15000,"Medium",L1045&lt;=20000,"High")</f>
        <v>High</v>
      </c>
      <c r="N1045" t="s">
        <v>22</v>
      </c>
      <c r="O1045">
        <v>12</v>
      </c>
      <c r="P1045">
        <v>3</v>
      </c>
      <c r="Q1045">
        <v>2</v>
      </c>
      <c r="R1045">
        <v>35</v>
      </c>
      <c r="S1045">
        <v>2</v>
      </c>
      <c r="T1045">
        <v>9</v>
      </c>
      <c r="U1045">
        <v>8</v>
      </c>
    </row>
    <row r="1046" spans="1:21" x14ac:dyDescent="0.35">
      <c r="A1046">
        <v>49</v>
      </c>
      <c r="B1046" t="str" cm="1">
        <f t="array" ref="B1046">_xlfn.IFS(A1046&gt;40,"Senior",A1046&gt;30,"Adult",A1046&gt;=18,"Teenager")</f>
        <v>Senior</v>
      </c>
      <c r="C1046" t="s">
        <v>22</v>
      </c>
      <c r="D1046">
        <f t="shared" si="16"/>
        <v>0</v>
      </c>
      <c r="E1046" t="s">
        <v>23</v>
      </c>
      <c r="F1046">
        <v>1</v>
      </c>
      <c r="G1046" t="s">
        <v>24</v>
      </c>
      <c r="H1046">
        <v>3</v>
      </c>
      <c r="I1046">
        <v>2</v>
      </c>
      <c r="J1046" t="s">
        <v>28</v>
      </c>
      <c r="K1046">
        <v>3</v>
      </c>
      <c r="L1046">
        <v>6651</v>
      </c>
      <c r="M1046" t="str" cm="1">
        <f t="array" ref="M1046">_xlfn.IFS(L1046&lt;= 7000,"Low",L1046&lt;=15000,"Medium",L1046&lt;=20000,"High")</f>
        <v>Low</v>
      </c>
      <c r="N1046" t="s">
        <v>22</v>
      </c>
      <c r="O1046">
        <v>14</v>
      </c>
      <c r="P1046">
        <v>3</v>
      </c>
      <c r="Q1046">
        <v>2</v>
      </c>
      <c r="R1046">
        <v>20</v>
      </c>
      <c r="S1046">
        <v>2</v>
      </c>
      <c r="T1046">
        <v>3</v>
      </c>
      <c r="U1046">
        <v>2</v>
      </c>
    </row>
    <row r="1047" spans="1:21" x14ac:dyDescent="0.35">
      <c r="A1047">
        <v>40</v>
      </c>
      <c r="B1047" t="str" cm="1">
        <f t="array" ref="B1047">_xlfn.IFS(A1047&gt;40,"Senior",A1047&gt;30,"Adult",A1047&gt;=18,"Teenager")</f>
        <v>Adult</v>
      </c>
      <c r="C1047" t="s">
        <v>22</v>
      </c>
      <c r="D1047">
        <f t="shared" si="16"/>
        <v>0</v>
      </c>
      <c r="E1047" t="s">
        <v>23</v>
      </c>
      <c r="F1047">
        <v>3</v>
      </c>
      <c r="G1047" t="s">
        <v>24</v>
      </c>
      <c r="H1047">
        <v>3</v>
      </c>
      <c r="I1047">
        <v>1</v>
      </c>
      <c r="J1047" t="s">
        <v>25</v>
      </c>
      <c r="K1047">
        <v>3</v>
      </c>
      <c r="L1047">
        <v>2345</v>
      </c>
      <c r="M1047" t="str" cm="1">
        <f t="array" ref="M1047">_xlfn.IFS(L1047&lt;= 7000,"Low",L1047&lt;=15000,"Medium",L1047&lt;=20000,"High")</f>
        <v>Low</v>
      </c>
      <c r="N1047" t="s">
        <v>22</v>
      </c>
      <c r="O1047">
        <v>14</v>
      </c>
      <c r="P1047">
        <v>3</v>
      </c>
      <c r="Q1047">
        <v>3</v>
      </c>
      <c r="R1047">
        <v>8</v>
      </c>
      <c r="S1047">
        <v>4</v>
      </c>
      <c r="T1047">
        <v>3</v>
      </c>
      <c r="U1047">
        <v>1</v>
      </c>
    </row>
    <row r="1048" spans="1:21" x14ac:dyDescent="0.35">
      <c r="A1048">
        <v>44</v>
      </c>
      <c r="B1048" t="str" cm="1">
        <f t="array" ref="B1048">_xlfn.IFS(A1048&gt;40,"Senior",A1048&gt;30,"Adult",A1048&gt;=18,"Teenager")</f>
        <v>Senior</v>
      </c>
      <c r="C1048" t="s">
        <v>22</v>
      </c>
      <c r="D1048">
        <f t="shared" si="16"/>
        <v>0</v>
      </c>
      <c r="E1048" t="s">
        <v>23</v>
      </c>
      <c r="F1048">
        <v>4</v>
      </c>
      <c r="G1048" t="s">
        <v>24</v>
      </c>
      <c r="H1048">
        <v>3</v>
      </c>
      <c r="I1048">
        <v>1</v>
      </c>
      <c r="J1048" t="s">
        <v>25</v>
      </c>
      <c r="K1048">
        <v>2</v>
      </c>
      <c r="L1048">
        <v>3420</v>
      </c>
      <c r="M1048" t="str" cm="1">
        <f t="array" ref="M1048">_xlfn.IFS(L1048&lt;= 7000,"Low",L1048&lt;=15000,"Medium",L1048&lt;=20000,"High")</f>
        <v>Low</v>
      </c>
      <c r="N1048" t="s">
        <v>22</v>
      </c>
      <c r="O1048">
        <v>13</v>
      </c>
      <c r="P1048">
        <v>3</v>
      </c>
      <c r="Q1048">
        <v>3</v>
      </c>
      <c r="R1048">
        <v>6</v>
      </c>
      <c r="S1048">
        <v>2</v>
      </c>
      <c r="T1048">
        <v>5</v>
      </c>
      <c r="U1048">
        <v>2</v>
      </c>
    </row>
    <row r="1049" spans="1:21" x14ac:dyDescent="0.35">
      <c r="A1049">
        <v>33</v>
      </c>
      <c r="B1049" t="str" cm="1">
        <f t="array" ref="B1049">_xlfn.IFS(A1049&gt;40,"Senior",A1049&gt;30,"Adult",A1049&gt;=18,"Teenager")</f>
        <v>Adult</v>
      </c>
      <c r="C1049" t="s">
        <v>22</v>
      </c>
      <c r="D1049">
        <f t="shared" si="16"/>
        <v>0</v>
      </c>
      <c r="E1049" t="s">
        <v>19</v>
      </c>
      <c r="F1049">
        <v>4</v>
      </c>
      <c r="G1049" t="s">
        <v>24</v>
      </c>
      <c r="H1049">
        <v>3</v>
      </c>
      <c r="I1049">
        <v>2</v>
      </c>
      <c r="J1049" t="s">
        <v>21</v>
      </c>
      <c r="K1049">
        <v>1</v>
      </c>
      <c r="L1049">
        <v>4373</v>
      </c>
      <c r="M1049" t="str" cm="1">
        <f t="array" ref="M1049">_xlfn.IFS(L1049&lt;= 7000,"Low",L1049&lt;=15000,"Medium",L1049&lt;=20000,"High")</f>
        <v>Low</v>
      </c>
      <c r="N1049" t="s">
        <v>22</v>
      </c>
      <c r="O1049">
        <v>14</v>
      </c>
      <c r="P1049">
        <v>3</v>
      </c>
      <c r="Q1049">
        <v>1</v>
      </c>
      <c r="R1049">
        <v>5</v>
      </c>
      <c r="S1049">
        <v>3</v>
      </c>
      <c r="T1049">
        <v>4</v>
      </c>
      <c r="U1049">
        <v>3</v>
      </c>
    </row>
    <row r="1050" spans="1:21" x14ac:dyDescent="0.35">
      <c r="A1050">
        <v>34</v>
      </c>
      <c r="B1050" t="str" cm="1">
        <f t="array" ref="B1050">_xlfn.IFS(A1050&gt;40,"Senior",A1050&gt;30,"Adult",A1050&gt;=18,"Teenager")</f>
        <v>Adult</v>
      </c>
      <c r="C1050" t="s">
        <v>22</v>
      </c>
      <c r="D1050">
        <f t="shared" si="16"/>
        <v>0</v>
      </c>
      <c r="E1050" t="s">
        <v>19</v>
      </c>
      <c r="F1050">
        <v>4</v>
      </c>
      <c r="G1050" t="s">
        <v>24</v>
      </c>
      <c r="H1050">
        <v>1</v>
      </c>
      <c r="I1050">
        <v>2</v>
      </c>
      <c r="J1050" t="s">
        <v>21</v>
      </c>
      <c r="K1050">
        <v>1</v>
      </c>
      <c r="L1050">
        <v>4759</v>
      </c>
      <c r="M1050" t="str" cm="1">
        <f t="array" ref="M1050">_xlfn.IFS(L1050&lt;= 7000,"Low",L1050&lt;=15000,"Medium",L1050&lt;=20000,"High")</f>
        <v>Low</v>
      </c>
      <c r="N1050" t="s">
        <v>22</v>
      </c>
      <c r="O1050">
        <v>18</v>
      </c>
      <c r="P1050">
        <v>3</v>
      </c>
      <c r="Q1050">
        <v>4</v>
      </c>
      <c r="R1050">
        <v>15</v>
      </c>
      <c r="S1050">
        <v>3</v>
      </c>
      <c r="T1050">
        <v>13</v>
      </c>
      <c r="U1050">
        <v>9</v>
      </c>
    </row>
    <row r="1051" spans="1:21" x14ac:dyDescent="0.35">
      <c r="A1051">
        <v>30</v>
      </c>
      <c r="B1051" t="str" cm="1">
        <f t="array" ref="B1051">_xlfn.IFS(A1051&gt;40,"Senior",A1051&gt;30,"Adult",A1051&gt;=18,"Teenager")</f>
        <v>Teenager</v>
      </c>
      <c r="C1051" t="s">
        <v>22</v>
      </c>
      <c r="D1051">
        <f t="shared" si="16"/>
        <v>0</v>
      </c>
      <c r="E1051" t="s">
        <v>19</v>
      </c>
      <c r="F1051">
        <v>4</v>
      </c>
      <c r="G1051" t="s">
        <v>24</v>
      </c>
      <c r="H1051">
        <v>3</v>
      </c>
      <c r="I1051">
        <v>2</v>
      </c>
      <c r="J1051" t="s">
        <v>21</v>
      </c>
      <c r="K1051">
        <v>3</v>
      </c>
      <c r="L1051">
        <v>5301</v>
      </c>
      <c r="M1051" t="str" cm="1">
        <f t="array" ref="M1051">_xlfn.IFS(L1051&lt;= 7000,"Low",L1051&lt;=15000,"Medium",L1051&lt;=20000,"High")</f>
        <v>Low</v>
      </c>
      <c r="N1051" t="s">
        <v>22</v>
      </c>
      <c r="O1051">
        <v>15</v>
      </c>
      <c r="P1051">
        <v>3</v>
      </c>
      <c r="Q1051">
        <v>3</v>
      </c>
      <c r="R1051">
        <v>4</v>
      </c>
      <c r="S1051">
        <v>2</v>
      </c>
      <c r="T1051">
        <v>2</v>
      </c>
      <c r="U1051">
        <v>1</v>
      </c>
    </row>
    <row r="1052" spans="1:21" x14ac:dyDescent="0.35">
      <c r="A1052">
        <v>42</v>
      </c>
      <c r="B1052" t="str" cm="1">
        <f t="array" ref="B1052">_xlfn.IFS(A1052&gt;40,"Senior",A1052&gt;30,"Adult",A1052&gt;=18,"Teenager")</f>
        <v>Senior</v>
      </c>
      <c r="C1052" t="s">
        <v>22</v>
      </c>
      <c r="D1052">
        <f t="shared" si="16"/>
        <v>0</v>
      </c>
      <c r="E1052" t="s">
        <v>23</v>
      </c>
      <c r="F1052">
        <v>1</v>
      </c>
      <c r="G1052" t="s">
        <v>20</v>
      </c>
      <c r="H1052">
        <v>3</v>
      </c>
      <c r="I1052">
        <v>1</v>
      </c>
      <c r="J1052" t="s">
        <v>26</v>
      </c>
      <c r="K1052">
        <v>4</v>
      </c>
      <c r="L1052">
        <v>3673</v>
      </c>
      <c r="M1052" t="str" cm="1">
        <f t="array" ref="M1052">_xlfn.IFS(L1052&lt;= 7000,"Low",L1052&lt;=15000,"Medium",L1052&lt;=20000,"High")</f>
        <v>Low</v>
      </c>
      <c r="N1052" t="s">
        <v>22</v>
      </c>
      <c r="O1052">
        <v>13</v>
      </c>
      <c r="P1052">
        <v>3</v>
      </c>
      <c r="Q1052">
        <v>3</v>
      </c>
      <c r="R1052">
        <v>12</v>
      </c>
      <c r="S1052">
        <v>3</v>
      </c>
      <c r="T1052">
        <v>12</v>
      </c>
      <c r="U1052">
        <v>9</v>
      </c>
    </row>
    <row r="1053" spans="1:21" x14ac:dyDescent="0.35">
      <c r="A1053">
        <v>44</v>
      </c>
      <c r="B1053" t="str" cm="1">
        <f t="array" ref="B1053">_xlfn.IFS(A1053&gt;40,"Senior",A1053&gt;30,"Adult",A1053&gt;=18,"Teenager")</f>
        <v>Senior</v>
      </c>
      <c r="C1053" t="s">
        <v>22</v>
      </c>
      <c r="D1053">
        <f t="shared" si="16"/>
        <v>0</v>
      </c>
      <c r="E1053" t="s">
        <v>19</v>
      </c>
      <c r="F1053">
        <v>1</v>
      </c>
      <c r="G1053" t="s">
        <v>20</v>
      </c>
      <c r="H1053">
        <v>3</v>
      </c>
      <c r="I1053">
        <v>2</v>
      </c>
      <c r="J1053" t="s">
        <v>21</v>
      </c>
      <c r="K1053">
        <v>3</v>
      </c>
      <c r="L1053">
        <v>4768</v>
      </c>
      <c r="M1053" t="str" cm="1">
        <f t="array" ref="M1053">_xlfn.IFS(L1053&lt;= 7000,"Low",L1053&lt;=15000,"Medium",L1053&lt;=20000,"High")</f>
        <v>Low</v>
      </c>
      <c r="N1053" t="s">
        <v>22</v>
      </c>
      <c r="O1053">
        <v>12</v>
      </c>
      <c r="P1053">
        <v>3</v>
      </c>
      <c r="Q1053">
        <v>3</v>
      </c>
      <c r="R1053">
        <v>11</v>
      </c>
      <c r="S1053">
        <v>2</v>
      </c>
      <c r="T1053">
        <v>1</v>
      </c>
      <c r="U1053">
        <v>0</v>
      </c>
    </row>
    <row r="1054" spans="1:21" x14ac:dyDescent="0.35">
      <c r="A1054">
        <v>30</v>
      </c>
      <c r="B1054" t="str" cm="1">
        <f t="array" ref="B1054">_xlfn.IFS(A1054&gt;40,"Senior",A1054&gt;30,"Adult",A1054&gt;=18,"Teenager")</f>
        <v>Teenager</v>
      </c>
      <c r="C1054" t="s">
        <v>22</v>
      </c>
      <c r="D1054">
        <f t="shared" si="16"/>
        <v>0</v>
      </c>
      <c r="E1054" t="s">
        <v>23</v>
      </c>
      <c r="F1054">
        <v>3</v>
      </c>
      <c r="G1054" t="s">
        <v>24</v>
      </c>
      <c r="H1054">
        <v>3</v>
      </c>
      <c r="I1054">
        <v>1</v>
      </c>
      <c r="J1054" t="s">
        <v>25</v>
      </c>
      <c r="K1054">
        <v>3</v>
      </c>
      <c r="L1054">
        <v>1274</v>
      </c>
      <c r="M1054" t="str" cm="1">
        <f t="array" ref="M1054">_xlfn.IFS(L1054&lt;= 7000,"Low",L1054&lt;=15000,"Medium",L1054&lt;=20000,"High")</f>
        <v>Low</v>
      </c>
      <c r="N1054" t="s">
        <v>22</v>
      </c>
      <c r="O1054">
        <v>13</v>
      </c>
      <c r="P1054">
        <v>3</v>
      </c>
      <c r="Q1054">
        <v>2</v>
      </c>
      <c r="R1054">
        <v>1</v>
      </c>
      <c r="S1054">
        <v>2</v>
      </c>
      <c r="T1054">
        <v>1</v>
      </c>
      <c r="U1054">
        <v>0</v>
      </c>
    </row>
    <row r="1055" spans="1:21" x14ac:dyDescent="0.35">
      <c r="A1055">
        <v>57</v>
      </c>
      <c r="B1055" t="str" cm="1">
        <f t="array" ref="B1055">_xlfn.IFS(A1055&gt;40,"Senior",A1055&gt;30,"Adult",A1055&gt;=18,"Teenager")</f>
        <v>Senior</v>
      </c>
      <c r="C1055" t="s">
        <v>22</v>
      </c>
      <c r="D1055">
        <f t="shared" si="16"/>
        <v>0</v>
      </c>
      <c r="E1055" t="s">
        <v>23</v>
      </c>
      <c r="F1055">
        <v>2</v>
      </c>
      <c r="G1055" t="s">
        <v>24</v>
      </c>
      <c r="H1055">
        <v>4</v>
      </c>
      <c r="I1055">
        <v>2</v>
      </c>
      <c r="J1055" t="s">
        <v>25</v>
      </c>
      <c r="K1055">
        <v>3</v>
      </c>
      <c r="L1055">
        <v>4900</v>
      </c>
      <c r="M1055" t="str" cm="1">
        <f t="array" ref="M1055">_xlfn.IFS(L1055&lt;= 7000,"Low",L1055&lt;=15000,"Medium",L1055&lt;=20000,"High")</f>
        <v>Low</v>
      </c>
      <c r="N1055" t="s">
        <v>22</v>
      </c>
      <c r="O1055">
        <v>24</v>
      </c>
      <c r="P1055">
        <v>4</v>
      </c>
      <c r="Q1055">
        <v>1</v>
      </c>
      <c r="R1055">
        <v>13</v>
      </c>
      <c r="S1055">
        <v>2</v>
      </c>
      <c r="T1055">
        <v>12</v>
      </c>
      <c r="U1055">
        <v>9</v>
      </c>
    </row>
    <row r="1056" spans="1:21" x14ac:dyDescent="0.35">
      <c r="A1056">
        <v>49</v>
      </c>
      <c r="B1056" t="str" cm="1">
        <f t="array" ref="B1056">_xlfn.IFS(A1056&gt;40,"Senior",A1056&gt;30,"Adult",A1056&gt;=18,"Teenager")</f>
        <v>Senior</v>
      </c>
      <c r="C1056" t="s">
        <v>22</v>
      </c>
      <c r="D1056">
        <f t="shared" si="16"/>
        <v>0</v>
      </c>
      <c r="E1056" t="s">
        <v>23</v>
      </c>
      <c r="F1056">
        <v>3</v>
      </c>
      <c r="G1056" t="s">
        <v>24</v>
      </c>
      <c r="H1056">
        <v>3</v>
      </c>
      <c r="I1056">
        <v>3</v>
      </c>
      <c r="J1056" t="s">
        <v>28</v>
      </c>
      <c r="K1056">
        <v>2</v>
      </c>
      <c r="L1056">
        <v>10466</v>
      </c>
      <c r="M1056" t="str" cm="1">
        <f t="array" ref="M1056">_xlfn.IFS(L1056&lt;= 7000,"Low",L1056&lt;=15000,"Medium",L1056&lt;=20000,"High")</f>
        <v>Medium</v>
      </c>
      <c r="N1056" t="s">
        <v>22</v>
      </c>
      <c r="O1056">
        <v>14</v>
      </c>
      <c r="P1056">
        <v>3</v>
      </c>
      <c r="Q1056">
        <v>2</v>
      </c>
      <c r="R1056">
        <v>29</v>
      </c>
      <c r="S1056">
        <v>3</v>
      </c>
      <c r="T1056">
        <v>8</v>
      </c>
      <c r="U1056">
        <v>7</v>
      </c>
    </row>
    <row r="1057" spans="1:21" x14ac:dyDescent="0.35">
      <c r="A1057">
        <v>34</v>
      </c>
      <c r="B1057" t="str" cm="1">
        <f t="array" ref="B1057">_xlfn.IFS(A1057&gt;40,"Senior",A1057&gt;30,"Adult",A1057&gt;=18,"Teenager")</f>
        <v>Adult</v>
      </c>
      <c r="C1057" t="s">
        <v>22</v>
      </c>
      <c r="D1057">
        <f t="shared" si="16"/>
        <v>0</v>
      </c>
      <c r="E1057" t="s">
        <v>23</v>
      </c>
      <c r="F1057">
        <v>2</v>
      </c>
      <c r="G1057" t="s">
        <v>24</v>
      </c>
      <c r="H1057">
        <v>3</v>
      </c>
      <c r="I1057">
        <v>4</v>
      </c>
      <c r="J1057" t="s">
        <v>31</v>
      </c>
      <c r="K1057">
        <v>1</v>
      </c>
      <c r="L1057">
        <v>17007</v>
      </c>
      <c r="M1057" t="str" cm="1">
        <f t="array" ref="M1057">_xlfn.IFS(L1057&lt;= 7000,"Low",L1057&lt;=15000,"Medium",L1057&lt;=20000,"High")</f>
        <v>High</v>
      </c>
      <c r="N1057" t="s">
        <v>22</v>
      </c>
      <c r="O1057">
        <v>14</v>
      </c>
      <c r="P1057">
        <v>3</v>
      </c>
      <c r="Q1057">
        <v>4</v>
      </c>
      <c r="R1057">
        <v>16</v>
      </c>
      <c r="S1057">
        <v>2</v>
      </c>
      <c r="T1057">
        <v>14</v>
      </c>
      <c r="U1057">
        <v>8</v>
      </c>
    </row>
    <row r="1058" spans="1:21" x14ac:dyDescent="0.35">
      <c r="A1058">
        <v>28</v>
      </c>
      <c r="B1058" t="str" cm="1">
        <f t="array" ref="B1058">_xlfn.IFS(A1058&gt;40,"Senior",A1058&gt;30,"Adult",A1058&gt;=18,"Teenager")</f>
        <v>Teenager</v>
      </c>
      <c r="C1058" t="s">
        <v>18</v>
      </c>
      <c r="D1058">
        <f t="shared" si="16"/>
        <v>1</v>
      </c>
      <c r="E1058" t="s">
        <v>19</v>
      </c>
      <c r="F1058">
        <v>1</v>
      </c>
      <c r="G1058" t="s">
        <v>24</v>
      </c>
      <c r="H1058">
        <v>3</v>
      </c>
      <c r="I1058">
        <v>1</v>
      </c>
      <c r="J1058" t="s">
        <v>30</v>
      </c>
      <c r="K1058">
        <v>3</v>
      </c>
      <c r="L1058">
        <v>2909</v>
      </c>
      <c r="M1058" t="str" cm="1">
        <f t="array" ref="M1058">_xlfn.IFS(L1058&lt;= 7000,"Low",L1058&lt;=15000,"Medium",L1058&lt;=20000,"High")</f>
        <v>Low</v>
      </c>
      <c r="N1058" t="s">
        <v>22</v>
      </c>
      <c r="O1058">
        <v>15</v>
      </c>
      <c r="P1058">
        <v>3</v>
      </c>
      <c r="Q1058">
        <v>4</v>
      </c>
      <c r="R1058">
        <v>5</v>
      </c>
      <c r="S1058">
        <v>4</v>
      </c>
      <c r="T1058">
        <v>3</v>
      </c>
      <c r="U1058">
        <v>2</v>
      </c>
    </row>
    <row r="1059" spans="1:21" x14ac:dyDescent="0.35">
      <c r="A1059">
        <v>29</v>
      </c>
      <c r="B1059" t="str" cm="1">
        <f t="array" ref="B1059">_xlfn.IFS(A1059&gt;40,"Senior",A1059&gt;30,"Adult",A1059&gt;=18,"Teenager")</f>
        <v>Teenager</v>
      </c>
      <c r="C1059" t="s">
        <v>18</v>
      </c>
      <c r="D1059">
        <f t="shared" si="16"/>
        <v>1</v>
      </c>
      <c r="E1059" t="s">
        <v>19</v>
      </c>
      <c r="F1059">
        <v>1</v>
      </c>
      <c r="G1059" t="s">
        <v>20</v>
      </c>
      <c r="H1059">
        <v>3</v>
      </c>
      <c r="I1059">
        <v>2</v>
      </c>
      <c r="J1059" t="s">
        <v>21</v>
      </c>
      <c r="K1059">
        <v>2</v>
      </c>
      <c r="L1059">
        <v>5765</v>
      </c>
      <c r="M1059" t="str" cm="1">
        <f t="array" ref="M1059">_xlfn.IFS(L1059&lt;= 7000,"Low",L1059&lt;=15000,"Medium",L1059&lt;=20000,"High")</f>
        <v>Low</v>
      </c>
      <c r="N1059" t="s">
        <v>22</v>
      </c>
      <c r="O1059">
        <v>11</v>
      </c>
      <c r="P1059">
        <v>3</v>
      </c>
      <c r="Q1059">
        <v>1</v>
      </c>
      <c r="R1059">
        <v>7</v>
      </c>
      <c r="S1059">
        <v>1</v>
      </c>
      <c r="T1059">
        <v>5</v>
      </c>
      <c r="U1059">
        <v>3</v>
      </c>
    </row>
    <row r="1060" spans="1:21" x14ac:dyDescent="0.35">
      <c r="A1060">
        <v>34</v>
      </c>
      <c r="B1060" t="str" cm="1">
        <f t="array" ref="B1060">_xlfn.IFS(A1060&gt;40,"Senior",A1060&gt;30,"Adult",A1060&gt;=18,"Teenager")</f>
        <v>Adult</v>
      </c>
      <c r="C1060" t="s">
        <v>18</v>
      </c>
      <c r="D1060">
        <f t="shared" si="16"/>
        <v>1</v>
      </c>
      <c r="E1060" t="s">
        <v>19</v>
      </c>
      <c r="F1060">
        <v>1</v>
      </c>
      <c r="G1060" t="s">
        <v>20</v>
      </c>
      <c r="H1060">
        <v>2</v>
      </c>
      <c r="I1060">
        <v>2</v>
      </c>
      <c r="J1060" t="s">
        <v>21</v>
      </c>
      <c r="K1060">
        <v>2</v>
      </c>
      <c r="L1060">
        <v>4599</v>
      </c>
      <c r="M1060" t="str" cm="1">
        <f t="array" ref="M1060">_xlfn.IFS(L1060&lt;= 7000,"Low",L1060&lt;=15000,"Medium",L1060&lt;=20000,"High")</f>
        <v>Low</v>
      </c>
      <c r="N1060" t="s">
        <v>18</v>
      </c>
      <c r="O1060">
        <v>23</v>
      </c>
      <c r="P1060">
        <v>4</v>
      </c>
      <c r="Q1060">
        <v>3</v>
      </c>
      <c r="R1060">
        <v>16</v>
      </c>
      <c r="S1060">
        <v>4</v>
      </c>
      <c r="T1060">
        <v>15</v>
      </c>
      <c r="U1060">
        <v>9</v>
      </c>
    </row>
    <row r="1061" spans="1:21" x14ac:dyDescent="0.35">
      <c r="A1061">
        <v>35</v>
      </c>
      <c r="B1061" t="str" cm="1">
        <f t="array" ref="B1061">_xlfn.IFS(A1061&gt;40,"Senior",A1061&gt;30,"Adult",A1061&gt;=18,"Teenager")</f>
        <v>Adult</v>
      </c>
      <c r="C1061" t="s">
        <v>22</v>
      </c>
      <c r="D1061">
        <f t="shared" si="16"/>
        <v>0</v>
      </c>
      <c r="E1061" t="s">
        <v>19</v>
      </c>
      <c r="F1061">
        <v>4</v>
      </c>
      <c r="G1061" t="s">
        <v>24</v>
      </c>
      <c r="H1061">
        <v>3</v>
      </c>
      <c r="I1061">
        <v>1</v>
      </c>
      <c r="J1061" t="s">
        <v>30</v>
      </c>
      <c r="K1061">
        <v>3</v>
      </c>
      <c r="L1061">
        <v>2404</v>
      </c>
      <c r="M1061" t="str" cm="1">
        <f t="array" ref="M1061">_xlfn.IFS(L1061&lt;= 7000,"Low",L1061&lt;=15000,"Medium",L1061&lt;=20000,"High")</f>
        <v>Low</v>
      </c>
      <c r="N1061" t="s">
        <v>22</v>
      </c>
      <c r="O1061">
        <v>13</v>
      </c>
      <c r="P1061">
        <v>3</v>
      </c>
      <c r="Q1061">
        <v>1</v>
      </c>
      <c r="R1061">
        <v>1</v>
      </c>
      <c r="S1061">
        <v>3</v>
      </c>
      <c r="T1061">
        <v>1</v>
      </c>
      <c r="U1061">
        <v>0</v>
      </c>
    </row>
    <row r="1062" spans="1:21" x14ac:dyDescent="0.35">
      <c r="A1062">
        <v>24</v>
      </c>
      <c r="B1062" t="str" cm="1">
        <f t="array" ref="B1062">_xlfn.IFS(A1062&gt;40,"Senior",A1062&gt;30,"Adult",A1062&gt;=18,"Teenager")</f>
        <v>Teenager</v>
      </c>
      <c r="C1062" t="s">
        <v>18</v>
      </c>
      <c r="D1062">
        <f t="shared" si="16"/>
        <v>1</v>
      </c>
      <c r="E1062" t="s">
        <v>23</v>
      </c>
      <c r="F1062">
        <v>2</v>
      </c>
      <c r="G1062" t="s">
        <v>24</v>
      </c>
      <c r="H1062">
        <v>3</v>
      </c>
      <c r="I1062">
        <v>1</v>
      </c>
      <c r="J1062" t="s">
        <v>26</v>
      </c>
      <c r="K1062">
        <v>1</v>
      </c>
      <c r="L1062">
        <v>3172</v>
      </c>
      <c r="M1062" t="str" cm="1">
        <f t="array" ref="M1062">_xlfn.IFS(L1062&lt;= 7000,"Low",L1062&lt;=15000,"Medium",L1062&lt;=20000,"High")</f>
        <v>Low</v>
      </c>
      <c r="N1062" t="s">
        <v>18</v>
      </c>
      <c r="O1062">
        <v>11</v>
      </c>
      <c r="P1062">
        <v>3</v>
      </c>
      <c r="Q1062">
        <v>3</v>
      </c>
      <c r="R1062">
        <v>4</v>
      </c>
      <c r="S1062">
        <v>2</v>
      </c>
      <c r="T1062">
        <v>0</v>
      </c>
      <c r="U1062">
        <v>0</v>
      </c>
    </row>
    <row r="1063" spans="1:21" x14ac:dyDescent="0.35">
      <c r="A1063">
        <v>24</v>
      </c>
      <c r="B1063" t="str" cm="1">
        <f t="array" ref="B1063">_xlfn.IFS(A1063&gt;40,"Senior",A1063&gt;30,"Adult",A1063&gt;=18,"Teenager")</f>
        <v>Teenager</v>
      </c>
      <c r="C1063" t="s">
        <v>22</v>
      </c>
      <c r="D1063">
        <f t="shared" si="16"/>
        <v>0</v>
      </c>
      <c r="E1063" t="s">
        <v>19</v>
      </c>
      <c r="F1063">
        <v>4</v>
      </c>
      <c r="G1063" t="s">
        <v>20</v>
      </c>
      <c r="H1063">
        <v>3</v>
      </c>
      <c r="I1063">
        <v>1</v>
      </c>
      <c r="J1063" t="s">
        <v>30</v>
      </c>
      <c r="K1063">
        <v>2</v>
      </c>
      <c r="L1063">
        <v>2033</v>
      </c>
      <c r="M1063" t="str" cm="1">
        <f t="array" ref="M1063">_xlfn.IFS(L1063&lt;= 7000,"Low",L1063&lt;=15000,"Medium",L1063&lt;=20000,"High")</f>
        <v>Low</v>
      </c>
      <c r="N1063" t="s">
        <v>22</v>
      </c>
      <c r="O1063">
        <v>13</v>
      </c>
      <c r="P1063">
        <v>3</v>
      </c>
      <c r="Q1063">
        <v>3</v>
      </c>
      <c r="R1063">
        <v>1</v>
      </c>
      <c r="S1063">
        <v>3</v>
      </c>
      <c r="T1063">
        <v>1</v>
      </c>
      <c r="U1063">
        <v>0</v>
      </c>
    </row>
    <row r="1064" spans="1:21" x14ac:dyDescent="0.35">
      <c r="A1064">
        <v>44</v>
      </c>
      <c r="B1064" t="str" cm="1">
        <f t="array" ref="B1064">_xlfn.IFS(A1064&gt;40,"Senior",A1064&gt;30,"Adult",A1064&gt;=18,"Teenager")</f>
        <v>Senior</v>
      </c>
      <c r="C1064" t="s">
        <v>22</v>
      </c>
      <c r="D1064">
        <f t="shared" si="16"/>
        <v>0</v>
      </c>
      <c r="E1064" t="s">
        <v>23</v>
      </c>
      <c r="F1064">
        <v>2</v>
      </c>
      <c r="G1064" t="s">
        <v>24</v>
      </c>
      <c r="H1064">
        <v>3</v>
      </c>
      <c r="I1064">
        <v>3</v>
      </c>
      <c r="J1064" t="s">
        <v>27</v>
      </c>
      <c r="K1064">
        <v>3</v>
      </c>
      <c r="L1064">
        <v>10209</v>
      </c>
      <c r="M1064" t="str" cm="1">
        <f t="array" ref="M1064">_xlfn.IFS(L1064&lt;= 7000,"Low",L1064&lt;=15000,"Medium",L1064&lt;=20000,"High")</f>
        <v>Medium</v>
      </c>
      <c r="N1064" t="s">
        <v>18</v>
      </c>
      <c r="O1064">
        <v>18</v>
      </c>
      <c r="P1064">
        <v>3</v>
      </c>
      <c r="Q1064">
        <v>2</v>
      </c>
      <c r="R1064">
        <v>16</v>
      </c>
      <c r="S1064">
        <v>2</v>
      </c>
      <c r="T1064">
        <v>2</v>
      </c>
      <c r="U1064">
        <v>2</v>
      </c>
    </row>
    <row r="1065" spans="1:21" x14ac:dyDescent="0.35">
      <c r="A1065">
        <v>29</v>
      </c>
      <c r="B1065" t="str" cm="1">
        <f t="array" ref="B1065">_xlfn.IFS(A1065&gt;40,"Senior",A1065&gt;30,"Adult",A1065&gt;=18,"Teenager")</f>
        <v>Teenager</v>
      </c>
      <c r="C1065" t="s">
        <v>22</v>
      </c>
      <c r="D1065">
        <f t="shared" si="16"/>
        <v>0</v>
      </c>
      <c r="E1065" t="s">
        <v>19</v>
      </c>
      <c r="F1065">
        <v>3</v>
      </c>
      <c r="G1065" t="s">
        <v>24</v>
      </c>
      <c r="H1065">
        <v>2</v>
      </c>
      <c r="I1065">
        <v>2</v>
      </c>
      <c r="J1065" t="s">
        <v>21</v>
      </c>
      <c r="K1065">
        <v>3</v>
      </c>
      <c r="L1065">
        <v>8620</v>
      </c>
      <c r="M1065" t="str" cm="1">
        <f t="array" ref="M1065">_xlfn.IFS(L1065&lt;= 7000,"Low",L1065&lt;=15000,"Medium",L1065&lt;=20000,"High")</f>
        <v>Medium</v>
      </c>
      <c r="N1065" t="s">
        <v>22</v>
      </c>
      <c r="O1065">
        <v>14</v>
      </c>
      <c r="P1065">
        <v>3</v>
      </c>
      <c r="Q1065">
        <v>3</v>
      </c>
      <c r="R1065">
        <v>10</v>
      </c>
      <c r="S1065">
        <v>3</v>
      </c>
      <c r="T1065">
        <v>10</v>
      </c>
      <c r="U1065">
        <v>7</v>
      </c>
    </row>
    <row r="1066" spans="1:21" x14ac:dyDescent="0.35">
      <c r="A1066">
        <v>30</v>
      </c>
      <c r="B1066" t="str" cm="1">
        <f t="array" ref="B1066">_xlfn.IFS(A1066&gt;40,"Senior",A1066&gt;30,"Adult",A1066&gt;=18,"Teenager")</f>
        <v>Teenager</v>
      </c>
      <c r="C1066" t="s">
        <v>22</v>
      </c>
      <c r="D1066">
        <f t="shared" si="16"/>
        <v>0</v>
      </c>
      <c r="E1066" t="s">
        <v>32</v>
      </c>
      <c r="F1066">
        <v>3</v>
      </c>
      <c r="G1066" t="s">
        <v>24</v>
      </c>
      <c r="H1066">
        <v>3</v>
      </c>
      <c r="I1066">
        <v>1</v>
      </c>
      <c r="J1066" t="s">
        <v>32</v>
      </c>
      <c r="K1066">
        <v>3</v>
      </c>
      <c r="L1066">
        <v>2064</v>
      </c>
      <c r="M1066" t="str" cm="1">
        <f t="array" ref="M1066">_xlfn.IFS(L1066&lt;= 7000,"Low",L1066&lt;=15000,"Medium",L1066&lt;=20000,"High")</f>
        <v>Low</v>
      </c>
      <c r="N1066" t="s">
        <v>22</v>
      </c>
      <c r="O1066">
        <v>21</v>
      </c>
      <c r="P1066">
        <v>4</v>
      </c>
      <c r="Q1066">
        <v>1</v>
      </c>
      <c r="R1066">
        <v>6</v>
      </c>
      <c r="S1066">
        <v>4</v>
      </c>
      <c r="T1066">
        <v>5</v>
      </c>
      <c r="U1066">
        <v>3</v>
      </c>
    </row>
    <row r="1067" spans="1:21" x14ac:dyDescent="0.35">
      <c r="A1067">
        <v>55</v>
      </c>
      <c r="B1067" t="str" cm="1">
        <f t="array" ref="B1067">_xlfn.IFS(A1067&gt;40,"Senior",A1067&gt;30,"Adult",A1067&gt;=18,"Teenager")</f>
        <v>Senior</v>
      </c>
      <c r="C1067" t="s">
        <v>22</v>
      </c>
      <c r="D1067">
        <f t="shared" si="16"/>
        <v>0</v>
      </c>
      <c r="E1067" t="s">
        <v>23</v>
      </c>
      <c r="F1067">
        <v>4</v>
      </c>
      <c r="G1067" t="s">
        <v>24</v>
      </c>
      <c r="H1067">
        <v>3</v>
      </c>
      <c r="I1067">
        <v>2</v>
      </c>
      <c r="J1067" t="s">
        <v>28</v>
      </c>
      <c r="K1067">
        <v>3</v>
      </c>
      <c r="L1067">
        <v>4035</v>
      </c>
      <c r="M1067" t="str" cm="1">
        <f t="array" ref="M1067">_xlfn.IFS(L1067&lt;= 7000,"Low",L1067&lt;=15000,"Medium",L1067&lt;=20000,"High")</f>
        <v>Low</v>
      </c>
      <c r="N1067" t="s">
        <v>18</v>
      </c>
      <c r="O1067">
        <v>16</v>
      </c>
      <c r="P1067">
        <v>3</v>
      </c>
      <c r="Q1067">
        <v>2</v>
      </c>
      <c r="R1067">
        <v>4</v>
      </c>
      <c r="S1067">
        <v>3</v>
      </c>
      <c r="T1067">
        <v>3</v>
      </c>
      <c r="U1067">
        <v>2</v>
      </c>
    </row>
    <row r="1068" spans="1:21" x14ac:dyDescent="0.35">
      <c r="A1068">
        <v>33</v>
      </c>
      <c r="B1068" t="str" cm="1">
        <f t="array" ref="B1068">_xlfn.IFS(A1068&gt;40,"Senior",A1068&gt;30,"Adult",A1068&gt;=18,"Teenager")</f>
        <v>Adult</v>
      </c>
      <c r="C1068" t="s">
        <v>22</v>
      </c>
      <c r="D1068">
        <f t="shared" si="16"/>
        <v>0</v>
      </c>
      <c r="E1068" t="s">
        <v>23</v>
      </c>
      <c r="F1068">
        <v>1</v>
      </c>
      <c r="G1068" t="s">
        <v>20</v>
      </c>
      <c r="H1068">
        <v>2</v>
      </c>
      <c r="I1068">
        <v>1</v>
      </c>
      <c r="J1068" t="s">
        <v>26</v>
      </c>
      <c r="K1068">
        <v>2</v>
      </c>
      <c r="L1068">
        <v>3838</v>
      </c>
      <c r="M1068" t="str" cm="1">
        <f t="array" ref="M1068">_xlfn.IFS(L1068&lt;= 7000,"Low",L1068&lt;=15000,"Medium",L1068&lt;=20000,"High")</f>
        <v>Low</v>
      </c>
      <c r="N1068" t="s">
        <v>22</v>
      </c>
      <c r="O1068">
        <v>11</v>
      </c>
      <c r="P1068">
        <v>3</v>
      </c>
      <c r="Q1068">
        <v>4</v>
      </c>
      <c r="R1068">
        <v>8</v>
      </c>
      <c r="S1068">
        <v>3</v>
      </c>
      <c r="T1068">
        <v>5</v>
      </c>
      <c r="U1068">
        <v>4</v>
      </c>
    </row>
    <row r="1069" spans="1:21" x14ac:dyDescent="0.35">
      <c r="A1069">
        <v>47</v>
      </c>
      <c r="B1069" t="str" cm="1">
        <f t="array" ref="B1069">_xlfn.IFS(A1069&gt;40,"Senior",A1069&gt;30,"Adult",A1069&gt;=18,"Teenager")</f>
        <v>Senior</v>
      </c>
      <c r="C1069" t="s">
        <v>22</v>
      </c>
      <c r="D1069">
        <f t="shared" si="16"/>
        <v>0</v>
      </c>
      <c r="E1069" t="s">
        <v>19</v>
      </c>
      <c r="F1069">
        <v>3</v>
      </c>
      <c r="G1069" t="s">
        <v>20</v>
      </c>
      <c r="H1069">
        <v>3</v>
      </c>
      <c r="I1069">
        <v>2</v>
      </c>
      <c r="J1069" t="s">
        <v>21</v>
      </c>
      <c r="K1069">
        <v>3</v>
      </c>
      <c r="L1069">
        <v>4591</v>
      </c>
      <c r="M1069" t="str" cm="1">
        <f t="array" ref="M1069">_xlfn.IFS(L1069&lt;= 7000,"Low",L1069&lt;=15000,"Medium",L1069&lt;=20000,"High")</f>
        <v>Low</v>
      </c>
      <c r="N1069" t="s">
        <v>18</v>
      </c>
      <c r="O1069">
        <v>17</v>
      </c>
      <c r="P1069">
        <v>3</v>
      </c>
      <c r="Q1069">
        <v>3</v>
      </c>
      <c r="R1069">
        <v>11</v>
      </c>
      <c r="S1069">
        <v>2</v>
      </c>
      <c r="T1069">
        <v>5</v>
      </c>
      <c r="U1069">
        <v>4</v>
      </c>
    </row>
    <row r="1070" spans="1:21" x14ac:dyDescent="0.35">
      <c r="A1070">
        <v>28</v>
      </c>
      <c r="B1070" t="str" cm="1">
        <f t="array" ref="B1070">_xlfn.IFS(A1070&gt;40,"Senior",A1070&gt;30,"Adult",A1070&gt;=18,"Teenager")</f>
        <v>Teenager</v>
      </c>
      <c r="C1070" t="s">
        <v>18</v>
      </c>
      <c r="D1070">
        <f t="shared" si="16"/>
        <v>1</v>
      </c>
      <c r="E1070" t="s">
        <v>23</v>
      </c>
      <c r="F1070">
        <v>3</v>
      </c>
      <c r="G1070" t="s">
        <v>24</v>
      </c>
      <c r="H1070">
        <v>2</v>
      </c>
      <c r="I1070">
        <v>1</v>
      </c>
      <c r="J1070" t="s">
        <v>26</v>
      </c>
      <c r="K1070">
        <v>1</v>
      </c>
      <c r="L1070">
        <v>2561</v>
      </c>
      <c r="M1070" t="str" cm="1">
        <f t="array" ref="M1070">_xlfn.IFS(L1070&lt;= 7000,"Low",L1070&lt;=15000,"Medium",L1070&lt;=20000,"High")</f>
        <v>Low</v>
      </c>
      <c r="N1070" t="s">
        <v>22</v>
      </c>
      <c r="O1070">
        <v>11</v>
      </c>
      <c r="P1070">
        <v>3</v>
      </c>
      <c r="Q1070">
        <v>3</v>
      </c>
      <c r="R1070">
        <v>8</v>
      </c>
      <c r="S1070">
        <v>2</v>
      </c>
      <c r="T1070">
        <v>0</v>
      </c>
      <c r="U1070">
        <v>0</v>
      </c>
    </row>
    <row r="1071" spans="1:21" x14ac:dyDescent="0.35">
      <c r="A1071">
        <v>28</v>
      </c>
      <c r="B1071" t="str" cm="1">
        <f t="array" ref="B1071">_xlfn.IFS(A1071&gt;40,"Senior",A1071&gt;30,"Adult",A1071&gt;=18,"Teenager")</f>
        <v>Teenager</v>
      </c>
      <c r="C1071" t="s">
        <v>22</v>
      </c>
      <c r="D1071">
        <f t="shared" si="16"/>
        <v>0</v>
      </c>
      <c r="E1071" t="s">
        <v>23</v>
      </c>
      <c r="F1071">
        <v>1</v>
      </c>
      <c r="G1071" t="s">
        <v>24</v>
      </c>
      <c r="H1071">
        <v>2</v>
      </c>
      <c r="I1071">
        <v>1</v>
      </c>
      <c r="J1071" t="s">
        <v>25</v>
      </c>
      <c r="K1071">
        <v>3</v>
      </c>
      <c r="L1071">
        <v>1563</v>
      </c>
      <c r="M1071" t="str" cm="1">
        <f t="array" ref="M1071">_xlfn.IFS(L1071&lt;= 7000,"Low",L1071&lt;=15000,"Medium",L1071&lt;=20000,"High")</f>
        <v>Low</v>
      </c>
      <c r="N1071" t="s">
        <v>22</v>
      </c>
      <c r="O1071">
        <v>14</v>
      </c>
      <c r="P1071">
        <v>3</v>
      </c>
      <c r="Q1071">
        <v>4</v>
      </c>
      <c r="R1071">
        <v>1</v>
      </c>
      <c r="S1071">
        <v>1</v>
      </c>
      <c r="T1071">
        <v>1</v>
      </c>
      <c r="U1071">
        <v>0</v>
      </c>
    </row>
    <row r="1072" spans="1:21" x14ac:dyDescent="0.35">
      <c r="A1072">
        <v>28</v>
      </c>
      <c r="B1072" t="str" cm="1">
        <f t="array" ref="B1072">_xlfn.IFS(A1072&gt;40,"Senior",A1072&gt;30,"Adult",A1072&gt;=18,"Teenager")</f>
        <v>Teenager</v>
      </c>
      <c r="C1072" t="s">
        <v>22</v>
      </c>
      <c r="D1072">
        <f t="shared" si="16"/>
        <v>0</v>
      </c>
      <c r="E1072" t="s">
        <v>19</v>
      </c>
      <c r="F1072">
        <v>3</v>
      </c>
      <c r="G1072" t="s">
        <v>24</v>
      </c>
      <c r="H1072">
        <v>3</v>
      </c>
      <c r="I1072">
        <v>2</v>
      </c>
      <c r="J1072" t="s">
        <v>21</v>
      </c>
      <c r="K1072">
        <v>1</v>
      </c>
      <c r="L1072">
        <v>4898</v>
      </c>
      <c r="M1072" t="str" cm="1">
        <f t="array" ref="M1072">_xlfn.IFS(L1072&lt;= 7000,"Low",L1072&lt;=15000,"Medium",L1072&lt;=20000,"High")</f>
        <v>Low</v>
      </c>
      <c r="N1072" t="s">
        <v>22</v>
      </c>
      <c r="O1072">
        <v>14</v>
      </c>
      <c r="P1072">
        <v>3</v>
      </c>
      <c r="Q1072">
        <v>4</v>
      </c>
      <c r="R1072">
        <v>5</v>
      </c>
      <c r="S1072">
        <v>3</v>
      </c>
      <c r="T1072">
        <v>4</v>
      </c>
      <c r="U1072">
        <v>2</v>
      </c>
    </row>
    <row r="1073" spans="1:21" x14ac:dyDescent="0.35">
      <c r="A1073">
        <v>49</v>
      </c>
      <c r="B1073" t="str" cm="1">
        <f t="array" ref="B1073">_xlfn.IFS(A1073&gt;40,"Senior",A1073&gt;30,"Adult",A1073&gt;=18,"Teenager")</f>
        <v>Senior</v>
      </c>
      <c r="C1073" t="s">
        <v>22</v>
      </c>
      <c r="D1073">
        <f t="shared" si="16"/>
        <v>0</v>
      </c>
      <c r="E1073" t="s">
        <v>23</v>
      </c>
      <c r="F1073">
        <v>3</v>
      </c>
      <c r="G1073" t="s">
        <v>20</v>
      </c>
      <c r="H1073">
        <v>2</v>
      </c>
      <c r="I1073">
        <v>2</v>
      </c>
      <c r="J1073" t="s">
        <v>26</v>
      </c>
      <c r="K1073">
        <v>1</v>
      </c>
      <c r="L1073">
        <v>4789</v>
      </c>
      <c r="M1073" t="str" cm="1">
        <f t="array" ref="M1073">_xlfn.IFS(L1073&lt;= 7000,"Low",L1073&lt;=15000,"Medium",L1073&lt;=20000,"High")</f>
        <v>Low</v>
      </c>
      <c r="N1073" t="s">
        <v>22</v>
      </c>
      <c r="O1073">
        <v>25</v>
      </c>
      <c r="P1073">
        <v>4</v>
      </c>
      <c r="Q1073">
        <v>1</v>
      </c>
      <c r="R1073">
        <v>10</v>
      </c>
      <c r="S1073">
        <v>3</v>
      </c>
      <c r="T1073">
        <v>3</v>
      </c>
      <c r="U1073">
        <v>2</v>
      </c>
    </row>
    <row r="1074" spans="1:21" x14ac:dyDescent="0.35">
      <c r="A1074">
        <v>29</v>
      </c>
      <c r="B1074" t="str" cm="1">
        <f t="array" ref="B1074">_xlfn.IFS(A1074&gt;40,"Senior",A1074&gt;30,"Adult",A1074&gt;=18,"Teenager")</f>
        <v>Teenager</v>
      </c>
      <c r="C1074" t="s">
        <v>22</v>
      </c>
      <c r="D1074">
        <f t="shared" si="16"/>
        <v>0</v>
      </c>
      <c r="E1074" t="s">
        <v>23</v>
      </c>
      <c r="F1074">
        <v>4</v>
      </c>
      <c r="G1074" t="s">
        <v>20</v>
      </c>
      <c r="H1074">
        <v>3</v>
      </c>
      <c r="I1074">
        <v>1</v>
      </c>
      <c r="J1074" t="s">
        <v>26</v>
      </c>
      <c r="K1074">
        <v>2</v>
      </c>
      <c r="L1074">
        <v>3180</v>
      </c>
      <c r="M1074" t="str" cm="1">
        <f t="array" ref="M1074">_xlfn.IFS(L1074&lt;= 7000,"Low",L1074&lt;=15000,"Medium",L1074&lt;=20000,"High")</f>
        <v>Low</v>
      </c>
      <c r="N1074" t="s">
        <v>22</v>
      </c>
      <c r="O1074">
        <v>13</v>
      </c>
      <c r="P1074">
        <v>3</v>
      </c>
      <c r="Q1074">
        <v>3</v>
      </c>
      <c r="R1074">
        <v>4</v>
      </c>
      <c r="S1074">
        <v>3</v>
      </c>
      <c r="T1074">
        <v>3</v>
      </c>
      <c r="U1074">
        <v>2</v>
      </c>
    </row>
    <row r="1075" spans="1:21" x14ac:dyDescent="0.35">
      <c r="A1075">
        <v>28</v>
      </c>
      <c r="B1075" t="str" cm="1">
        <f t="array" ref="B1075">_xlfn.IFS(A1075&gt;40,"Senior",A1075&gt;30,"Adult",A1075&gt;=18,"Teenager")</f>
        <v>Teenager</v>
      </c>
      <c r="C1075" t="s">
        <v>22</v>
      </c>
      <c r="D1075">
        <f t="shared" si="16"/>
        <v>0</v>
      </c>
      <c r="E1075" t="s">
        <v>23</v>
      </c>
      <c r="F1075">
        <v>3</v>
      </c>
      <c r="G1075" t="s">
        <v>24</v>
      </c>
      <c r="H1075">
        <v>1</v>
      </c>
      <c r="I1075">
        <v>2</v>
      </c>
      <c r="J1075" t="s">
        <v>27</v>
      </c>
      <c r="K1075">
        <v>2</v>
      </c>
      <c r="L1075">
        <v>6549</v>
      </c>
      <c r="M1075" t="str" cm="1">
        <f t="array" ref="M1075">_xlfn.IFS(L1075&lt;= 7000,"Low",L1075&lt;=15000,"Medium",L1075&lt;=20000,"High")</f>
        <v>Low</v>
      </c>
      <c r="N1075" t="s">
        <v>22</v>
      </c>
      <c r="O1075">
        <v>14</v>
      </c>
      <c r="P1075">
        <v>3</v>
      </c>
      <c r="Q1075">
        <v>2</v>
      </c>
      <c r="R1075">
        <v>8</v>
      </c>
      <c r="S1075">
        <v>2</v>
      </c>
      <c r="T1075">
        <v>8</v>
      </c>
      <c r="U1075">
        <v>6</v>
      </c>
    </row>
    <row r="1076" spans="1:21" x14ac:dyDescent="0.35">
      <c r="A1076">
        <v>33</v>
      </c>
      <c r="B1076" t="str" cm="1">
        <f t="array" ref="B1076">_xlfn.IFS(A1076&gt;40,"Senior",A1076&gt;30,"Adult",A1076&gt;=18,"Teenager")</f>
        <v>Adult</v>
      </c>
      <c r="C1076" t="s">
        <v>22</v>
      </c>
      <c r="D1076">
        <f t="shared" si="16"/>
        <v>0</v>
      </c>
      <c r="E1076" t="s">
        <v>23</v>
      </c>
      <c r="F1076">
        <v>4</v>
      </c>
      <c r="G1076" t="s">
        <v>24</v>
      </c>
      <c r="H1076">
        <v>3</v>
      </c>
      <c r="I1076">
        <v>2</v>
      </c>
      <c r="J1076" t="s">
        <v>28</v>
      </c>
      <c r="K1076">
        <v>3</v>
      </c>
      <c r="L1076">
        <v>6388</v>
      </c>
      <c r="M1076" t="str" cm="1">
        <f t="array" ref="M1076">_xlfn.IFS(L1076&lt;= 7000,"Low",L1076&lt;=15000,"Medium",L1076&lt;=20000,"High")</f>
        <v>Low</v>
      </c>
      <c r="N1076" t="s">
        <v>18</v>
      </c>
      <c r="O1076">
        <v>17</v>
      </c>
      <c r="P1076">
        <v>3</v>
      </c>
      <c r="Q1076">
        <v>1</v>
      </c>
      <c r="R1076">
        <v>14</v>
      </c>
      <c r="S1076">
        <v>3</v>
      </c>
      <c r="T1076">
        <v>0</v>
      </c>
      <c r="U1076">
        <v>0</v>
      </c>
    </row>
    <row r="1077" spans="1:21" x14ac:dyDescent="0.35">
      <c r="A1077">
        <v>32</v>
      </c>
      <c r="B1077" t="str" cm="1">
        <f t="array" ref="B1077">_xlfn.IFS(A1077&gt;40,"Senior",A1077&gt;30,"Adult",A1077&gt;=18,"Teenager")</f>
        <v>Adult</v>
      </c>
      <c r="C1077" t="s">
        <v>22</v>
      </c>
      <c r="D1077">
        <f t="shared" si="16"/>
        <v>0</v>
      </c>
      <c r="E1077" t="s">
        <v>23</v>
      </c>
      <c r="F1077">
        <v>3</v>
      </c>
      <c r="G1077" t="s">
        <v>24</v>
      </c>
      <c r="H1077">
        <v>3</v>
      </c>
      <c r="I1077">
        <v>3</v>
      </c>
      <c r="J1077" t="s">
        <v>29</v>
      </c>
      <c r="K1077">
        <v>4</v>
      </c>
      <c r="L1077">
        <v>11244</v>
      </c>
      <c r="M1077" t="str" cm="1">
        <f t="array" ref="M1077">_xlfn.IFS(L1077&lt;= 7000,"Low",L1077&lt;=15000,"Medium",L1077&lt;=20000,"High")</f>
        <v>Medium</v>
      </c>
      <c r="N1077" t="s">
        <v>22</v>
      </c>
      <c r="O1077">
        <v>25</v>
      </c>
      <c r="P1077">
        <v>4</v>
      </c>
      <c r="Q1077">
        <v>2</v>
      </c>
      <c r="R1077">
        <v>10</v>
      </c>
      <c r="S1077">
        <v>4</v>
      </c>
      <c r="T1077">
        <v>5</v>
      </c>
      <c r="U1077">
        <v>2</v>
      </c>
    </row>
    <row r="1078" spans="1:21" x14ac:dyDescent="0.35">
      <c r="A1078">
        <v>54</v>
      </c>
      <c r="B1078" t="str" cm="1">
        <f t="array" ref="B1078">_xlfn.IFS(A1078&gt;40,"Senior",A1078&gt;30,"Adult",A1078&gt;=18,"Teenager")</f>
        <v>Senior</v>
      </c>
      <c r="C1078" t="s">
        <v>22</v>
      </c>
      <c r="D1078">
        <f t="shared" si="16"/>
        <v>0</v>
      </c>
      <c r="E1078" t="s">
        <v>23</v>
      </c>
      <c r="F1078">
        <v>2</v>
      </c>
      <c r="G1078" t="s">
        <v>20</v>
      </c>
      <c r="H1078">
        <v>3</v>
      </c>
      <c r="I1078">
        <v>4</v>
      </c>
      <c r="J1078" t="s">
        <v>29</v>
      </c>
      <c r="K1078">
        <v>4</v>
      </c>
      <c r="L1078">
        <v>16032</v>
      </c>
      <c r="M1078" t="str" cm="1">
        <f t="array" ref="M1078">_xlfn.IFS(L1078&lt;= 7000,"Low",L1078&lt;=15000,"Medium",L1078&lt;=20000,"High")</f>
        <v>High</v>
      </c>
      <c r="N1078" t="s">
        <v>22</v>
      </c>
      <c r="O1078">
        <v>20</v>
      </c>
      <c r="P1078">
        <v>4</v>
      </c>
      <c r="Q1078">
        <v>1</v>
      </c>
      <c r="R1078">
        <v>26</v>
      </c>
      <c r="S1078">
        <v>3</v>
      </c>
      <c r="T1078">
        <v>14</v>
      </c>
      <c r="U1078">
        <v>9</v>
      </c>
    </row>
    <row r="1079" spans="1:21" x14ac:dyDescent="0.35">
      <c r="A1079">
        <v>29</v>
      </c>
      <c r="B1079" t="str" cm="1">
        <f t="array" ref="B1079">_xlfn.IFS(A1079&gt;40,"Senior",A1079&gt;30,"Adult",A1079&gt;=18,"Teenager")</f>
        <v>Teenager</v>
      </c>
      <c r="C1079" t="s">
        <v>18</v>
      </c>
      <c r="D1079">
        <f t="shared" si="16"/>
        <v>1</v>
      </c>
      <c r="E1079" t="s">
        <v>23</v>
      </c>
      <c r="F1079">
        <v>1</v>
      </c>
      <c r="G1079" t="s">
        <v>24</v>
      </c>
      <c r="H1079">
        <v>2</v>
      </c>
      <c r="I1079">
        <v>1</v>
      </c>
      <c r="J1079" t="s">
        <v>25</v>
      </c>
      <c r="K1079">
        <v>1</v>
      </c>
      <c r="L1079">
        <v>2362</v>
      </c>
      <c r="M1079" t="str" cm="1">
        <f t="array" ref="M1079">_xlfn.IFS(L1079&lt;= 7000,"Low",L1079&lt;=15000,"Medium",L1079&lt;=20000,"High")</f>
        <v>Low</v>
      </c>
      <c r="N1079" t="s">
        <v>22</v>
      </c>
      <c r="O1079">
        <v>13</v>
      </c>
      <c r="P1079">
        <v>3</v>
      </c>
      <c r="Q1079">
        <v>3</v>
      </c>
      <c r="R1079">
        <v>11</v>
      </c>
      <c r="S1079">
        <v>1</v>
      </c>
      <c r="T1079">
        <v>9</v>
      </c>
      <c r="U1079">
        <v>7</v>
      </c>
    </row>
    <row r="1080" spans="1:21" x14ac:dyDescent="0.35">
      <c r="A1080">
        <v>44</v>
      </c>
      <c r="B1080" t="str" cm="1">
        <f t="array" ref="B1080">_xlfn.IFS(A1080&gt;40,"Senior",A1080&gt;30,"Adult",A1080&gt;=18,"Teenager")</f>
        <v>Senior</v>
      </c>
      <c r="C1080" t="s">
        <v>22</v>
      </c>
      <c r="D1080">
        <f t="shared" si="16"/>
        <v>0</v>
      </c>
      <c r="E1080" t="s">
        <v>23</v>
      </c>
      <c r="F1080">
        <v>4</v>
      </c>
      <c r="G1080" t="s">
        <v>24</v>
      </c>
      <c r="H1080">
        <v>3</v>
      </c>
      <c r="I1080">
        <v>4</v>
      </c>
      <c r="J1080" t="s">
        <v>31</v>
      </c>
      <c r="K1080">
        <v>1</v>
      </c>
      <c r="L1080">
        <v>16328</v>
      </c>
      <c r="M1080" t="str" cm="1">
        <f t="array" ref="M1080">_xlfn.IFS(L1080&lt;= 7000,"Low",L1080&lt;=15000,"Medium",L1080&lt;=20000,"High")</f>
        <v>High</v>
      </c>
      <c r="N1080" t="s">
        <v>22</v>
      </c>
      <c r="O1080">
        <v>13</v>
      </c>
      <c r="P1080">
        <v>3</v>
      </c>
      <c r="Q1080">
        <v>3</v>
      </c>
      <c r="R1080">
        <v>24</v>
      </c>
      <c r="S1080">
        <v>4</v>
      </c>
      <c r="T1080">
        <v>20</v>
      </c>
      <c r="U1080">
        <v>6</v>
      </c>
    </row>
    <row r="1081" spans="1:21" x14ac:dyDescent="0.35">
      <c r="A1081">
        <v>39</v>
      </c>
      <c r="B1081" t="str" cm="1">
        <f t="array" ref="B1081">_xlfn.IFS(A1081&gt;40,"Senior",A1081&gt;30,"Adult",A1081&gt;=18,"Teenager")</f>
        <v>Adult</v>
      </c>
      <c r="C1081" t="s">
        <v>22</v>
      </c>
      <c r="D1081">
        <f t="shared" si="16"/>
        <v>0</v>
      </c>
      <c r="E1081" t="s">
        <v>23</v>
      </c>
      <c r="F1081">
        <v>2</v>
      </c>
      <c r="G1081" t="s">
        <v>20</v>
      </c>
      <c r="H1081">
        <v>3</v>
      </c>
      <c r="I1081">
        <v>3</v>
      </c>
      <c r="J1081" t="s">
        <v>27</v>
      </c>
      <c r="K1081">
        <v>2</v>
      </c>
      <c r="L1081">
        <v>8376</v>
      </c>
      <c r="M1081" t="str" cm="1">
        <f t="array" ref="M1081">_xlfn.IFS(L1081&lt;= 7000,"Low",L1081&lt;=15000,"Medium",L1081&lt;=20000,"High")</f>
        <v>Medium</v>
      </c>
      <c r="N1081" t="s">
        <v>22</v>
      </c>
      <c r="O1081">
        <v>18</v>
      </c>
      <c r="P1081">
        <v>3</v>
      </c>
      <c r="Q1081">
        <v>4</v>
      </c>
      <c r="R1081">
        <v>9</v>
      </c>
      <c r="S1081">
        <v>3</v>
      </c>
      <c r="T1081">
        <v>2</v>
      </c>
      <c r="U1081">
        <v>0</v>
      </c>
    </row>
    <row r="1082" spans="1:21" x14ac:dyDescent="0.35">
      <c r="A1082">
        <v>46</v>
      </c>
      <c r="B1082" t="str" cm="1">
        <f t="array" ref="B1082">_xlfn.IFS(A1082&gt;40,"Senior",A1082&gt;30,"Adult",A1082&gt;=18,"Teenager")</f>
        <v>Senior</v>
      </c>
      <c r="C1082" t="s">
        <v>22</v>
      </c>
      <c r="D1082">
        <f t="shared" si="16"/>
        <v>0</v>
      </c>
      <c r="E1082" t="s">
        <v>19</v>
      </c>
      <c r="F1082">
        <v>3</v>
      </c>
      <c r="G1082" t="s">
        <v>20</v>
      </c>
      <c r="H1082">
        <v>3</v>
      </c>
      <c r="I1082">
        <v>4</v>
      </c>
      <c r="J1082" t="s">
        <v>29</v>
      </c>
      <c r="K1082">
        <v>2</v>
      </c>
      <c r="L1082">
        <v>16606</v>
      </c>
      <c r="M1082" t="str" cm="1">
        <f t="array" ref="M1082">_xlfn.IFS(L1082&lt;= 7000,"Low",L1082&lt;=15000,"Medium",L1082&lt;=20000,"High")</f>
        <v>High</v>
      </c>
      <c r="N1082" t="s">
        <v>22</v>
      </c>
      <c r="O1082">
        <v>12</v>
      </c>
      <c r="P1082">
        <v>3</v>
      </c>
      <c r="Q1082">
        <v>4</v>
      </c>
      <c r="R1082">
        <v>23</v>
      </c>
      <c r="S1082">
        <v>4</v>
      </c>
      <c r="T1082">
        <v>13</v>
      </c>
      <c r="U1082">
        <v>12</v>
      </c>
    </row>
    <row r="1083" spans="1:21" x14ac:dyDescent="0.35">
      <c r="A1083">
        <v>35</v>
      </c>
      <c r="B1083" t="str" cm="1">
        <f t="array" ref="B1083">_xlfn.IFS(A1083&gt;40,"Senior",A1083&gt;30,"Adult",A1083&gt;=18,"Teenager")</f>
        <v>Adult</v>
      </c>
      <c r="C1083" t="s">
        <v>22</v>
      </c>
      <c r="D1083">
        <f t="shared" si="16"/>
        <v>0</v>
      </c>
      <c r="E1083" t="s">
        <v>23</v>
      </c>
      <c r="F1083">
        <v>4</v>
      </c>
      <c r="G1083" t="s">
        <v>20</v>
      </c>
      <c r="H1083">
        <v>2</v>
      </c>
      <c r="I1083">
        <v>3</v>
      </c>
      <c r="J1083" t="s">
        <v>28</v>
      </c>
      <c r="K1083">
        <v>2</v>
      </c>
      <c r="L1083">
        <v>8606</v>
      </c>
      <c r="M1083" t="str" cm="1">
        <f t="array" ref="M1083">_xlfn.IFS(L1083&lt;= 7000,"Low",L1083&lt;=15000,"Medium",L1083&lt;=20000,"High")</f>
        <v>Medium</v>
      </c>
      <c r="N1083" t="s">
        <v>22</v>
      </c>
      <c r="O1083">
        <v>19</v>
      </c>
      <c r="P1083">
        <v>3</v>
      </c>
      <c r="Q1083">
        <v>4</v>
      </c>
      <c r="R1083">
        <v>11</v>
      </c>
      <c r="S1083">
        <v>1</v>
      </c>
      <c r="T1083">
        <v>11</v>
      </c>
      <c r="U1083">
        <v>8</v>
      </c>
    </row>
    <row r="1084" spans="1:21" x14ac:dyDescent="0.35">
      <c r="A1084">
        <v>23</v>
      </c>
      <c r="B1084" t="str" cm="1">
        <f t="array" ref="B1084">_xlfn.IFS(A1084&gt;40,"Senior",A1084&gt;30,"Adult",A1084&gt;=18,"Teenager")</f>
        <v>Teenager</v>
      </c>
      <c r="C1084" t="s">
        <v>22</v>
      </c>
      <c r="D1084">
        <f t="shared" si="16"/>
        <v>0</v>
      </c>
      <c r="E1084" t="s">
        <v>23</v>
      </c>
      <c r="F1084">
        <v>1</v>
      </c>
      <c r="G1084" t="s">
        <v>24</v>
      </c>
      <c r="H1084">
        <v>3</v>
      </c>
      <c r="I1084">
        <v>2</v>
      </c>
      <c r="J1084" t="s">
        <v>26</v>
      </c>
      <c r="K1084">
        <v>3</v>
      </c>
      <c r="L1084">
        <v>2272</v>
      </c>
      <c r="M1084" t="str" cm="1">
        <f t="array" ref="M1084">_xlfn.IFS(L1084&lt;= 7000,"Low",L1084&lt;=15000,"Medium",L1084&lt;=20000,"High")</f>
        <v>Low</v>
      </c>
      <c r="N1084" t="s">
        <v>22</v>
      </c>
      <c r="O1084">
        <v>14</v>
      </c>
      <c r="P1084">
        <v>3</v>
      </c>
      <c r="Q1084">
        <v>2</v>
      </c>
      <c r="R1084">
        <v>5</v>
      </c>
      <c r="S1084">
        <v>3</v>
      </c>
      <c r="T1084">
        <v>4</v>
      </c>
      <c r="U1084">
        <v>3</v>
      </c>
    </row>
    <row r="1085" spans="1:21" x14ac:dyDescent="0.35">
      <c r="A1085">
        <v>40</v>
      </c>
      <c r="B1085" t="str" cm="1">
        <f t="array" ref="B1085">_xlfn.IFS(A1085&gt;40,"Senior",A1085&gt;30,"Adult",A1085&gt;=18,"Teenager")</f>
        <v>Adult</v>
      </c>
      <c r="C1085" t="s">
        <v>18</v>
      </c>
      <c r="D1085">
        <f t="shared" si="16"/>
        <v>1</v>
      </c>
      <c r="E1085" t="s">
        <v>23</v>
      </c>
      <c r="F1085">
        <v>4</v>
      </c>
      <c r="G1085" t="s">
        <v>24</v>
      </c>
      <c r="H1085">
        <v>3</v>
      </c>
      <c r="I1085">
        <v>1</v>
      </c>
      <c r="J1085" t="s">
        <v>26</v>
      </c>
      <c r="K1085">
        <v>1</v>
      </c>
      <c r="L1085">
        <v>2018</v>
      </c>
      <c r="M1085" t="str" cm="1">
        <f t="array" ref="M1085">_xlfn.IFS(L1085&lt;= 7000,"Low",L1085&lt;=15000,"Medium",L1085&lt;=20000,"High")</f>
        <v>Low</v>
      </c>
      <c r="N1085" t="s">
        <v>22</v>
      </c>
      <c r="O1085">
        <v>14</v>
      </c>
      <c r="P1085">
        <v>3</v>
      </c>
      <c r="Q1085">
        <v>2</v>
      </c>
      <c r="R1085">
        <v>15</v>
      </c>
      <c r="S1085">
        <v>1</v>
      </c>
      <c r="T1085">
        <v>5</v>
      </c>
      <c r="U1085">
        <v>4</v>
      </c>
    </row>
    <row r="1086" spans="1:21" x14ac:dyDescent="0.35">
      <c r="A1086">
        <v>34</v>
      </c>
      <c r="B1086" t="str" cm="1">
        <f t="array" ref="B1086">_xlfn.IFS(A1086&gt;40,"Senior",A1086&gt;30,"Adult",A1086&gt;=18,"Teenager")</f>
        <v>Adult</v>
      </c>
      <c r="C1086" t="s">
        <v>22</v>
      </c>
      <c r="D1086">
        <f t="shared" si="16"/>
        <v>0</v>
      </c>
      <c r="E1086" t="s">
        <v>19</v>
      </c>
      <c r="F1086">
        <v>4</v>
      </c>
      <c r="G1086" t="s">
        <v>24</v>
      </c>
      <c r="H1086">
        <v>2</v>
      </c>
      <c r="I1086">
        <v>3</v>
      </c>
      <c r="J1086" t="s">
        <v>21</v>
      </c>
      <c r="K1086">
        <v>3</v>
      </c>
      <c r="L1086">
        <v>7083</v>
      </c>
      <c r="M1086" t="str" cm="1">
        <f t="array" ref="M1086">_xlfn.IFS(L1086&lt;= 7000,"Low",L1086&lt;=15000,"Medium",L1086&lt;=20000,"High")</f>
        <v>Medium</v>
      </c>
      <c r="N1086" t="s">
        <v>18</v>
      </c>
      <c r="O1086">
        <v>14</v>
      </c>
      <c r="P1086">
        <v>3</v>
      </c>
      <c r="Q1086">
        <v>4</v>
      </c>
      <c r="R1086">
        <v>10</v>
      </c>
      <c r="S1086">
        <v>3</v>
      </c>
      <c r="T1086">
        <v>10</v>
      </c>
      <c r="U1086">
        <v>9</v>
      </c>
    </row>
    <row r="1087" spans="1:21" x14ac:dyDescent="0.35">
      <c r="A1087">
        <v>31</v>
      </c>
      <c r="B1087" t="str" cm="1">
        <f t="array" ref="B1087">_xlfn.IFS(A1087&gt;40,"Senior",A1087&gt;30,"Adult",A1087&gt;=18,"Teenager")</f>
        <v>Adult</v>
      </c>
      <c r="C1087" t="s">
        <v>18</v>
      </c>
      <c r="D1087">
        <f t="shared" si="16"/>
        <v>1</v>
      </c>
      <c r="E1087" t="s">
        <v>23</v>
      </c>
      <c r="F1087">
        <v>4</v>
      </c>
      <c r="G1087" t="s">
        <v>20</v>
      </c>
      <c r="H1087">
        <v>3</v>
      </c>
      <c r="I1087">
        <v>1</v>
      </c>
      <c r="J1087" t="s">
        <v>25</v>
      </c>
      <c r="K1087">
        <v>3</v>
      </c>
      <c r="L1087">
        <v>4084</v>
      </c>
      <c r="M1087" t="str" cm="1">
        <f t="array" ref="M1087">_xlfn.IFS(L1087&lt;= 7000,"Low",L1087&lt;=15000,"Medium",L1087&lt;=20000,"High")</f>
        <v>Low</v>
      </c>
      <c r="N1087" t="s">
        <v>22</v>
      </c>
      <c r="O1087">
        <v>12</v>
      </c>
      <c r="P1087">
        <v>3</v>
      </c>
      <c r="Q1087">
        <v>1</v>
      </c>
      <c r="R1087">
        <v>7</v>
      </c>
      <c r="S1087">
        <v>1</v>
      </c>
      <c r="T1087">
        <v>7</v>
      </c>
      <c r="U1087">
        <v>2</v>
      </c>
    </row>
    <row r="1088" spans="1:21" x14ac:dyDescent="0.35">
      <c r="A1088">
        <v>50</v>
      </c>
      <c r="B1088" t="str" cm="1">
        <f t="array" ref="B1088">_xlfn.IFS(A1088&gt;40,"Senior",A1088&gt;30,"Adult",A1088&gt;=18,"Teenager")</f>
        <v>Senior</v>
      </c>
      <c r="C1088" t="s">
        <v>22</v>
      </c>
      <c r="D1088">
        <f t="shared" si="16"/>
        <v>0</v>
      </c>
      <c r="E1088" t="s">
        <v>23</v>
      </c>
      <c r="F1088">
        <v>3</v>
      </c>
      <c r="G1088" t="s">
        <v>24</v>
      </c>
      <c r="H1088">
        <v>1</v>
      </c>
      <c r="I1088">
        <v>4</v>
      </c>
      <c r="J1088" t="s">
        <v>31</v>
      </c>
      <c r="K1088">
        <v>4</v>
      </c>
      <c r="L1088">
        <v>14411</v>
      </c>
      <c r="M1088" t="str" cm="1">
        <f t="array" ref="M1088">_xlfn.IFS(L1088&lt;= 7000,"Low",L1088&lt;=15000,"Medium",L1088&lt;=20000,"High")</f>
        <v>Medium</v>
      </c>
      <c r="N1088" t="s">
        <v>18</v>
      </c>
      <c r="O1088">
        <v>13</v>
      </c>
      <c r="P1088">
        <v>3</v>
      </c>
      <c r="Q1088">
        <v>4</v>
      </c>
      <c r="R1088">
        <v>32</v>
      </c>
      <c r="S1088">
        <v>3</v>
      </c>
      <c r="T1088">
        <v>32</v>
      </c>
      <c r="U1088">
        <v>6</v>
      </c>
    </row>
    <row r="1089" spans="1:21" x14ac:dyDescent="0.35">
      <c r="A1089">
        <v>34</v>
      </c>
      <c r="B1089" t="str" cm="1">
        <f t="array" ref="B1089">_xlfn.IFS(A1089&gt;40,"Senior",A1089&gt;30,"Adult",A1089&gt;=18,"Teenager")</f>
        <v>Adult</v>
      </c>
      <c r="C1089" t="s">
        <v>22</v>
      </c>
      <c r="D1089">
        <f t="shared" si="16"/>
        <v>0</v>
      </c>
      <c r="E1089" t="s">
        <v>19</v>
      </c>
      <c r="F1089">
        <v>2</v>
      </c>
      <c r="G1089" t="s">
        <v>24</v>
      </c>
      <c r="H1089">
        <v>3</v>
      </c>
      <c r="I1089">
        <v>1</v>
      </c>
      <c r="J1089" t="s">
        <v>30</v>
      </c>
      <c r="K1089">
        <v>3</v>
      </c>
      <c r="L1089">
        <v>2308</v>
      </c>
      <c r="M1089" t="str" cm="1">
        <f t="array" ref="M1089">_xlfn.IFS(L1089&lt;= 7000,"Low",L1089&lt;=15000,"Medium",L1089&lt;=20000,"High")</f>
        <v>Low</v>
      </c>
      <c r="N1089" t="s">
        <v>18</v>
      </c>
      <c r="O1089">
        <v>25</v>
      </c>
      <c r="P1089">
        <v>4</v>
      </c>
      <c r="Q1089">
        <v>2</v>
      </c>
      <c r="R1089">
        <v>12</v>
      </c>
      <c r="S1089">
        <v>3</v>
      </c>
      <c r="T1089">
        <v>11</v>
      </c>
      <c r="U1089">
        <v>10</v>
      </c>
    </row>
    <row r="1090" spans="1:21" x14ac:dyDescent="0.35">
      <c r="A1090">
        <v>42</v>
      </c>
      <c r="B1090" t="str" cm="1">
        <f t="array" ref="B1090">_xlfn.IFS(A1090&gt;40,"Senior",A1090&gt;30,"Adult",A1090&gt;=18,"Teenager")</f>
        <v>Senior</v>
      </c>
      <c r="C1090" t="s">
        <v>22</v>
      </c>
      <c r="D1090">
        <f t="shared" si="16"/>
        <v>0</v>
      </c>
      <c r="E1090" t="s">
        <v>23</v>
      </c>
      <c r="F1090">
        <v>3</v>
      </c>
      <c r="G1090" t="s">
        <v>24</v>
      </c>
      <c r="H1090">
        <v>2</v>
      </c>
      <c r="I1090">
        <v>1</v>
      </c>
      <c r="J1090" t="s">
        <v>26</v>
      </c>
      <c r="K1090">
        <v>2</v>
      </c>
      <c r="L1090">
        <v>4841</v>
      </c>
      <c r="M1090" t="str" cm="1">
        <f t="array" ref="M1090">_xlfn.IFS(L1090&lt;= 7000,"Low",L1090&lt;=15000,"Medium",L1090&lt;=20000,"High")</f>
        <v>Low</v>
      </c>
      <c r="N1090" t="s">
        <v>22</v>
      </c>
      <c r="O1090">
        <v>14</v>
      </c>
      <c r="P1090">
        <v>3</v>
      </c>
      <c r="Q1090">
        <v>2</v>
      </c>
      <c r="R1090">
        <v>4</v>
      </c>
      <c r="S1090">
        <v>3</v>
      </c>
      <c r="T1090">
        <v>1</v>
      </c>
      <c r="U1090">
        <v>0</v>
      </c>
    </row>
    <row r="1091" spans="1:21" x14ac:dyDescent="0.35">
      <c r="A1091">
        <v>37</v>
      </c>
      <c r="B1091" t="str" cm="1">
        <f t="array" ref="B1091">_xlfn.IFS(A1091&gt;40,"Senior",A1091&gt;30,"Adult",A1091&gt;=18,"Teenager")</f>
        <v>Adult</v>
      </c>
      <c r="C1091" t="s">
        <v>22</v>
      </c>
      <c r="D1091">
        <f t="shared" ref="D1091:D1154" si="17">IF(C1091="Yes",1,0)</f>
        <v>0</v>
      </c>
      <c r="E1091" t="s">
        <v>23</v>
      </c>
      <c r="F1091">
        <v>1</v>
      </c>
      <c r="G1091" t="s">
        <v>24</v>
      </c>
      <c r="H1091">
        <v>3</v>
      </c>
      <c r="I1091">
        <v>2</v>
      </c>
      <c r="J1091" t="s">
        <v>25</v>
      </c>
      <c r="K1091">
        <v>4</v>
      </c>
      <c r="L1091">
        <v>4285</v>
      </c>
      <c r="M1091" t="str" cm="1">
        <f t="array" ref="M1091">_xlfn.IFS(L1091&lt;= 7000,"Low",L1091&lt;=15000,"Medium",L1091&lt;=20000,"High")</f>
        <v>Low</v>
      </c>
      <c r="N1091" t="s">
        <v>22</v>
      </c>
      <c r="O1091">
        <v>17</v>
      </c>
      <c r="P1091">
        <v>3</v>
      </c>
      <c r="Q1091">
        <v>1</v>
      </c>
      <c r="R1091">
        <v>10</v>
      </c>
      <c r="S1091">
        <v>3</v>
      </c>
      <c r="T1091">
        <v>10</v>
      </c>
      <c r="U1091">
        <v>8</v>
      </c>
    </row>
    <row r="1092" spans="1:21" x14ac:dyDescent="0.35">
      <c r="A1092">
        <v>29</v>
      </c>
      <c r="B1092" t="str" cm="1">
        <f t="array" ref="B1092">_xlfn.IFS(A1092&gt;40,"Senior",A1092&gt;30,"Adult",A1092&gt;=18,"Teenager")</f>
        <v>Teenager</v>
      </c>
      <c r="C1092" t="s">
        <v>22</v>
      </c>
      <c r="D1092">
        <f t="shared" si="17"/>
        <v>0</v>
      </c>
      <c r="E1092" t="s">
        <v>23</v>
      </c>
      <c r="F1092">
        <v>3</v>
      </c>
      <c r="G1092" t="s">
        <v>20</v>
      </c>
      <c r="H1092">
        <v>1</v>
      </c>
      <c r="I1092">
        <v>2</v>
      </c>
      <c r="J1092" t="s">
        <v>28</v>
      </c>
      <c r="K1092">
        <v>1</v>
      </c>
      <c r="L1092">
        <v>9715</v>
      </c>
      <c r="M1092" t="str" cm="1">
        <f t="array" ref="M1092">_xlfn.IFS(L1092&lt;= 7000,"Low",L1092&lt;=15000,"Medium",L1092&lt;=20000,"High")</f>
        <v>Medium</v>
      </c>
      <c r="N1092" t="s">
        <v>22</v>
      </c>
      <c r="O1092">
        <v>13</v>
      </c>
      <c r="P1092">
        <v>3</v>
      </c>
      <c r="Q1092">
        <v>3</v>
      </c>
      <c r="R1092">
        <v>9</v>
      </c>
      <c r="S1092">
        <v>3</v>
      </c>
      <c r="T1092">
        <v>7</v>
      </c>
      <c r="U1092">
        <v>7</v>
      </c>
    </row>
    <row r="1093" spans="1:21" x14ac:dyDescent="0.35">
      <c r="A1093">
        <v>33</v>
      </c>
      <c r="B1093" t="str" cm="1">
        <f t="array" ref="B1093">_xlfn.IFS(A1093&gt;40,"Senior",A1093&gt;30,"Adult",A1093&gt;=18,"Teenager")</f>
        <v>Adult</v>
      </c>
      <c r="C1093" t="s">
        <v>22</v>
      </c>
      <c r="D1093">
        <f t="shared" si="17"/>
        <v>0</v>
      </c>
      <c r="E1093" t="s">
        <v>23</v>
      </c>
      <c r="F1093">
        <v>4</v>
      </c>
      <c r="G1093" t="s">
        <v>24</v>
      </c>
      <c r="H1093">
        <v>2</v>
      </c>
      <c r="I1093">
        <v>2</v>
      </c>
      <c r="J1093" t="s">
        <v>27</v>
      </c>
      <c r="K1093">
        <v>2</v>
      </c>
      <c r="L1093">
        <v>4320</v>
      </c>
      <c r="M1093" t="str" cm="1">
        <f t="array" ref="M1093">_xlfn.IFS(L1093&lt;= 7000,"Low",L1093&lt;=15000,"Medium",L1093&lt;=20000,"High")</f>
        <v>Low</v>
      </c>
      <c r="N1093" t="s">
        <v>22</v>
      </c>
      <c r="O1093">
        <v>13</v>
      </c>
      <c r="P1093">
        <v>3</v>
      </c>
      <c r="Q1093">
        <v>4</v>
      </c>
      <c r="R1093">
        <v>5</v>
      </c>
      <c r="S1093">
        <v>3</v>
      </c>
      <c r="T1093">
        <v>5</v>
      </c>
      <c r="U1093">
        <v>3</v>
      </c>
    </row>
    <row r="1094" spans="1:21" x14ac:dyDescent="0.35">
      <c r="A1094">
        <v>45</v>
      </c>
      <c r="B1094" t="str" cm="1">
        <f t="array" ref="B1094">_xlfn.IFS(A1094&gt;40,"Senior",A1094&gt;30,"Adult",A1094&gt;=18,"Teenager")</f>
        <v>Senior</v>
      </c>
      <c r="C1094" t="s">
        <v>22</v>
      </c>
      <c r="D1094">
        <f t="shared" si="17"/>
        <v>0</v>
      </c>
      <c r="E1094" t="s">
        <v>23</v>
      </c>
      <c r="F1094">
        <v>4</v>
      </c>
      <c r="G1094" t="s">
        <v>24</v>
      </c>
      <c r="H1094">
        <v>3</v>
      </c>
      <c r="I1094">
        <v>1</v>
      </c>
      <c r="J1094" t="s">
        <v>25</v>
      </c>
      <c r="K1094">
        <v>4</v>
      </c>
      <c r="L1094">
        <v>2132</v>
      </c>
      <c r="M1094" t="str" cm="1">
        <f t="array" ref="M1094">_xlfn.IFS(L1094&lt;= 7000,"Low",L1094&lt;=15000,"Medium",L1094&lt;=20000,"High")</f>
        <v>Low</v>
      </c>
      <c r="N1094" t="s">
        <v>22</v>
      </c>
      <c r="O1094">
        <v>20</v>
      </c>
      <c r="P1094">
        <v>4</v>
      </c>
      <c r="Q1094">
        <v>4</v>
      </c>
      <c r="R1094">
        <v>8</v>
      </c>
      <c r="S1094">
        <v>3</v>
      </c>
      <c r="T1094">
        <v>5</v>
      </c>
      <c r="U1094">
        <v>4</v>
      </c>
    </row>
    <row r="1095" spans="1:21" x14ac:dyDescent="0.35">
      <c r="A1095">
        <v>42</v>
      </c>
      <c r="B1095" t="str" cm="1">
        <f t="array" ref="B1095">_xlfn.IFS(A1095&gt;40,"Senior",A1095&gt;30,"Adult",A1095&gt;=18,"Teenager")</f>
        <v>Senior</v>
      </c>
      <c r="C1095" t="s">
        <v>22</v>
      </c>
      <c r="D1095">
        <f t="shared" si="17"/>
        <v>0</v>
      </c>
      <c r="E1095" t="s">
        <v>23</v>
      </c>
      <c r="F1095">
        <v>4</v>
      </c>
      <c r="G1095" t="s">
        <v>24</v>
      </c>
      <c r="H1095">
        <v>3</v>
      </c>
      <c r="I1095">
        <v>3</v>
      </c>
      <c r="J1095" t="s">
        <v>28</v>
      </c>
      <c r="K1095">
        <v>4</v>
      </c>
      <c r="L1095">
        <v>10124</v>
      </c>
      <c r="M1095" t="str" cm="1">
        <f t="array" ref="M1095">_xlfn.IFS(L1095&lt;= 7000,"Low",L1095&lt;=15000,"Medium",L1095&lt;=20000,"High")</f>
        <v>Medium</v>
      </c>
      <c r="N1095" t="s">
        <v>18</v>
      </c>
      <c r="O1095">
        <v>14</v>
      </c>
      <c r="P1095">
        <v>3</v>
      </c>
      <c r="Q1095">
        <v>3</v>
      </c>
      <c r="R1095">
        <v>24</v>
      </c>
      <c r="S1095">
        <v>1</v>
      </c>
      <c r="T1095">
        <v>20</v>
      </c>
      <c r="U1095">
        <v>8</v>
      </c>
    </row>
    <row r="1096" spans="1:21" x14ac:dyDescent="0.35">
      <c r="A1096">
        <v>40</v>
      </c>
      <c r="B1096" t="str" cm="1">
        <f t="array" ref="B1096">_xlfn.IFS(A1096&gt;40,"Senior",A1096&gt;30,"Adult",A1096&gt;=18,"Teenager")</f>
        <v>Adult</v>
      </c>
      <c r="C1096" t="s">
        <v>22</v>
      </c>
      <c r="D1096">
        <f t="shared" si="17"/>
        <v>0</v>
      </c>
      <c r="E1096" t="s">
        <v>19</v>
      </c>
      <c r="F1096">
        <v>1</v>
      </c>
      <c r="G1096" t="s">
        <v>24</v>
      </c>
      <c r="H1096">
        <v>3</v>
      </c>
      <c r="I1096">
        <v>2</v>
      </c>
      <c r="J1096" t="s">
        <v>21</v>
      </c>
      <c r="K1096">
        <v>1</v>
      </c>
      <c r="L1096">
        <v>5473</v>
      </c>
      <c r="M1096" t="str" cm="1">
        <f t="array" ref="M1096">_xlfn.IFS(L1096&lt;= 7000,"Low",L1096&lt;=15000,"Medium",L1096&lt;=20000,"High")</f>
        <v>Low</v>
      </c>
      <c r="N1096" t="s">
        <v>22</v>
      </c>
      <c r="O1096">
        <v>12</v>
      </c>
      <c r="P1096">
        <v>3</v>
      </c>
      <c r="Q1096">
        <v>4</v>
      </c>
      <c r="R1096">
        <v>9</v>
      </c>
      <c r="S1096">
        <v>4</v>
      </c>
      <c r="T1096">
        <v>8</v>
      </c>
      <c r="U1096">
        <v>4</v>
      </c>
    </row>
    <row r="1097" spans="1:21" x14ac:dyDescent="0.35">
      <c r="A1097">
        <v>33</v>
      </c>
      <c r="B1097" t="str" cm="1">
        <f t="array" ref="B1097">_xlfn.IFS(A1097&gt;40,"Senior",A1097&gt;30,"Adult",A1097&gt;=18,"Teenager")</f>
        <v>Adult</v>
      </c>
      <c r="C1097" t="s">
        <v>22</v>
      </c>
      <c r="D1097">
        <f t="shared" si="17"/>
        <v>0</v>
      </c>
      <c r="E1097" t="s">
        <v>23</v>
      </c>
      <c r="F1097">
        <v>2</v>
      </c>
      <c r="G1097" t="s">
        <v>24</v>
      </c>
      <c r="H1097">
        <v>3</v>
      </c>
      <c r="I1097">
        <v>2</v>
      </c>
      <c r="J1097" t="s">
        <v>26</v>
      </c>
      <c r="K1097">
        <v>3</v>
      </c>
      <c r="L1097">
        <v>5207</v>
      </c>
      <c r="M1097" t="str" cm="1">
        <f t="array" ref="M1097">_xlfn.IFS(L1097&lt;= 7000,"Low",L1097&lt;=15000,"Medium",L1097&lt;=20000,"High")</f>
        <v>Low</v>
      </c>
      <c r="N1097" t="s">
        <v>18</v>
      </c>
      <c r="O1097">
        <v>12</v>
      </c>
      <c r="P1097">
        <v>3</v>
      </c>
      <c r="Q1097">
        <v>2</v>
      </c>
      <c r="R1097">
        <v>15</v>
      </c>
      <c r="S1097">
        <v>3</v>
      </c>
      <c r="T1097">
        <v>15</v>
      </c>
      <c r="U1097">
        <v>14</v>
      </c>
    </row>
    <row r="1098" spans="1:21" x14ac:dyDescent="0.35">
      <c r="A1098">
        <v>40</v>
      </c>
      <c r="B1098" t="str" cm="1">
        <f t="array" ref="B1098">_xlfn.IFS(A1098&gt;40,"Senior",A1098&gt;30,"Adult",A1098&gt;=18,"Teenager")</f>
        <v>Adult</v>
      </c>
      <c r="C1098" t="s">
        <v>22</v>
      </c>
      <c r="D1098">
        <f t="shared" si="17"/>
        <v>0</v>
      </c>
      <c r="E1098" t="s">
        <v>32</v>
      </c>
      <c r="F1098">
        <v>3</v>
      </c>
      <c r="G1098" t="s">
        <v>24</v>
      </c>
      <c r="H1098">
        <v>3</v>
      </c>
      <c r="I1098">
        <v>4</v>
      </c>
      <c r="J1098" t="s">
        <v>29</v>
      </c>
      <c r="K1098">
        <v>4</v>
      </c>
      <c r="L1098">
        <v>16437</v>
      </c>
      <c r="M1098" t="str" cm="1">
        <f t="array" ref="M1098">_xlfn.IFS(L1098&lt;= 7000,"Low",L1098&lt;=15000,"Medium",L1098&lt;=20000,"High")</f>
        <v>High</v>
      </c>
      <c r="N1098" t="s">
        <v>18</v>
      </c>
      <c r="O1098">
        <v>21</v>
      </c>
      <c r="P1098">
        <v>4</v>
      </c>
      <c r="Q1098">
        <v>4</v>
      </c>
      <c r="R1098">
        <v>21</v>
      </c>
      <c r="S1098">
        <v>3</v>
      </c>
      <c r="T1098">
        <v>21</v>
      </c>
      <c r="U1098">
        <v>7</v>
      </c>
    </row>
    <row r="1099" spans="1:21" x14ac:dyDescent="0.35">
      <c r="A1099">
        <v>24</v>
      </c>
      <c r="B1099" t="str" cm="1">
        <f t="array" ref="B1099">_xlfn.IFS(A1099&gt;40,"Senior",A1099&gt;30,"Adult",A1099&gt;=18,"Teenager")</f>
        <v>Teenager</v>
      </c>
      <c r="C1099" t="s">
        <v>22</v>
      </c>
      <c r="D1099">
        <f t="shared" si="17"/>
        <v>0</v>
      </c>
      <c r="E1099" t="s">
        <v>23</v>
      </c>
      <c r="F1099">
        <v>3</v>
      </c>
      <c r="G1099" t="s">
        <v>24</v>
      </c>
      <c r="H1099">
        <v>2</v>
      </c>
      <c r="I1099">
        <v>1</v>
      </c>
      <c r="J1099" t="s">
        <v>26</v>
      </c>
      <c r="K1099">
        <v>1</v>
      </c>
      <c r="L1099">
        <v>2296</v>
      </c>
      <c r="M1099" t="str" cm="1">
        <f t="array" ref="M1099">_xlfn.IFS(L1099&lt;= 7000,"Low",L1099&lt;=15000,"Medium",L1099&lt;=20000,"High")</f>
        <v>Low</v>
      </c>
      <c r="N1099" t="s">
        <v>22</v>
      </c>
      <c r="O1099">
        <v>14</v>
      </c>
      <c r="P1099">
        <v>3</v>
      </c>
      <c r="Q1099">
        <v>2</v>
      </c>
      <c r="R1099">
        <v>2</v>
      </c>
      <c r="S1099">
        <v>3</v>
      </c>
      <c r="T1099">
        <v>1</v>
      </c>
      <c r="U1099">
        <v>1</v>
      </c>
    </row>
    <row r="1100" spans="1:21" x14ac:dyDescent="0.35">
      <c r="A1100">
        <v>40</v>
      </c>
      <c r="B1100" t="str" cm="1">
        <f t="array" ref="B1100">_xlfn.IFS(A1100&gt;40,"Senior",A1100&gt;30,"Adult",A1100&gt;=18,"Teenager")</f>
        <v>Adult</v>
      </c>
      <c r="C1100" t="s">
        <v>22</v>
      </c>
      <c r="D1100">
        <f t="shared" si="17"/>
        <v>0</v>
      </c>
      <c r="E1100" t="s">
        <v>23</v>
      </c>
      <c r="F1100">
        <v>4</v>
      </c>
      <c r="G1100" t="s">
        <v>24</v>
      </c>
      <c r="H1100">
        <v>3</v>
      </c>
      <c r="I1100">
        <v>2</v>
      </c>
      <c r="J1100" t="s">
        <v>28</v>
      </c>
      <c r="K1100">
        <v>4</v>
      </c>
      <c r="L1100">
        <v>4069</v>
      </c>
      <c r="M1100" t="str" cm="1">
        <f t="array" ref="M1100">_xlfn.IFS(L1100&lt;= 7000,"Low",L1100&lt;=15000,"Medium",L1100&lt;=20000,"High")</f>
        <v>Low</v>
      </c>
      <c r="N1100" t="s">
        <v>18</v>
      </c>
      <c r="O1100">
        <v>18</v>
      </c>
      <c r="P1100">
        <v>3</v>
      </c>
      <c r="Q1100">
        <v>3</v>
      </c>
      <c r="R1100">
        <v>8</v>
      </c>
      <c r="S1100">
        <v>3</v>
      </c>
      <c r="T1100">
        <v>2</v>
      </c>
      <c r="U1100">
        <v>2</v>
      </c>
    </row>
    <row r="1101" spans="1:21" x14ac:dyDescent="0.35">
      <c r="A1101">
        <v>45</v>
      </c>
      <c r="B1101" t="str" cm="1">
        <f t="array" ref="B1101">_xlfn.IFS(A1101&gt;40,"Senior",A1101&gt;30,"Adult",A1101&gt;=18,"Teenager")</f>
        <v>Senior</v>
      </c>
      <c r="C1101" t="s">
        <v>22</v>
      </c>
      <c r="D1101">
        <f t="shared" si="17"/>
        <v>0</v>
      </c>
      <c r="E1101" t="s">
        <v>23</v>
      </c>
      <c r="F1101">
        <v>1</v>
      </c>
      <c r="G1101" t="s">
        <v>24</v>
      </c>
      <c r="H1101">
        <v>3</v>
      </c>
      <c r="I1101">
        <v>3</v>
      </c>
      <c r="J1101" t="s">
        <v>28</v>
      </c>
      <c r="K1101">
        <v>2</v>
      </c>
      <c r="L1101">
        <v>7441</v>
      </c>
      <c r="M1101" t="str" cm="1">
        <f t="array" ref="M1101">_xlfn.IFS(L1101&lt;= 7000,"Low",L1101&lt;=15000,"Medium",L1101&lt;=20000,"High")</f>
        <v>Medium</v>
      </c>
      <c r="N1101" t="s">
        <v>22</v>
      </c>
      <c r="O1101">
        <v>12</v>
      </c>
      <c r="P1101">
        <v>3</v>
      </c>
      <c r="Q1101">
        <v>1</v>
      </c>
      <c r="R1101">
        <v>10</v>
      </c>
      <c r="S1101">
        <v>3</v>
      </c>
      <c r="T1101">
        <v>10</v>
      </c>
      <c r="U1101">
        <v>8</v>
      </c>
    </row>
    <row r="1102" spans="1:21" x14ac:dyDescent="0.35">
      <c r="A1102">
        <v>35</v>
      </c>
      <c r="B1102" t="str" cm="1">
        <f t="array" ref="B1102">_xlfn.IFS(A1102&gt;40,"Senior",A1102&gt;30,"Adult",A1102&gt;=18,"Teenager")</f>
        <v>Adult</v>
      </c>
      <c r="C1102" t="s">
        <v>22</v>
      </c>
      <c r="D1102">
        <f t="shared" si="17"/>
        <v>0</v>
      </c>
      <c r="E1102" t="s">
        <v>19</v>
      </c>
      <c r="F1102">
        <v>2</v>
      </c>
      <c r="G1102" t="s">
        <v>20</v>
      </c>
      <c r="H1102">
        <v>2</v>
      </c>
      <c r="I1102">
        <v>1</v>
      </c>
      <c r="J1102" t="s">
        <v>30</v>
      </c>
      <c r="K1102">
        <v>3</v>
      </c>
      <c r="L1102">
        <v>2430</v>
      </c>
      <c r="M1102" t="str" cm="1">
        <f t="array" ref="M1102">_xlfn.IFS(L1102&lt;= 7000,"Low",L1102&lt;=15000,"Medium",L1102&lt;=20000,"High")</f>
        <v>Low</v>
      </c>
      <c r="N1102" t="s">
        <v>22</v>
      </c>
      <c r="O1102">
        <v>23</v>
      </c>
      <c r="P1102">
        <v>4</v>
      </c>
      <c r="Q1102">
        <v>1</v>
      </c>
      <c r="R1102">
        <v>6</v>
      </c>
      <c r="S1102">
        <v>3</v>
      </c>
      <c r="T1102">
        <v>5</v>
      </c>
      <c r="U1102">
        <v>3</v>
      </c>
    </row>
    <row r="1103" spans="1:21" x14ac:dyDescent="0.35">
      <c r="A1103">
        <v>32</v>
      </c>
      <c r="B1103" t="str" cm="1">
        <f t="array" ref="B1103">_xlfn.IFS(A1103&gt;40,"Senior",A1103&gt;30,"Adult",A1103&gt;=18,"Teenager")</f>
        <v>Adult</v>
      </c>
      <c r="C1103" t="s">
        <v>22</v>
      </c>
      <c r="D1103">
        <f t="shared" si="17"/>
        <v>0</v>
      </c>
      <c r="E1103" t="s">
        <v>23</v>
      </c>
      <c r="F1103">
        <v>4</v>
      </c>
      <c r="G1103" t="s">
        <v>20</v>
      </c>
      <c r="H1103">
        <v>2</v>
      </c>
      <c r="I1103">
        <v>2</v>
      </c>
      <c r="J1103" t="s">
        <v>25</v>
      </c>
      <c r="K1103">
        <v>2</v>
      </c>
      <c r="L1103">
        <v>5878</v>
      </c>
      <c r="M1103" t="str" cm="1">
        <f t="array" ref="M1103">_xlfn.IFS(L1103&lt;= 7000,"Low",L1103&lt;=15000,"Medium",L1103&lt;=20000,"High")</f>
        <v>Low</v>
      </c>
      <c r="N1103" t="s">
        <v>22</v>
      </c>
      <c r="O1103">
        <v>12</v>
      </c>
      <c r="P1103">
        <v>3</v>
      </c>
      <c r="Q1103">
        <v>1</v>
      </c>
      <c r="R1103">
        <v>12</v>
      </c>
      <c r="S1103">
        <v>3</v>
      </c>
      <c r="T1103">
        <v>7</v>
      </c>
      <c r="U1103">
        <v>1</v>
      </c>
    </row>
    <row r="1104" spans="1:21" x14ac:dyDescent="0.35">
      <c r="A1104">
        <v>36</v>
      </c>
      <c r="B1104" t="str" cm="1">
        <f t="array" ref="B1104">_xlfn.IFS(A1104&gt;40,"Senior",A1104&gt;30,"Adult",A1104&gt;=18,"Teenager")</f>
        <v>Adult</v>
      </c>
      <c r="C1104" t="s">
        <v>22</v>
      </c>
      <c r="D1104">
        <f t="shared" si="17"/>
        <v>0</v>
      </c>
      <c r="E1104" t="s">
        <v>19</v>
      </c>
      <c r="F1104">
        <v>3</v>
      </c>
      <c r="G1104" t="s">
        <v>24</v>
      </c>
      <c r="H1104">
        <v>3</v>
      </c>
      <c r="I1104">
        <v>1</v>
      </c>
      <c r="J1104" t="s">
        <v>30</v>
      </c>
      <c r="K1104">
        <v>4</v>
      </c>
      <c r="L1104">
        <v>2644</v>
      </c>
      <c r="M1104" t="str" cm="1">
        <f t="array" ref="M1104">_xlfn.IFS(L1104&lt;= 7000,"Low",L1104&lt;=15000,"Medium",L1104&lt;=20000,"High")</f>
        <v>Low</v>
      </c>
      <c r="N1104" t="s">
        <v>18</v>
      </c>
      <c r="O1104">
        <v>21</v>
      </c>
      <c r="P1104">
        <v>4</v>
      </c>
      <c r="Q1104">
        <v>4</v>
      </c>
      <c r="R1104">
        <v>7</v>
      </c>
      <c r="S1104">
        <v>2</v>
      </c>
      <c r="T1104">
        <v>3</v>
      </c>
      <c r="U1104">
        <v>2</v>
      </c>
    </row>
    <row r="1105" spans="1:21" x14ac:dyDescent="0.35">
      <c r="A1105">
        <v>48</v>
      </c>
      <c r="B1105" t="str" cm="1">
        <f t="array" ref="B1105">_xlfn.IFS(A1105&gt;40,"Senior",A1105&gt;30,"Adult",A1105&gt;=18,"Teenager")</f>
        <v>Senior</v>
      </c>
      <c r="C1105" t="s">
        <v>22</v>
      </c>
      <c r="D1105">
        <f t="shared" si="17"/>
        <v>0</v>
      </c>
      <c r="E1105" t="s">
        <v>19</v>
      </c>
      <c r="F1105">
        <v>3</v>
      </c>
      <c r="G1105" t="s">
        <v>20</v>
      </c>
      <c r="H1105">
        <v>3</v>
      </c>
      <c r="I1105">
        <v>2</v>
      </c>
      <c r="J1105" t="s">
        <v>21</v>
      </c>
      <c r="K1105">
        <v>3</v>
      </c>
      <c r="L1105">
        <v>6439</v>
      </c>
      <c r="M1105" t="str" cm="1">
        <f t="array" ref="M1105">_xlfn.IFS(L1105&lt;= 7000,"Low",L1105&lt;=15000,"Medium",L1105&lt;=20000,"High")</f>
        <v>Low</v>
      </c>
      <c r="N1105" t="s">
        <v>22</v>
      </c>
      <c r="O1105">
        <v>14</v>
      </c>
      <c r="P1105">
        <v>3</v>
      </c>
      <c r="Q1105">
        <v>3</v>
      </c>
      <c r="R1105">
        <v>18</v>
      </c>
      <c r="S1105">
        <v>3</v>
      </c>
      <c r="T1105">
        <v>8</v>
      </c>
      <c r="U1105">
        <v>7</v>
      </c>
    </row>
    <row r="1106" spans="1:21" x14ac:dyDescent="0.35">
      <c r="A1106">
        <v>29</v>
      </c>
      <c r="B1106" t="str" cm="1">
        <f t="array" ref="B1106">_xlfn.IFS(A1106&gt;40,"Senior",A1106&gt;30,"Adult",A1106&gt;=18,"Teenager")</f>
        <v>Teenager</v>
      </c>
      <c r="C1106" t="s">
        <v>22</v>
      </c>
      <c r="D1106">
        <f t="shared" si="17"/>
        <v>0</v>
      </c>
      <c r="E1106" t="s">
        <v>23</v>
      </c>
      <c r="F1106">
        <v>3</v>
      </c>
      <c r="G1106" t="s">
        <v>24</v>
      </c>
      <c r="H1106">
        <v>4</v>
      </c>
      <c r="I1106">
        <v>1</v>
      </c>
      <c r="J1106" t="s">
        <v>25</v>
      </c>
      <c r="K1106">
        <v>3</v>
      </c>
      <c r="L1106">
        <v>2451</v>
      </c>
      <c r="M1106" t="str" cm="1">
        <f t="array" ref="M1106">_xlfn.IFS(L1106&lt;= 7000,"Low",L1106&lt;=15000,"Medium",L1106&lt;=20000,"High")</f>
        <v>Low</v>
      </c>
      <c r="N1106" t="s">
        <v>22</v>
      </c>
      <c r="O1106">
        <v>18</v>
      </c>
      <c r="P1106">
        <v>3</v>
      </c>
      <c r="Q1106">
        <v>1</v>
      </c>
      <c r="R1106">
        <v>5</v>
      </c>
      <c r="S1106">
        <v>2</v>
      </c>
      <c r="T1106">
        <v>1</v>
      </c>
      <c r="U1106">
        <v>0</v>
      </c>
    </row>
    <row r="1107" spans="1:21" x14ac:dyDescent="0.35">
      <c r="A1107">
        <v>33</v>
      </c>
      <c r="B1107" t="str" cm="1">
        <f t="array" ref="B1107">_xlfn.IFS(A1107&gt;40,"Senior",A1107&gt;30,"Adult",A1107&gt;=18,"Teenager")</f>
        <v>Adult</v>
      </c>
      <c r="C1107" t="s">
        <v>22</v>
      </c>
      <c r="D1107">
        <f t="shared" si="17"/>
        <v>0</v>
      </c>
      <c r="E1107" t="s">
        <v>19</v>
      </c>
      <c r="F1107">
        <v>1</v>
      </c>
      <c r="G1107" t="s">
        <v>24</v>
      </c>
      <c r="H1107">
        <v>3</v>
      </c>
      <c r="I1107">
        <v>2</v>
      </c>
      <c r="J1107" t="s">
        <v>21</v>
      </c>
      <c r="K1107">
        <v>1</v>
      </c>
      <c r="L1107">
        <v>6392</v>
      </c>
      <c r="M1107" t="str" cm="1">
        <f t="array" ref="M1107">_xlfn.IFS(L1107&lt;= 7000,"Low",L1107&lt;=15000,"Medium",L1107&lt;=20000,"High")</f>
        <v>Low</v>
      </c>
      <c r="N1107" t="s">
        <v>22</v>
      </c>
      <c r="O1107">
        <v>13</v>
      </c>
      <c r="P1107">
        <v>3</v>
      </c>
      <c r="Q1107">
        <v>4</v>
      </c>
      <c r="R1107">
        <v>8</v>
      </c>
      <c r="S1107">
        <v>1</v>
      </c>
      <c r="T1107">
        <v>2</v>
      </c>
      <c r="U1107">
        <v>2</v>
      </c>
    </row>
    <row r="1108" spans="1:21" x14ac:dyDescent="0.35">
      <c r="A1108">
        <v>30</v>
      </c>
      <c r="B1108" t="str" cm="1">
        <f t="array" ref="B1108">_xlfn.IFS(A1108&gt;40,"Senior",A1108&gt;30,"Adult",A1108&gt;=18,"Teenager")</f>
        <v>Teenager</v>
      </c>
      <c r="C1108" t="s">
        <v>18</v>
      </c>
      <c r="D1108">
        <f t="shared" si="17"/>
        <v>1</v>
      </c>
      <c r="E1108" t="s">
        <v>19</v>
      </c>
      <c r="F1108">
        <v>2</v>
      </c>
      <c r="G1108" t="s">
        <v>24</v>
      </c>
      <c r="H1108">
        <v>2</v>
      </c>
      <c r="I1108">
        <v>2</v>
      </c>
      <c r="J1108" t="s">
        <v>21</v>
      </c>
      <c r="K1108">
        <v>1</v>
      </c>
      <c r="L1108">
        <v>9714</v>
      </c>
      <c r="M1108" t="str" cm="1">
        <f t="array" ref="M1108">_xlfn.IFS(L1108&lt;= 7000,"Low",L1108&lt;=15000,"Medium",L1108&lt;=20000,"High")</f>
        <v>Medium</v>
      </c>
      <c r="N1108" t="s">
        <v>22</v>
      </c>
      <c r="O1108">
        <v>11</v>
      </c>
      <c r="P1108">
        <v>3</v>
      </c>
      <c r="Q1108">
        <v>4</v>
      </c>
      <c r="R1108">
        <v>10</v>
      </c>
      <c r="S1108">
        <v>3</v>
      </c>
      <c r="T1108">
        <v>10</v>
      </c>
      <c r="U1108">
        <v>8</v>
      </c>
    </row>
    <row r="1109" spans="1:21" x14ac:dyDescent="0.35">
      <c r="A1109">
        <v>38</v>
      </c>
      <c r="B1109" t="str" cm="1">
        <f t="array" ref="B1109">_xlfn.IFS(A1109&gt;40,"Senior",A1109&gt;30,"Adult",A1109&gt;=18,"Teenager")</f>
        <v>Adult</v>
      </c>
      <c r="C1109" t="s">
        <v>22</v>
      </c>
      <c r="D1109">
        <f t="shared" si="17"/>
        <v>0</v>
      </c>
      <c r="E1109" t="s">
        <v>32</v>
      </c>
      <c r="F1109">
        <v>3</v>
      </c>
      <c r="G1109" t="s">
        <v>24</v>
      </c>
      <c r="H1109">
        <v>3</v>
      </c>
      <c r="I1109">
        <v>2</v>
      </c>
      <c r="J1109" t="s">
        <v>32</v>
      </c>
      <c r="K1109">
        <v>3</v>
      </c>
      <c r="L1109">
        <v>6077</v>
      </c>
      <c r="M1109" t="str" cm="1">
        <f t="array" ref="M1109">_xlfn.IFS(L1109&lt;= 7000,"Low",L1109&lt;=15000,"Medium",L1109&lt;=20000,"High")</f>
        <v>Low</v>
      </c>
      <c r="N1109" t="s">
        <v>22</v>
      </c>
      <c r="O1109">
        <v>11</v>
      </c>
      <c r="P1109">
        <v>3</v>
      </c>
      <c r="Q1109">
        <v>3</v>
      </c>
      <c r="R1109">
        <v>10</v>
      </c>
      <c r="S1109">
        <v>3</v>
      </c>
      <c r="T1109">
        <v>6</v>
      </c>
      <c r="U1109">
        <v>3</v>
      </c>
    </row>
    <row r="1110" spans="1:21" x14ac:dyDescent="0.35">
      <c r="A1110">
        <v>35</v>
      </c>
      <c r="B1110" t="str" cm="1">
        <f t="array" ref="B1110">_xlfn.IFS(A1110&gt;40,"Senior",A1110&gt;30,"Adult",A1110&gt;=18,"Teenager")</f>
        <v>Adult</v>
      </c>
      <c r="C1110" t="s">
        <v>22</v>
      </c>
      <c r="D1110">
        <f t="shared" si="17"/>
        <v>0</v>
      </c>
      <c r="E1110" t="s">
        <v>23</v>
      </c>
      <c r="F1110">
        <v>4</v>
      </c>
      <c r="G1110" t="s">
        <v>24</v>
      </c>
      <c r="H1110">
        <v>2</v>
      </c>
      <c r="I1110">
        <v>1</v>
      </c>
      <c r="J1110" t="s">
        <v>26</v>
      </c>
      <c r="K1110">
        <v>1</v>
      </c>
      <c r="L1110">
        <v>2450</v>
      </c>
      <c r="M1110" t="str" cm="1">
        <f t="array" ref="M1110">_xlfn.IFS(L1110&lt;= 7000,"Low",L1110&lt;=15000,"Medium",L1110&lt;=20000,"High")</f>
        <v>Low</v>
      </c>
      <c r="N1110" t="s">
        <v>22</v>
      </c>
      <c r="O1110">
        <v>19</v>
      </c>
      <c r="P1110">
        <v>3</v>
      </c>
      <c r="Q1110">
        <v>2</v>
      </c>
      <c r="R1110">
        <v>3</v>
      </c>
      <c r="S1110">
        <v>3</v>
      </c>
      <c r="T1110">
        <v>3</v>
      </c>
      <c r="U1110">
        <v>0</v>
      </c>
    </row>
    <row r="1111" spans="1:21" x14ac:dyDescent="0.35">
      <c r="A1111">
        <v>30</v>
      </c>
      <c r="B1111" t="str" cm="1">
        <f t="array" ref="B1111">_xlfn.IFS(A1111&gt;40,"Senior",A1111&gt;30,"Adult",A1111&gt;=18,"Teenager")</f>
        <v>Teenager</v>
      </c>
      <c r="C1111" t="s">
        <v>22</v>
      </c>
      <c r="D1111">
        <f t="shared" si="17"/>
        <v>0</v>
      </c>
      <c r="E1111" t="s">
        <v>19</v>
      </c>
      <c r="F1111">
        <v>3</v>
      </c>
      <c r="G1111" t="s">
        <v>24</v>
      </c>
      <c r="H1111">
        <v>3</v>
      </c>
      <c r="I1111">
        <v>3</v>
      </c>
      <c r="J1111" t="s">
        <v>21</v>
      </c>
      <c r="K1111">
        <v>2</v>
      </c>
      <c r="L1111">
        <v>9250</v>
      </c>
      <c r="M1111" t="str" cm="1">
        <f t="array" ref="M1111">_xlfn.IFS(L1111&lt;= 7000,"Low",L1111&lt;=15000,"Medium",L1111&lt;=20000,"High")</f>
        <v>Medium</v>
      </c>
      <c r="N1111" t="s">
        <v>22</v>
      </c>
      <c r="O1111">
        <v>12</v>
      </c>
      <c r="P1111">
        <v>3</v>
      </c>
      <c r="Q1111">
        <v>2</v>
      </c>
      <c r="R1111">
        <v>9</v>
      </c>
      <c r="S1111">
        <v>3</v>
      </c>
      <c r="T1111">
        <v>4</v>
      </c>
      <c r="U1111">
        <v>2</v>
      </c>
    </row>
    <row r="1112" spans="1:21" x14ac:dyDescent="0.35">
      <c r="A1112">
        <v>35</v>
      </c>
      <c r="B1112" t="str" cm="1">
        <f t="array" ref="B1112">_xlfn.IFS(A1112&gt;40,"Senior",A1112&gt;30,"Adult",A1112&gt;=18,"Teenager")</f>
        <v>Adult</v>
      </c>
      <c r="C1112" t="s">
        <v>18</v>
      </c>
      <c r="D1112">
        <f t="shared" si="17"/>
        <v>1</v>
      </c>
      <c r="E1112" t="s">
        <v>23</v>
      </c>
      <c r="F1112">
        <v>1</v>
      </c>
      <c r="G1112" t="s">
        <v>20</v>
      </c>
      <c r="H1112">
        <v>3</v>
      </c>
      <c r="I1112">
        <v>1</v>
      </c>
      <c r="J1112" t="s">
        <v>26</v>
      </c>
      <c r="K1112">
        <v>1</v>
      </c>
      <c r="L1112">
        <v>2074</v>
      </c>
      <c r="M1112" t="str" cm="1">
        <f t="array" ref="M1112">_xlfn.IFS(L1112&lt;= 7000,"Low",L1112&lt;=15000,"Medium",L1112&lt;=20000,"High")</f>
        <v>Low</v>
      </c>
      <c r="N1112" t="s">
        <v>18</v>
      </c>
      <c r="O1112">
        <v>12</v>
      </c>
      <c r="P1112">
        <v>3</v>
      </c>
      <c r="Q1112">
        <v>4</v>
      </c>
      <c r="R1112">
        <v>1</v>
      </c>
      <c r="S1112">
        <v>3</v>
      </c>
      <c r="T1112">
        <v>1</v>
      </c>
      <c r="U1112">
        <v>0</v>
      </c>
    </row>
    <row r="1113" spans="1:21" x14ac:dyDescent="0.35">
      <c r="A1113">
        <v>53</v>
      </c>
      <c r="B1113" t="str" cm="1">
        <f t="array" ref="B1113">_xlfn.IFS(A1113&gt;40,"Senior",A1113&gt;30,"Adult",A1113&gt;=18,"Teenager")</f>
        <v>Senior</v>
      </c>
      <c r="C1113" t="s">
        <v>18</v>
      </c>
      <c r="D1113">
        <f t="shared" si="17"/>
        <v>1</v>
      </c>
      <c r="E1113" t="s">
        <v>23</v>
      </c>
      <c r="F1113">
        <v>3</v>
      </c>
      <c r="G1113" t="s">
        <v>20</v>
      </c>
      <c r="H1113">
        <v>2</v>
      </c>
      <c r="I1113">
        <v>3</v>
      </c>
      <c r="J1113" t="s">
        <v>27</v>
      </c>
      <c r="K1113">
        <v>4</v>
      </c>
      <c r="L1113">
        <v>10169</v>
      </c>
      <c r="M1113" t="str" cm="1">
        <f t="array" ref="M1113">_xlfn.IFS(L1113&lt;= 7000,"Low",L1113&lt;=15000,"Medium",L1113&lt;=20000,"High")</f>
        <v>Medium</v>
      </c>
      <c r="N1113" t="s">
        <v>22</v>
      </c>
      <c r="O1113">
        <v>16</v>
      </c>
      <c r="P1113">
        <v>3</v>
      </c>
      <c r="Q1113">
        <v>2</v>
      </c>
      <c r="R1113">
        <v>34</v>
      </c>
      <c r="S1113">
        <v>3</v>
      </c>
      <c r="T1113">
        <v>33</v>
      </c>
      <c r="U1113">
        <v>7</v>
      </c>
    </row>
    <row r="1114" spans="1:21" x14ac:dyDescent="0.35">
      <c r="A1114">
        <v>38</v>
      </c>
      <c r="B1114" t="str" cm="1">
        <f t="array" ref="B1114">_xlfn.IFS(A1114&gt;40,"Senior",A1114&gt;30,"Adult",A1114&gt;=18,"Teenager")</f>
        <v>Adult</v>
      </c>
      <c r="C1114" t="s">
        <v>18</v>
      </c>
      <c r="D1114">
        <f t="shared" si="17"/>
        <v>1</v>
      </c>
      <c r="E1114" t="s">
        <v>23</v>
      </c>
      <c r="F1114">
        <v>3</v>
      </c>
      <c r="G1114" t="s">
        <v>24</v>
      </c>
      <c r="H1114">
        <v>3</v>
      </c>
      <c r="I1114">
        <v>2</v>
      </c>
      <c r="J1114" t="s">
        <v>27</v>
      </c>
      <c r="K1114">
        <v>2</v>
      </c>
      <c r="L1114">
        <v>4855</v>
      </c>
      <c r="M1114" t="str" cm="1">
        <f t="array" ref="M1114">_xlfn.IFS(L1114&lt;= 7000,"Low",L1114&lt;=15000,"Medium",L1114&lt;=20000,"High")</f>
        <v>Low</v>
      </c>
      <c r="N1114" t="s">
        <v>22</v>
      </c>
      <c r="O1114">
        <v>11</v>
      </c>
      <c r="P1114">
        <v>3</v>
      </c>
      <c r="Q1114">
        <v>1</v>
      </c>
      <c r="R1114">
        <v>7</v>
      </c>
      <c r="S1114">
        <v>3</v>
      </c>
      <c r="T1114">
        <v>5</v>
      </c>
      <c r="U1114">
        <v>2</v>
      </c>
    </row>
    <row r="1115" spans="1:21" x14ac:dyDescent="0.35">
      <c r="A1115">
        <v>32</v>
      </c>
      <c r="B1115" t="str" cm="1">
        <f t="array" ref="B1115">_xlfn.IFS(A1115&gt;40,"Senior",A1115&gt;30,"Adult",A1115&gt;=18,"Teenager")</f>
        <v>Adult</v>
      </c>
      <c r="C1115" t="s">
        <v>22</v>
      </c>
      <c r="D1115">
        <f t="shared" si="17"/>
        <v>0</v>
      </c>
      <c r="E1115" t="s">
        <v>23</v>
      </c>
      <c r="F1115">
        <v>4</v>
      </c>
      <c r="G1115" t="s">
        <v>24</v>
      </c>
      <c r="H1115">
        <v>3</v>
      </c>
      <c r="I1115">
        <v>2</v>
      </c>
      <c r="J1115" t="s">
        <v>25</v>
      </c>
      <c r="K1115">
        <v>1</v>
      </c>
      <c r="L1115">
        <v>4087</v>
      </c>
      <c r="M1115" t="str" cm="1">
        <f t="array" ref="M1115">_xlfn.IFS(L1115&lt;= 7000,"Low",L1115&lt;=15000,"Medium",L1115&lt;=20000,"High")</f>
        <v>Low</v>
      </c>
      <c r="N1115" t="s">
        <v>22</v>
      </c>
      <c r="O1115">
        <v>14</v>
      </c>
      <c r="P1115">
        <v>3</v>
      </c>
      <c r="Q1115">
        <v>2</v>
      </c>
      <c r="R1115">
        <v>9</v>
      </c>
      <c r="S1115">
        <v>2</v>
      </c>
      <c r="T1115">
        <v>6</v>
      </c>
      <c r="U1115">
        <v>5</v>
      </c>
    </row>
    <row r="1116" spans="1:21" x14ac:dyDescent="0.35">
      <c r="A1116">
        <v>48</v>
      </c>
      <c r="B1116" t="str" cm="1">
        <f t="array" ref="B1116">_xlfn.IFS(A1116&gt;40,"Senior",A1116&gt;30,"Adult",A1116&gt;=18,"Teenager")</f>
        <v>Senior</v>
      </c>
      <c r="C1116" t="s">
        <v>22</v>
      </c>
      <c r="D1116">
        <f t="shared" si="17"/>
        <v>0</v>
      </c>
      <c r="E1116" t="s">
        <v>23</v>
      </c>
      <c r="F1116">
        <v>3</v>
      </c>
      <c r="G1116" t="s">
        <v>20</v>
      </c>
      <c r="H1116">
        <v>3</v>
      </c>
      <c r="I1116">
        <v>1</v>
      </c>
      <c r="J1116" t="s">
        <v>25</v>
      </c>
      <c r="K1116">
        <v>1</v>
      </c>
      <c r="L1116">
        <v>2367</v>
      </c>
      <c r="M1116" t="str" cm="1">
        <f t="array" ref="M1116">_xlfn.IFS(L1116&lt;= 7000,"Low",L1116&lt;=15000,"Medium",L1116&lt;=20000,"High")</f>
        <v>Low</v>
      </c>
      <c r="N1116" t="s">
        <v>22</v>
      </c>
      <c r="O1116">
        <v>12</v>
      </c>
      <c r="P1116">
        <v>3</v>
      </c>
      <c r="Q1116">
        <v>4</v>
      </c>
      <c r="R1116">
        <v>10</v>
      </c>
      <c r="S1116">
        <v>2</v>
      </c>
      <c r="T1116">
        <v>8</v>
      </c>
      <c r="U1116">
        <v>2</v>
      </c>
    </row>
    <row r="1117" spans="1:21" x14ac:dyDescent="0.35">
      <c r="A1117">
        <v>34</v>
      </c>
      <c r="B1117" t="str" cm="1">
        <f t="array" ref="B1117">_xlfn.IFS(A1117&gt;40,"Senior",A1117&gt;30,"Adult",A1117&gt;=18,"Teenager")</f>
        <v>Adult</v>
      </c>
      <c r="C1117" t="s">
        <v>22</v>
      </c>
      <c r="D1117">
        <f t="shared" si="17"/>
        <v>0</v>
      </c>
      <c r="E1117" t="s">
        <v>23</v>
      </c>
      <c r="F1117">
        <v>1</v>
      </c>
      <c r="G1117" t="s">
        <v>24</v>
      </c>
      <c r="H1117">
        <v>3</v>
      </c>
      <c r="I1117">
        <v>1</v>
      </c>
      <c r="J1117" t="s">
        <v>25</v>
      </c>
      <c r="K1117">
        <v>4</v>
      </c>
      <c r="L1117">
        <v>2972</v>
      </c>
      <c r="M1117" t="str" cm="1">
        <f t="array" ref="M1117">_xlfn.IFS(L1117&lt;= 7000,"Low",L1117&lt;=15000,"Medium",L1117&lt;=20000,"High")</f>
        <v>Low</v>
      </c>
      <c r="N1117" t="s">
        <v>22</v>
      </c>
      <c r="O1117">
        <v>13</v>
      </c>
      <c r="P1117">
        <v>3</v>
      </c>
      <c r="Q1117">
        <v>3</v>
      </c>
      <c r="R1117">
        <v>1</v>
      </c>
      <c r="S1117">
        <v>1</v>
      </c>
      <c r="T1117">
        <v>1</v>
      </c>
      <c r="U1117">
        <v>0</v>
      </c>
    </row>
    <row r="1118" spans="1:21" x14ac:dyDescent="0.35">
      <c r="A1118">
        <v>55</v>
      </c>
      <c r="B1118" t="str" cm="1">
        <f t="array" ref="B1118">_xlfn.IFS(A1118&gt;40,"Senior",A1118&gt;30,"Adult",A1118&gt;=18,"Teenager")</f>
        <v>Senior</v>
      </c>
      <c r="C1118" t="s">
        <v>22</v>
      </c>
      <c r="D1118">
        <f t="shared" si="17"/>
        <v>0</v>
      </c>
      <c r="E1118" t="s">
        <v>19</v>
      </c>
      <c r="F1118">
        <v>3</v>
      </c>
      <c r="G1118" t="s">
        <v>24</v>
      </c>
      <c r="H1118">
        <v>2</v>
      </c>
      <c r="I1118">
        <v>5</v>
      </c>
      <c r="J1118" t="s">
        <v>29</v>
      </c>
      <c r="K1118">
        <v>4</v>
      </c>
      <c r="L1118">
        <v>19586</v>
      </c>
      <c r="M1118" t="str" cm="1">
        <f t="array" ref="M1118">_xlfn.IFS(L1118&lt;= 7000,"Low",L1118&lt;=15000,"Medium",L1118&lt;=20000,"High")</f>
        <v>High</v>
      </c>
      <c r="N1118" t="s">
        <v>22</v>
      </c>
      <c r="O1118">
        <v>21</v>
      </c>
      <c r="P1118">
        <v>4</v>
      </c>
      <c r="Q1118">
        <v>3</v>
      </c>
      <c r="R1118">
        <v>36</v>
      </c>
      <c r="S1118">
        <v>3</v>
      </c>
      <c r="T1118">
        <v>36</v>
      </c>
      <c r="U1118">
        <v>6</v>
      </c>
    </row>
    <row r="1119" spans="1:21" x14ac:dyDescent="0.35">
      <c r="A1119">
        <v>34</v>
      </c>
      <c r="B1119" t="str" cm="1">
        <f t="array" ref="B1119">_xlfn.IFS(A1119&gt;40,"Senior",A1119&gt;30,"Adult",A1119&gt;=18,"Teenager")</f>
        <v>Adult</v>
      </c>
      <c r="C1119" t="s">
        <v>22</v>
      </c>
      <c r="D1119">
        <f t="shared" si="17"/>
        <v>0</v>
      </c>
      <c r="E1119" t="s">
        <v>23</v>
      </c>
      <c r="F1119">
        <v>2</v>
      </c>
      <c r="G1119" t="s">
        <v>24</v>
      </c>
      <c r="H1119">
        <v>3</v>
      </c>
      <c r="I1119">
        <v>2</v>
      </c>
      <c r="J1119" t="s">
        <v>25</v>
      </c>
      <c r="K1119">
        <v>4</v>
      </c>
      <c r="L1119">
        <v>5484</v>
      </c>
      <c r="M1119" t="str" cm="1">
        <f t="array" ref="M1119">_xlfn.IFS(L1119&lt;= 7000,"Low",L1119&lt;=15000,"Medium",L1119&lt;=20000,"High")</f>
        <v>Low</v>
      </c>
      <c r="N1119" t="s">
        <v>22</v>
      </c>
      <c r="O1119">
        <v>17</v>
      </c>
      <c r="P1119">
        <v>3</v>
      </c>
      <c r="Q1119">
        <v>2</v>
      </c>
      <c r="R1119">
        <v>9</v>
      </c>
      <c r="S1119">
        <v>2</v>
      </c>
      <c r="T1119">
        <v>2</v>
      </c>
      <c r="U1119">
        <v>2</v>
      </c>
    </row>
    <row r="1120" spans="1:21" x14ac:dyDescent="0.35">
      <c r="A1120">
        <v>26</v>
      </c>
      <c r="B1120" t="str" cm="1">
        <f t="array" ref="B1120">_xlfn.IFS(A1120&gt;40,"Senior",A1120&gt;30,"Adult",A1120&gt;=18,"Teenager")</f>
        <v>Teenager</v>
      </c>
      <c r="C1120" t="s">
        <v>22</v>
      </c>
      <c r="D1120">
        <f t="shared" si="17"/>
        <v>0</v>
      </c>
      <c r="E1120" t="s">
        <v>23</v>
      </c>
      <c r="F1120">
        <v>1</v>
      </c>
      <c r="G1120" t="s">
        <v>20</v>
      </c>
      <c r="H1120">
        <v>3</v>
      </c>
      <c r="I1120">
        <v>1</v>
      </c>
      <c r="J1120" t="s">
        <v>25</v>
      </c>
      <c r="K1120">
        <v>4</v>
      </c>
      <c r="L1120">
        <v>2061</v>
      </c>
      <c r="M1120" t="str" cm="1">
        <f t="array" ref="M1120">_xlfn.IFS(L1120&lt;= 7000,"Low",L1120&lt;=15000,"Medium",L1120&lt;=20000,"High")</f>
        <v>Low</v>
      </c>
      <c r="N1120" t="s">
        <v>22</v>
      </c>
      <c r="O1120">
        <v>21</v>
      </c>
      <c r="P1120">
        <v>4</v>
      </c>
      <c r="Q1120">
        <v>1</v>
      </c>
      <c r="R1120">
        <v>1</v>
      </c>
      <c r="S1120">
        <v>3</v>
      </c>
      <c r="T1120">
        <v>1</v>
      </c>
      <c r="U1120">
        <v>0</v>
      </c>
    </row>
    <row r="1121" spans="1:21" x14ac:dyDescent="0.35">
      <c r="A1121">
        <v>38</v>
      </c>
      <c r="B1121" t="str" cm="1">
        <f t="array" ref="B1121">_xlfn.IFS(A1121&gt;40,"Senior",A1121&gt;30,"Adult",A1121&gt;=18,"Teenager")</f>
        <v>Adult</v>
      </c>
      <c r="C1121" t="s">
        <v>22</v>
      </c>
      <c r="D1121">
        <f t="shared" si="17"/>
        <v>0</v>
      </c>
      <c r="E1121" t="s">
        <v>19</v>
      </c>
      <c r="F1121">
        <v>3</v>
      </c>
      <c r="G1121" t="s">
        <v>24</v>
      </c>
      <c r="H1121">
        <v>3</v>
      </c>
      <c r="I1121">
        <v>2</v>
      </c>
      <c r="J1121" t="s">
        <v>21</v>
      </c>
      <c r="K1121">
        <v>2</v>
      </c>
      <c r="L1121">
        <v>9924</v>
      </c>
      <c r="M1121" t="str" cm="1">
        <f t="array" ref="M1121">_xlfn.IFS(L1121&lt;= 7000,"Low",L1121&lt;=15000,"Medium",L1121&lt;=20000,"High")</f>
        <v>Medium</v>
      </c>
      <c r="N1121" t="s">
        <v>22</v>
      </c>
      <c r="O1121">
        <v>11</v>
      </c>
      <c r="P1121">
        <v>3</v>
      </c>
      <c r="Q1121">
        <v>4</v>
      </c>
      <c r="R1121">
        <v>10</v>
      </c>
      <c r="S1121">
        <v>3</v>
      </c>
      <c r="T1121">
        <v>9</v>
      </c>
      <c r="U1121">
        <v>8</v>
      </c>
    </row>
    <row r="1122" spans="1:21" x14ac:dyDescent="0.35">
      <c r="A1122">
        <v>38</v>
      </c>
      <c r="B1122" t="str" cm="1">
        <f t="array" ref="B1122">_xlfn.IFS(A1122&gt;40,"Senior",A1122&gt;30,"Adult",A1122&gt;=18,"Teenager")</f>
        <v>Adult</v>
      </c>
      <c r="C1122" t="s">
        <v>22</v>
      </c>
      <c r="D1122">
        <f t="shared" si="17"/>
        <v>0</v>
      </c>
      <c r="E1122" t="s">
        <v>19</v>
      </c>
      <c r="F1122">
        <v>2</v>
      </c>
      <c r="G1122" t="s">
        <v>20</v>
      </c>
      <c r="H1122">
        <v>3</v>
      </c>
      <c r="I1122">
        <v>2</v>
      </c>
      <c r="J1122" t="s">
        <v>21</v>
      </c>
      <c r="K1122">
        <v>2</v>
      </c>
      <c r="L1122">
        <v>4198</v>
      </c>
      <c r="M1122" t="str" cm="1">
        <f t="array" ref="M1122">_xlfn.IFS(L1122&lt;= 7000,"Low",L1122&lt;=15000,"Medium",L1122&lt;=20000,"High")</f>
        <v>Low</v>
      </c>
      <c r="N1122" t="s">
        <v>22</v>
      </c>
      <c r="O1122">
        <v>12</v>
      </c>
      <c r="P1122">
        <v>3</v>
      </c>
      <c r="Q1122">
        <v>2</v>
      </c>
      <c r="R1122">
        <v>8</v>
      </c>
      <c r="S1122">
        <v>4</v>
      </c>
      <c r="T1122">
        <v>3</v>
      </c>
      <c r="U1122">
        <v>2</v>
      </c>
    </row>
    <row r="1123" spans="1:21" x14ac:dyDescent="0.35">
      <c r="A1123">
        <v>36</v>
      </c>
      <c r="B1123" t="str" cm="1">
        <f t="array" ref="B1123">_xlfn.IFS(A1123&gt;40,"Senior",A1123&gt;30,"Adult",A1123&gt;=18,"Teenager")</f>
        <v>Adult</v>
      </c>
      <c r="C1123" t="s">
        <v>22</v>
      </c>
      <c r="D1123">
        <f t="shared" si="17"/>
        <v>0</v>
      </c>
      <c r="E1123" t="s">
        <v>19</v>
      </c>
      <c r="F1123">
        <v>2</v>
      </c>
      <c r="G1123" t="s">
        <v>20</v>
      </c>
      <c r="H1123">
        <v>3</v>
      </c>
      <c r="I1123">
        <v>2</v>
      </c>
      <c r="J1123" t="s">
        <v>21</v>
      </c>
      <c r="K1123">
        <v>3</v>
      </c>
      <c r="L1123">
        <v>6815</v>
      </c>
      <c r="M1123" t="str" cm="1">
        <f t="array" ref="M1123">_xlfn.IFS(L1123&lt;= 7000,"Low",L1123&lt;=15000,"Medium",L1123&lt;=20000,"High")</f>
        <v>Low</v>
      </c>
      <c r="N1123" t="s">
        <v>22</v>
      </c>
      <c r="O1123">
        <v>13</v>
      </c>
      <c r="P1123">
        <v>3</v>
      </c>
      <c r="Q1123">
        <v>1</v>
      </c>
      <c r="R1123">
        <v>15</v>
      </c>
      <c r="S1123">
        <v>3</v>
      </c>
      <c r="T1123">
        <v>1</v>
      </c>
      <c r="U1123">
        <v>0</v>
      </c>
    </row>
    <row r="1124" spans="1:21" x14ac:dyDescent="0.35">
      <c r="A1124">
        <v>29</v>
      </c>
      <c r="B1124" t="str" cm="1">
        <f t="array" ref="B1124">_xlfn.IFS(A1124&gt;40,"Senior",A1124&gt;30,"Adult",A1124&gt;=18,"Teenager")</f>
        <v>Teenager</v>
      </c>
      <c r="C1124" t="s">
        <v>22</v>
      </c>
      <c r="D1124">
        <f t="shared" si="17"/>
        <v>0</v>
      </c>
      <c r="E1124" t="s">
        <v>23</v>
      </c>
      <c r="F1124">
        <v>2</v>
      </c>
      <c r="G1124" t="s">
        <v>24</v>
      </c>
      <c r="H1124">
        <v>3</v>
      </c>
      <c r="I1124">
        <v>1</v>
      </c>
      <c r="J1124" t="s">
        <v>26</v>
      </c>
      <c r="K1124">
        <v>1</v>
      </c>
      <c r="L1124">
        <v>4723</v>
      </c>
      <c r="M1124" t="str" cm="1">
        <f t="array" ref="M1124">_xlfn.IFS(L1124&lt;= 7000,"Low",L1124&lt;=15000,"Medium",L1124&lt;=20000,"High")</f>
        <v>Low</v>
      </c>
      <c r="N1124" t="s">
        <v>18</v>
      </c>
      <c r="O1124">
        <v>18</v>
      </c>
      <c r="P1124">
        <v>3</v>
      </c>
      <c r="Q1124">
        <v>4</v>
      </c>
      <c r="R1124">
        <v>10</v>
      </c>
      <c r="S1124">
        <v>3</v>
      </c>
      <c r="T1124">
        <v>10</v>
      </c>
      <c r="U1124">
        <v>9</v>
      </c>
    </row>
    <row r="1125" spans="1:21" x14ac:dyDescent="0.35">
      <c r="A1125">
        <v>35</v>
      </c>
      <c r="B1125" t="str" cm="1">
        <f t="array" ref="B1125">_xlfn.IFS(A1125&gt;40,"Senior",A1125&gt;30,"Adult",A1125&gt;=18,"Teenager")</f>
        <v>Adult</v>
      </c>
      <c r="C1125" t="s">
        <v>22</v>
      </c>
      <c r="D1125">
        <f t="shared" si="17"/>
        <v>0</v>
      </c>
      <c r="E1125" t="s">
        <v>23</v>
      </c>
      <c r="F1125">
        <v>1</v>
      </c>
      <c r="G1125" t="s">
        <v>20</v>
      </c>
      <c r="H1125">
        <v>3</v>
      </c>
      <c r="I1125">
        <v>2</v>
      </c>
      <c r="J1125" t="s">
        <v>28</v>
      </c>
      <c r="K1125">
        <v>3</v>
      </c>
      <c r="L1125">
        <v>6142</v>
      </c>
      <c r="M1125" t="str" cm="1">
        <f t="array" ref="M1125">_xlfn.IFS(L1125&lt;= 7000,"Low",L1125&lt;=15000,"Medium",L1125&lt;=20000,"High")</f>
        <v>Low</v>
      </c>
      <c r="N1125" t="s">
        <v>18</v>
      </c>
      <c r="O1125">
        <v>16</v>
      </c>
      <c r="P1125">
        <v>3</v>
      </c>
      <c r="Q1125">
        <v>3</v>
      </c>
      <c r="R1125">
        <v>10</v>
      </c>
      <c r="S1125">
        <v>3</v>
      </c>
      <c r="T1125">
        <v>5</v>
      </c>
      <c r="U1125">
        <v>2</v>
      </c>
    </row>
    <row r="1126" spans="1:21" x14ac:dyDescent="0.35">
      <c r="A1126">
        <v>39</v>
      </c>
      <c r="B1126" t="str" cm="1">
        <f t="array" ref="B1126">_xlfn.IFS(A1126&gt;40,"Senior",A1126&gt;30,"Adult",A1126&gt;=18,"Teenager")</f>
        <v>Adult</v>
      </c>
      <c r="C1126" t="s">
        <v>22</v>
      </c>
      <c r="D1126">
        <f t="shared" si="17"/>
        <v>0</v>
      </c>
      <c r="E1126" t="s">
        <v>19</v>
      </c>
      <c r="F1126">
        <v>4</v>
      </c>
      <c r="G1126" t="s">
        <v>24</v>
      </c>
      <c r="H1126">
        <v>4</v>
      </c>
      <c r="I1126">
        <v>3</v>
      </c>
      <c r="J1126" t="s">
        <v>21</v>
      </c>
      <c r="K1126">
        <v>3</v>
      </c>
      <c r="L1126">
        <v>8237</v>
      </c>
      <c r="M1126" t="str" cm="1">
        <f t="array" ref="M1126">_xlfn.IFS(L1126&lt;= 7000,"Low",L1126&lt;=15000,"Medium",L1126&lt;=20000,"High")</f>
        <v>Medium</v>
      </c>
      <c r="N1126" t="s">
        <v>22</v>
      </c>
      <c r="O1126">
        <v>11</v>
      </c>
      <c r="P1126">
        <v>3</v>
      </c>
      <c r="Q1126">
        <v>1</v>
      </c>
      <c r="R1126">
        <v>11</v>
      </c>
      <c r="S1126">
        <v>3</v>
      </c>
      <c r="T1126">
        <v>7</v>
      </c>
      <c r="U1126">
        <v>6</v>
      </c>
    </row>
    <row r="1127" spans="1:21" x14ac:dyDescent="0.35">
      <c r="A1127">
        <v>29</v>
      </c>
      <c r="B1127" t="str" cm="1">
        <f t="array" ref="B1127">_xlfn.IFS(A1127&gt;40,"Senior",A1127&gt;30,"Adult",A1127&gt;=18,"Teenager")</f>
        <v>Teenager</v>
      </c>
      <c r="C1127" t="s">
        <v>22</v>
      </c>
      <c r="D1127">
        <f t="shared" si="17"/>
        <v>0</v>
      </c>
      <c r="E1127" t="s">
        <v>23</v>
      </c>
      <c r="F1127">
        <v>1</v>
      </c>
      <c r="G1127" t="s">
        <v>24</v>
      </c>
      <c r="H1127">
        <v>3</v>
      </c>
      <c r="I1127">
        <v>2</v>
      </c>
      <c r="J1127" t="s">
        <v>28</v>
      </c>
      <c r="K1127">
        <v>4</v>
      </c>
      <c r="L1127">
        <v>8853</v>
      </c>
      <c r="M1127" t="str" cm="1">
        <f t="array" ref="M1127">_xlfn.IFS(L1127&lt;= 7000,"Low",L1127&lt;=15000,"Medium",L1127&lt;=20000,"High")</f>
        <v>Medium</v>
      </c>
      <c r="N1127" t="s">
        <v>22</v>
      </c>
      <c r="O1127">
        <v>19</v>
      </c>
      <c r="P1127">
        <v>3</v>
      </c>
      <c r="Q1127">
        <v>4</v>
      </c>
      <c r="R1127">
        <v>6</v>
      </c>
      <c r="S1127">
        <v>4</v>
      </c>
      <c r="T1127">
        <v>6</v>
      </c>
      <c r="U1127">
        <v>4</v>
      </c>
    </row>
    <row r="1128" spans="1:21" x14ac:dyDescent="0.35">
      <c r="A1128">
        <v>50</v>
      </c>
      <c r="B1128" t="str" cm="1">
        <f t="array" ref="B1128">_xlfn.IFS(A1128&gt;40,"Senior",A1128&gt;30,"Adult",A1128&gt;=18,"Teenager")</f>
        <v>Senior</v>
      </c>
      <c r="C1128" t="s">
        <v>22</v>
      </c>
      <c r="D1128">
        <f t="shared" si="17"/>
        <v>0</v>
      </c>
      <c r="E1128" t="s">
        <v>19</v>
      </c>
      <c r="F1128">
        <v>3</v>
      </c>
      <c r="G1128" t="s">
        <v>24</v>
      </c>
      <c r="H1128">
        <v>3</v>
      </c>
      <c r="I1128">
        <v>5</v>
      </c>
      <c r="J1128" t="s">
        <v>29</v>
      </c>
      <c r="K1128">
        <v>3</v>
      </c>
      <c r="L1128">
        <v>19331</v>
      </c>
      <c r="M1128" t="str" cm="1">
        <f t="array" ref="M1128">_xlfn.IFS(L1128&lt;= 7000,"Low",L1128&lt;=15000,"Medium",L1128&lt;=20000,"High")</f>
        <v>High</v>
      </c>
      <c r="N1128" t="s">
        <v>18</v>
      </c>
      <c r="O1128">
        <v>16</v>
      </c>
      <c r="P1128">
        <v>3</v>
      </c>
      <c r="Q1128">
        <v>3</v>
      </c>
      <c r="R1128">
        <v>27</v>
      </c>
      <c r="S1128">
        <v>3</v>
      </c>
      <c r="T1128">
        <v>1</v>
      </c>
      <c r="U1128">
        <v>0</v>
      </c>
    </row>
    <row r="1129" spans="1:21" x14ac:dyDescent="0.35">
      <c r="A1129">
        <v>23</v>
      </c>
      <c r="B1129" t="str" cm="1">
        <f t="array" ref="B1129">_xlfn.IFS(A1129&gt;40,"Senior",A1129&gt;30,"Adult",A1129&gt;=18,"Teenager")</f>
        <v>Teenager</v>
      </c>
      <c r="C1129" t="s">
        <v>22</v>
      </c>
      <c r="D1129">
        <f t="shared" si="17"/>
        <v>0</v>
      </c>
      <c r="E1129" t="s">
        <v>23</v>
      </c>
      <c r="F1129">
        <v>4</v>
      </c>
      <c r="G1129" t="s">
        <v>24</v>
      </c>
      <c r="H1129">
        <v>4</v>
      </c>
      <c r="I1129">
        <v>1</v>
      </c>
      <c r="J1129" t="s">
        <v>25</v>
      </c>
      <c r="K1129">
        <v>3</v>
      </c>
      <c r="L1129">
        <v>2073</v>
      </c>
      <c r="M1129" t="str" cm="1">
        <f t="array" ref="M1129">_xlfn.IFS(L1129&lt;= 7000,"Low",L1129&lt;=15000,"Medium",L1129&lt;=20000,"High")</f>
        <v>Low</v>
      </c>
      <c r="N1129" t="s">
        <v>22</v>
      </c>
      <c r="O1129">
        <v>16</v>
      </c>
      <c r="P1129">
        <v>3</v>
      </c>
      <c r="Q1129">
        <v>4</v>
      </c>
      <c r="R1129">
        <v>4</v>
      </c>
      <c r="S1129">
        <v>3</v>
      </c>
      <c r="T1129">
        <v>2</v>
      </c>
      <c r="U1129">
        <v>2</v>
      </c>
    </row>
    <row r="1130" spans="1:21" x14ac:dyDescent="0.35">
      <c r="A1130">
        <v>36</v>
      </c>
      <c r="B1130" t="str" cm="1">
        <f t="array" ref="B1130">_xlfn.IFS(A1130&gt;40,"Senior",A1130&gt;30,"Adult",A1130&gt;=18,"Teenager")</f>
        <v>Adult</v>
      </c>
      <c r="C1130" t="s">
        <v>22</v>
      </c>
      <c r="D1130">
        <f t="shared" si="17"/>
        <v>0</v>
      </c>
      <c r="E1130" t="s">
        <v>23</v>
      </c>
      <c r="F1130">
        <v>1</v>
      </c>
      <c r="G1130" t="s">
        <v>24</v>
      </c>
      <c r="H1130">
        <v>4</v>
      </c>
      <c r="I1130">
        <v>2</v>
      </c>
      <c r="J1130" t="s">
        <v>26</v>
      </c>
      <c r="K1130">
        <v>1</v>
      </c>
      <c r="L1130">
        <v>5562</v>
      </c>
      <c r="M1130" t="str" cm="1">
        <f t="array" ref="M1130">_xlfn.IFS(L1130&lt;= 7000,"Low",L1130&lt;=15000,"Medium",L1130&lt;=20000,"High")</f>
        <v>Low</v>
      </c>
      <c r="N1130" t="s">
        <v>18</v>
      </c>
      <c r="O1130">
        <v>13</v>
      </c>
      <c r="P1130">
        <v>3</v>
      </c>
      <c r="Q1130">
        <v>4</v>
      </c>
      <c r="R1130">
        <v>9</v>
      </c>
      <c r="S1130">
        <v>3</v>
      </c>
      <c r="T1130">
        <v>3</v>
      </c>
      <c r="U1130">
        <v>2</v>
      </c>
    </row>
    <row r="1131" spans="1:21" x14ac:dyDescent="0.35">
      <c r="A1131">
        <v>42</v>
      </c>
      <c r="B1131" t="str" cm="1">
        <f t="array" ref="B1131">_xlfn.IFS(A1131&gt;40,"Senior",A1131&gt;30,"Adult",A1131&gt;=18,"Teenager")</f>
        <v>Senior</v>
      </c>
      <c r="C1131" t="s">
        <v>22</v>
      </c>
      <c r="D1131">
        <f t="shared" si="17"/>
        <v>0</v>
      </c>
      <c r="E1131" t="s">
        <v>23</v>
      </c>
      <c r="F1131">
        <v>4</v>
      </c>
      <c r="G1131" t="s">
        <v>24</v>
      </c>
      <c r="H1131">
        <v>2</v>
      </c>
      <c r="I1131">
        <v>5</v>
      </c>
      <c r="J1131" t="s">
        <v>29</v>
      </c>
      <c r="K1131">
        <v>4</v>
      </c>
      <c r="L1131">
        <v>19613</v>
      </c>
      <c r="M1131" t="str" cm="1">
        <f t="array" ref="M1131">_xlfn.IFS(L1131&lt;= 7000,"Low",L1131&lt;=15000,"Medium",L1131&lt;=20000,"High")</f>
        <v>High</v>
      </c>
      <c r="N1131" t="s">
        <v>22</v>
      </c>
      <c r="O1131">
        <v>22</v>
      </c>
      <c r="P1131">
        <v>4</v>
      </c>
      <c r="Q1131">
        <v>4</v>
      </c>
      <c r="R1131">
        <v>24</v>
      </c>
      <c r="S1131">
        <v>3</v>
      </c>
      <c r="T1131">
        <v>1</v>
      </c>
      <c r="U1131">
        <v>0</v>
      </c>
    </row>
    <row r="1132" spans="1:21" x14ac:dyDescent="0.35">
      <c r="A1132">
        <v>35</v>
      </c>
      <c r="B1132" t="str" cm="1">
        <f t="array" ref="B1132">_xlfn.IFS(A1132&gt;40,"Senior",A1132&gt;30,"Adult",A1132&gt;=18,"Teenager")</f>
        <v>Adult</v>
      </c>
      <c r="C1132" t="s">
        <v>22</v>
      </c>
      <c r="D1132">
        <f t="shared" si="17"/>
        <v>0</v>
      </c>
      <c r="E1132" t="s">
        <v>23</v>
      </c>
      <c r="F1132">
        <v>2</v>
      </c>
      <c r="G1132" t="s">
        <v>24</v>
      </c>
      <c r="H1132">
        <v>4</v>
      </c>
      <c r="I1132">
        <v>2</v>
      </c>
      <c r="J1132" t="s">
        <v>26</v>
      </c>
      <c r="K1132">
        <v>3</v>
      </c>
      <c r="L1132">
        <v>3407</v>
      </c>
      <c r="M1132" t="str" cm="1">
        <f t="array" ref="M1132">_xlfn.IFS(L1132&lt;= 7000,"Low",L1132&lt;=15000,"Medium",L1132&lt;=20000,"High")</f>
        <v>Low</v>
      </c>
      <c r="N1132" t="s">
        <v>22</v>
      </c>
      <c r="O1132">
        <v>17</v>
      </c>
      <c r="P1132">
        <v>3</v>
      </c>
      <c r="Q1132">
        <v>4</v>
      </c>
      <c r="R1132">
        <v>10</v>
      </c>
      <c r="S1132">
        <v>2</v>
      </c>
      <c r="T1132">
        <v>10</v>
      </c>
      <c r="U1132">
        <v>9</v>
      </c>
    </row>
    <row r="1133" spans="1:21" x14ac:dyDescent="0.35">
      <c r="A1133">
        <v>34</v>
      </c>
      <c r="B1133" t="str" cm="1">
        <f t="array" ref="B1133">_xlfn.IFS(A1133&gt;40,"Senior",A1133&gt;30,"Adult",A1133&gt;=18,"Teenager")</f>
        <v>Adult</v>
      </c>
      <c r="C1133" t="s">
        <v>22</v>
      </c>
      <c r="D1133">
        <f t="shared" si="17"/>
        <v>0</v>
      </c>
      <c r="E1133" t="s">
        <v>23</v>
      </c>
      <c r="F1133">
        <v>4</v>
      </c>
      <c r="G1133" t="s">
        <v>24</v>
      </c>
      <c r="H1133">
        <v>2</v>
      </c>
      <c r="I1133">
        <v>2</v>
      </c>
      <c r="J1133" t="s">
        <v>28</v>
      </c>
      <c r="K1133">
        <v>3</v>
      </c>
      <c r="L1133">
        <v>5063</v>
      </c>
      <c r="M1133" t="str" cm="1">
        <f t="array" ref="M1133">_xlfn.IFS(L1133&lt;= 7000,"Low",L1133&lt;=15000,"Medium",L1133&lt;=20000,"High")</f>
        <v>Low</v>
      </c>
      <c r="N1133" t="s">
        <v>22</v>
      </c>
      <c r="O1133">
        <v>14</v>
      </c>
      <c r="P1133">
        <v>3</v>
      </c>
      <c r="Q1133">
        <v>2</v>
      </c>
      <c r="R1133">
        <v>8</v>
      </c>
      <c r="S1133">
        <v>2</v>
      </c>
      <c r="T1133">
        <v>8</v>
      </c>
      <c r="U1133">
        <v>2</v>
      </c>
    </row>
    <row r="1134" spans="1:21" x14ac:dyDescent="0.35">
      <c r="A1134">
        <v>40</v>
      </c>
      <c r="B1134" t="str" cm="1">
        <f t="array" ref="B1134">_xlfn.IFS(A1134&gt;40,"Senior",A1134&gt;30,"Adult",A1134&gt;=18,"Teenager")</f>
        <v>Adult</v>
      </c>
      <c r="C1134" t="s">
        <v>22</v>
      </c>
      <c r="D1134">
        <f t="shared" si="17"/>
        <v>0</v>
      </c>
      <c r="E1134" t="s">
        <v>19</v>
      </c>
      <c r="F1134">
        <v>4</v>
      </c>
      <c r="G1134" t="s">
        <v>20</v>
      </c>
      <c r="H1134">
        <v>3</v>
      </c>
      <c r="I1134">
        <v>2</v>
      </c>
      <c r="J1134" t="s">
        <v>21</v>
      </c>
      <c r="K1134">
        <v>1</v>
      </c>
      <c r="L1134">
        <v>4639</v>
      </c>
      <c r="M1134" t="str" cm="1">
        <f t="array" ref="M1134">_xlfn.IFS(L1134&lt;= 7000,"Low",L1134&lt;=15000,"Medium",L1134&lt;=20000,"High")</f>
        <v>Low</v>
      </c>
      <c r="N1134" t="s">
        <v>22</v>
      </c>
      <c r="O1134">
        <v>15</v>
      </c>
      <c r="P1134">
        <v>3</v>
      </c>
      <c r="Q1134">
        <v>3</v>
      </c>
      <c r="R1134">
        <v>5</v>
      </c>
      <c r="S1134">
        <v>3</v>
      </c>
      <c r="T1134">
        <v>5</v>
      </c>
      <c r="U1134">
        <v>4</v>
      </c>
    </row>
    <row r="1135" spans="1:21" x14ac:dyDescent="0.35">
      <c r="A1135">
        <v>43</v>
      </c>
      <c r="B1135" t="str" cm="1">
        <f t="array" ref="B1135">_xlfn.IFS(A1135&gt;40,"Senior",A1135&gt;30,"Adult",A1135&gt;=18,"Teenager")</f>
        <v>Senior</v>
      </c>
      <c r="C1135" t="s">
        <v>22</v>
      </c>
      <c r="D1135">
        <f t="shared" si="17"/>
        <v>0</v>
      </c>
      <c r="E1135" t="s">
        <v>23</v>
      </c>
      <c r="F1135">
        <v>4</v>
      </c>
      <c r="G1135" t="s">
        <v>24</v>
      </c>
      <c r="H1135">
        <v>4</v>
      </c>
      <c r="I1135">
        <v>1</v>
      </c>
      <c r="J1135" t="s">
        <v>26</v>
      </c>
      <c r="K1135">
        <v>2</v>
      </c>
      <c r="L1135">
        <v>4876</v>
      </c>
      <c r="M1135" t="str" cm="1">
        <f t="array" ref="M1135">_xlfn.IFS(L1135&lt;= 7000,"Low",L1135&lt;=15000,"Medium",L1135&lt;=20000,"High")</f>
        <v>Low</v>
      </c>
      <c r="N1135" t="s">
        <v>22</v>
      </c>
      <c r="O1135">
        <v>12</v>
      </c>
      <c r="P1135">
        <v>3</v>
      </c>
      <c r="Q1135">
        <v>3</v>
      </c>
      <c r="R1135">
        <v>8</v>
      </c>
      <c r="S1135">
        <v>3</v>
      </c>
      <c r="T1135">
        <v>6</v>
      </c>
      <c r="U1135">
        <v>4</v>
      </c>
    </row>
    <row r="1136" spans="1:21" x14ac:dyDescent="0.35">
      <c r="A1136">
        <v>35</v>
      </c>
      <c r="B1136" t="str" cm="1">
        <f t="array" ref="B1136">_xlfn.IFS(A1136&gt;40,"Senior",A1136&gt;30,"Adult",A1136&gt;=18,"Teenager")</f>
        <v>Adult</v>
      </c>
      <c r="C1136" t="s">
        <v>22</v>
      </c>
      <c r="D1136">
        <f t="shared" si="17"/>
        <v>0</v>
      </c>
      <c r="E1136" t="s">
        <v>23</v>
      </c>
      <c r="F1136">
        <v>3</v>
      </c>
      <c r="G1136" t="s">
        <v>24</v>
      </c>
      <c r="H1136">
        <v>2</v>
      </c>
      <c r="I1136">
        <v>1</v>
      </c>
      <c r="J1136" t="s">
        <v>26</v>
      </c>
      <c r="K1136">
        <v>4</v>
      </c>
      <c r="L1136">
        <v>2690</v>
      </c>
      <c r="M1136" t="str" cm="1">
        <f t="array" ref="M1136">_xlfn.IFS(L1136&lt;= 7000,"Low",L1136&lt;=15000,"Medium",L1136&lt;=20000,"High")</f>
        <v>Low</v>
      </c>
      <c r="N1136" t="s">
        <v>22</v>
      </c>
      <c r="O1136">
        <v>18</v>
      </c>
      <c r="P1136">
        <v>3</v>
      </c>
      <c r="Q1136">
        <v>4</v>
      </c>
      <c r="R1136">
        <v>1</v>
      </c>
      <c r="S1136">
        <v>2</v>
      </c>
      <c r="T1136">
        <v>1</v>
      </c>
      <c r="U1136">
        <v>0</v>
      </c>
    </row>
    <row r="1137" spans="1:21" x14ac:dyDescent="0.35">
      <c r="A1137">
        <v>46</v>
      </c>
      <c r="B1137" t="str" cm="1">
        <f t="array" ref="B1137">_xlfn.IFS(A1137&gt;40,"Senior",A1137&gt;30,"Adult",A1137&gt;=18,"Teenager")</f>
        <v>Senior</v>
      </c>
      <c r="C1137" t="s">
        <v>22</v>
      </c>
      <c r="D1137">
        <f t="shared" si="17"/>
        <v>0</v>
      </c>
      <c r="E1137" t="s">
        <v>19</v>
      </c>
      <c r="F1137">
        <v>4</v>
      </c>
      <c r="G1137" t="s">
        <v>24</v>
      </c>
      <c r="H1137">
        <v>4</v>
      </c>
      <c r="I1137">
        <v>4</v>
      </c>
      <c r="J1137" t="s">
        <v>29</v>
      </c>
      <c r="K1137">
        <v>1</v>
      </c>
      <c r="L1137">
        <v>17567</v>
      </c>
      <c r="M1137" t="str" cm="1">
        <f t="array" ref="M1137">_xlfn.IFS(L1137&lt;= 7000,"Low",L1137&lt;=15000,"Medium",L1137&lt;=20000,"High")</f>
        <v>High</v>
      </c>
      <c r="N1137" t="s">
        <v>22</v>
      </c>
      <c r="O1137">
        <v>15</v>
      </c>
      <c r="P1137">
        <v>3</v>
      </c>
      <c r="Q1137">
        <v>2</v>
      </c>
      <c r="R1137">
        <v>27</v>
      </c>
      <c r="S1137">
        <v>1</v>
      </c>
      <c r="T1137">
        <v>26</v>
      </c>
      <c r="U1137">
        <v>0</v>
      </c>
    </row>
    <row r="1138" spans="1:21" x14ac:dyDescent="0.35">
      <c r="A1138">
        <v>28</v>
      </c>
      <c r="B1138" t="str" cm="1">
        <f t="array" ref="B1138">_xlfn.IFS(A1138&gt;40,"Senior",A1138&gt;30,"Adult",A1138&gt;=18,"Teenager")</f>
        <v>Teenager</v>
      </c>
      <c r="C1138" t="s">
        <v>18</v>
      </c>
      <c r="D1138">
        <f t="shared" si="17"/>
        <v>1</v>
      </c>
      <c r="E1138" t="s">
        <v>23</v>
      </c>
      <c r="F1138">
        <v>3</v>
      </c>
      <c r="G1138" t="s">
        <v>24</v>
      </c>
      <c r="H1138">
        <v>3</v>
      </c>
      <c r="I1138">
        <v>1</v>
      </c>
      <c r="J1138" t="s">
        <v>26</v>
      </c>
      <c r="K1138">
        <v>2</v>
      </c>
      <c r="L1138">
        <v>2408</v>
      </c>
      <c r="M1138" t="str" cm="1">
        <f t="array" ref="M1138">_xlfn.IFS(L1138&lt;= 7000,"Low",L1138&lt;=15000,"Medium",L1138&lt;=20000,"High")</f>
        <v>Low</v>
      </c>
      <c r="N1138" t="s">
        <v>18</v>
      </c>
      <c r="O1138">
        <v>17</v>
      </c>
      <c r="P1138">
        <v>3</v>
      </c>
      <c r="Q1138">
        <v>3</v>
      </c>
      <c r="R1138">
        <v>1</v>
      </c>
      <c r="S1138">
        <v>3</v>
      </c>
      <c r="T1138">
        <v>1</v>
      </c>
      <c r="U1138">
        <v>1</v>
      </c>
    </row>
    <row r="1139" spans="1:21" x14ac:dyDescent="0.35">
      <c r="A1139">
        <v>22</v>
      </c>
      <c r="B1139" t="str" cm="1">
        <f t="array" ref="B1139">_xlfn.IFS(A1139&gt;40,"Senior",A1139&gt;30,"Adult",A1139&gt;=18,"Teenager")</f>
        <v>Teenager</v>
      </c>
      <c r="C1139" t="s">
        <v>22</v>
      </c>
      <c r="D1139">
        <f t="shared" si="17"/>
        <v>0</v>
      </c>
      <c r="E1139" t="s">
        <v>23</v>
      </c>
      <c r="F1139">
        <v>2</v>
      </c>
      <c r="G1139" t="s">
        <v>20</v>
      </c>
      <c r="H1139">
        <v>2</v>
      </c>
      <c r="I1139">
        <v>1</v>
      </c>
      <c r="J1139" t="s">
        <v>25</v>
      </c>
      <c r="K1139">
        <v>3</v>
      </c>
      <c r="L1139">
        <v>2814</v>
      </c>
      <c r="M1139" t="str" cm="1">
        <f t="array" ref="M1139">_xlfn.IFS(L1139&lt;= 7000,"Low",L1139&lt;=15000,"Medium",L1139&lt;=20000,"High")</f>
        <v>Low</v>
      </c>
      <c r="N1139" t="s">
        <v>18</v>
      </c>
      <c r="O1139">
        <v>14</v>
      </c>
      <c r="P1139">
        <v>3</v>
      </c>
      <c r="Q1139">
        <v>2</v>
      </c>
      <c r="R1139">
        <v>4</v>
      </c>
      <c r="S1139">
        <v>2</v>
      </c>
      <c r="T1139">
        <v>4</v>
      </c>
      <c r="U1139">
        <v>2</v>
      </c>
    </row>
    <row r="1140" spans="1:21" x14ac:dyDescent="0.35">
      <c r="A1140">
        <v>50</v>
      </c>
      <c r="B1140" t="str" cm="1">
        <f t="array" ref="B1140">_xlfn.IFS(A1140&gt;40,"Senior",A1140&gt;30,"Adult",A1140&gt;=18,"Teenager")</f>
        <v>Senior</v>
      </c>
      <c r="C1140" t="s">
        <v>22</v>
      </c>
      <c r="D1140">
        <f t="shared" si="17"/>
        <v>0</v>
      </c>
      <c r="E1140" t="s">
        <v>23</v>
      </c>
      <c r="F1140">
        <v>2</v>
      </c>
      <c r="G1140" t="s">
        <v>24</v>
      </c>
      <c r="H1140">
        <v>3</v>
      </c>
      <c r="I1140">
        <v>4</v>
      </c>
      <c r="J1140" t="s">
        <v>28</v>
      </c>
      <c r="K1140">
        <v>3</v>
      </c>
      <c r="L1140">
        <v>11245</v>
      </c>
      <c r="M1140" t="str" cm="1">
        <f t="array" ref="M1140">_xlfn.IFS(L1140&lt;= 7000,"Low",L1140&lt;=15000,"Medium",L1140&lt;=20000,"High")</f>
        <v>Medium</v>
      </c>
      <c r="N1140" t="s">
        <v>18</v>
      </c>
      <c r="O1140">
        <v>15</v>
      </c>
      <c r="P1140">
        <v>3</v>
      </c>
      <c r="Q1140">
        <v>3</v>
      </c>
      <c r="R1140">
        <v>32</v>
      </c>
      <c r="S1140">
        <v>3</v>
      </c>
      <c r="T1140">
        <v>30</v>
      </c>
      <c r="U1140">
        <v>8</v>
      </c>
    </row>
    <row r="1141" spans="1:21" x14ac:dyDescent="0.35">
      <c r="A1141">
        <v>32</v>
      </c>
      <c r="B1141" t="str" cm="1">
        <f t="array" ref="B1141">_xlfn.IFS(A1141&gt;40,"Senior",A1141&gt;30,"Adult",A1141&gt;=18,"Teenager")</f>
        <v>Adult</v>
      </c>
      <c r="C1141" t="s">
        <v>22</v>
      </c>
      <c r="D1141">
        <f t="shared" si="17"/>
        <v>0</v>
      </c>
      <c r="E1141" t="s">
        <v>23</v>
      </c>
      <c r="F1141">
        <v>2</v>
      </c>
      <c r="G1141" t="s">
        <v>20</v>
      </c>
      <c r="H1141">
        <v>4</v>
      </c>
      <c r="I1141">
        <v>1</v>
      </c>
      <c r="J1141" t="s">
        <v>25</v>
      </c>
      <c r="K1141">
        <v>4</v>
      </c>
      <c r="L1141">
        <v>3312</v>
      </c>
      <c r="M1141" t="str" cm="1">
        <f t="array" ref="M1141">_xlfn.IFS(L1141&lt;= 7000,"Low",L1141&lt;=15000,"Medium",L1141&lt;=20000,"High")</f>
        <v>Low</v>
      </c>
      <c r="N1141" t="s">
        <v>22</v>
      </c>
      <c r="O1141">
        <v>17</v>
      </c>
      <c r="P1141">
        <v>3</v>
      </c>
      <c r="Q1141">
        <v>4</v>
      </c>
      <c r="R1141">
        <v>6</v>
      </c>
      <c r="S1141">
        <v>3</v>
      </c>
      <c r="T1141">
        <v>3</v>
      </c>
      <c r="U1141">
        <v>2</v>
      </c>
    </row>
    <row r="1142" spans="1:21" x14ac:dyDescent="0.35">
      <c r="A1142">
        <v>44</v>
      </c>
      <c r="B1142" t="str" cm="1">
        <f t="array" ref="B1142">_xlfn.IFS(A1142&gt;40,"Senior",A1142&gt;30,"Adult",A1142&gt;=18,"Teenager")</f>
        <v>Senior</v>
      </c>
      <c r="C1142" t="s">
        <v>22</v>
      </c>
      <c r="D1142">
        <f t="shared" si="17"/>
        <v>0</v>
      </c>
      <c r="E1142" t="s">
        <v>23</v>
      </c>
      <c r="F1142">
        <v>2</v>
      </c>
      <c r="G1142" t="s">
        <v>20</v>
      </c>
      <c r="H1142">
        <v>3</v>
      </c>
      <c r="I1142">
        <v>5</v>
      </c>
      <c r="J1142" t="s">
        <v>31</v>
      </c>
      <c r="K1142">
        <v>4</v>
      </c>
      <c r="L1142">
        <v>19049</v>
      </c>
      <c r="M1142" t="str" cm="1">
        <f t="array" ref="M1142">_xlfn.IFS(L1142&lt;= 7000,"Low",L1142&lt;=15000,"Medium",L1142&lt;=20000,"High")</f>
        <v>High</v>
      </c>
      <c r="N1142" t="s">
        <v>18</v>
      </c>
      <c r="O1142">
        <v>14</v>
      </c>
      <c r="P1142">
        <v>3</v>
      </c>
      <c r="Q1142">
        <v>4</v>
      </c>
      <c r="R1142">
        <v>23</v>
      </c>
      <c r="S1142">
        <v>2</v>
      </c>
      <c r="T1142">
        <v>22</v>
      </c>
      <c r="U1142">
        <v>7</v>
      </c>
    </row>
    <row r="1143" spans="1:21" x14ac:dyDescent="0.35">
      <c r="A1143">
        <v>30</v>
      </c>
      <c r="B1143" t="str" cm="1">
        <f t="array" ref="B1143">_xlfn.IFS(A1143&gt;40,"Senior",A1143&gt;30,"Adult",A1143&gt;=18,"Teenager")</f>
        <v>Teenager</v>
      </c>
      <c r="C1143" t="s">
        <v>22</v>
      </c>
      <c r="D1143">
        <f t="shared" si="17"/>
        <v>0</v>
      </c>
      <c r="E1143" t="s">
        <v>23</v>
      </c>
      <c r="F1143">
        <v>2</v>
      </c>
      <c r="G1143" t="s">
        <v>24</v>
      </c>
      <c r="H1143">
        <v>2</v>
      </c>
      <c r="I1143">
        <v>1</v>
      </c>
      <c r="J1143" t="s">
        <v>25</v>
      </c>
      <c r="K1143">
        <v>2</v>
      </c>
      <c r="L1143">
        <v>2141</v>
      </c>
      <c r="M1143" t="str" cm="1">
        <f t="array" ref="M1143">_xlfn.IFS(L1143&lt;= 7000,"Low",L1143&lt;=15000,"Medium",L1143&lt;=20000,"High")</f>
        <v>Low</v>
      </c>
      <c r="N1143" t="s">
        <v>22</v>
      </c>
      <c r="O1143">
        <v>12</v>
      </c>
      <c r="P1143">
        <v>3</v>
      </c>
      <c r="Q1143">
        <v>2</v>
      </c>
      <c r="R1143">
        <v>6</v>
      </c>
      <c r="S1143">
        <v>2</v>
      </c>
      <c r="T1143">
        <v>6</v>
      </c>
      <c r="U1143">
        <v>4</v>
      </c>
    </row>
    <row r="1144" spans="1:21" x14ac:dyDescent="0.35">
      <c r="A1144">
        <v>45</v>
      </c>
      <c r="B1144" t="str" cm="1">
        <f t="array" ref="B1144">_xlfn.IFS(A1144&gt;40,"Senior",A1144&gt;30,"Adult",A1144&gt;=18,"Teenager")</f>
        <v>Senior</v>
      </c>
      <c r="C1144" t="s">
        <v>22</v>
      </c>
      <c r="D1144">
        <f t="shared" si="17"/>
        <v>0</v>
      </c>
      <c r="E1144" t="s">
        <v>23</v>
      </c>
      <c r="F1144">
        <v>3</v>
      </c>
      <c r="G1144" t="s">
        <v>20</v>
      </c>
      <c r="H1144">
        <v>1</v>
      </c>
      <c r="I1144">
        <v>2</v>
      </c>
      <c r="J1144" t="s">
        <v>26</v>
      </c>
      <c r="K1144">
        <v>1</v>
      </c>
      <c r="L1144">
        <v>5769</v>
      </c>
      <c r="M1144" t="str" cm="1">
        <f t="array" ref="M1144">_xlfn.IFS(L1144&lt;= 7000,"Low",L1144&lt;=15000,"Medium",L1144&lt;=20000,"High")</f>
        <v>Low</v>
      </c>
      <c r="N1144" t="s">
        <v>18</v>
      </c>
      <c r="O1144">
        <v>14</v>
      </c>
      <c r="P1144">
        <v>3</v>
      </c>
      <c r="Q1144">
        <v>1</v>
      </c>
      <c r="R1144">
        <v>10</v>
      </c>
      <c r="S1144">
        <v>3</v>
      </c>
      <c r="T1144">
        <v>10</v>
      </c>
      <c r="U1144">
        <v>7</v>
      </c>
    </row>
    <row r="1145" spans="1:21" x14ac:dyDescent="0.35">
      <c r="A1145">
        <v>45</v>
      </c>
      <c r="B1145" t="str" cm="1">
        <f t="array" ref="B1145">_xlfn.IFS(A1145&gt;40,"Senior",A1145&gt;30,"Adult",A1145&gt;=18,"Teenager")</f>
        <v>Senior</v>
      </c>
      <c r="C1145" t="s">
        <v>22</v>
      </c>
      <c r="D1145">
        <f t="shared" si="17"/>
        <v>0</v>
      </c>
      <c r="E1145" t="s">
        <v>19</v>
      </c>
      <c r="F1145">
        <v>1</v>
      </c>
      <c r="G1145" t="s">
        <v>24</v>
      </c>
      <c r="H1145">
        <v>2</v>
      </c>
      <c r="I1145">
        <v>2</v>
      </c>
      <c r="J1145" t="s">
        <v>21</v>
      </c>
      <c r="K1145">
        <v>1</v>
      </c>
      <c r="L1145">
        <v>4385</v>
      </c>
      <c r="M1145" t="str" cm="1">
        <f t="array" ref="M1145">_xlfn.IFS(L1145&lt;= 7000,"Low",L1145&lt;=15000,"Medium",L1145&lt;=20000,"High")</f>
        <v>Low</v>
      </c>
      <c r="N1145" t="s">
        <v>22</v>
      </c>
      <c r="O1145">
        <v>15</v>
      </c>
      <c r="P1145">
        <v>3</v>
      </c>
      <c r="Q1145">
        <v>1</v>
      </c>
      <c r="R1145">
        <v>10</v>
      </c>
      <c r="S1145">
        <v>3</v>
      </c>
      <c r="T1145">
        <v>10</v>
      </c>
      <c r="U1145">
        <v>7</v>
      </c>
    </row>
    <row r="1146" spans="1:21" x14ac:dyDescent="0.35">
      <c r="A1146">
        <v>31</v>
      </c>
      <c r="B1146" t="str" cm="1">
        <f t="array" ref="B1146">_xlfn.IFS(A1146&gt;40,"Senior",A1146&gt;30,"Adult",A1146&gt;=18,"Teenager")</f>
        <v>Adult</v>
      </c>
      <c r="C1146" t="s">
        <v>22</v>
      </c>
      <c r="D1146">
        <f t="shared" si="17"/>
        <v>0</v>
      </c>
      <c r="E1146" t="s">
        <v>19</v>
      </c>
      <c r="F1146">
        <v>4</v>
      </c>
      <c r="G1146" t="s">
        <v>24</v>
      </c>
      <c r="H1146">
        <v>3</v>
      </c>
      <c r="I1146">
        <v>2</v>
      </c>
      <c r="J1146" t="s">
        <v>21</v>
      </c>
      <c r="K1146">
        <v>1</v>
      </c>
      <c r="L1146">
        <v>5332</v>
      </c>
      <c r="M1146" t="str" cm="1">
        <f t="array" ref="M1146">_xlfn.IFS(L1146&lt;= 7000,"Low",L1146&lt;=15000,"Medium",L1146&lt;=20000,"High")</f>
        <v>Low</v>
      </c>
      <c r="N1146" t="s">
        <v>22</v>
      </c>
      <c r="O1146">
        <v>13</v>
      </c>
      <c r="P1146">
        <v>3</v>
      </c>
      <c r="Q1146">
        <v>4</v>
      </c>
      <c r="R1146">
        <v>10</v>
      </c>
      <c r="S1146">
        <v>3</v>
      </c>
      <c r="T1146">
        <v>5</v>
      </c>
      <c r="U1146">
        <v>2</v>
      </c>
    </row>
    <row r="1147" spans="1:21" x14ac:dyDescent="0.35">
      <c r="A1147">
        <v>36</v>
      </c>
      <c r="B1147" t="str" cm="1">
        <f t="array" ref="B1147">_xlfn.IFS(A1147&gt;40,"Senior",A1147&gt;30,"Adult",A1147&gt;=18,"Teenager")</f>
        <v>Adult</v>
      </c>
      <c r="C1147" t="s">
        <v>22</v>
      </c>
      <c r="D1147">
        <f t="shared" si="17"/>
        <v>0</v>
      </c>
      <c r="E1147" t="s">
        <v>23</v>
      </c>
      <c r="F1147">
        <v>3</v>
      </c>
      <c r="G1147" t="s">
        <v>20</v>
      </c>
      <c r="H1147">
        <v>3</v>
      </c>
      <c r="I1147">
        <v>2</v>
      </c>
      <c r="J1147" t="s">
        <v>27</v>
      </c>
      <c r="K1147">
        <v>3</v>
      </c>
      <c r="L1147">
        <v>4663</v>
      </c>
      <c r="M1147" t="str" cm="1">
        <f t="array" ref="M1147">_xlfn.IFS(L1147&lt;= 7000,"Low",L1147&lt;=15000,"Medium",L1147&lt;=20000,"High")</f>
        <v>Low</v>
      </c>
      <c r="N1147" t="s">
        <v>18</v>
      </c>
      <c r="O1147">
        <v>12</v>
      </c>
      <c r="P1147">
        <v>3</v>
      </c>
      <c r="Q1147">
        <v>2</v>
      </c>
      <c r="R1147">
        <v>7</v>
      </c>
      <c r="S1147">
        <v>3</v>
      </c>
      <c r="T1147">
        <v>3</v>
      </c>
      <c r="U1147">
        <v>2</v>
      </c>
    </row>
    <row r="1148" spans="1:21" x14ac:dyDescent="0.35">
      <c r="A1148">
        <v>34</v>
      </c>
      <c r="B1148" t="str" cm="1">
        <f t="array" ref="B1148">_xlfn.IFS(A1148&gt;40,"Senior",A1148&gt;30,"Adult",A1148&gt;=18,"Teenager")</f>
        <v>Adult</v>
      </c>
      <c r="C1148" t="s">
        <v>22</v>
      </c>
      <c r="D1148">
        <f t="shared" si="17"/>
        <v>0</v>
      </c>
      <c r="E1148" t="s">
        <v>23</v>
      </c>
      <c r="F1148">
        <v>3</v>
      </c>
      <c r="G1148" t="s">
        <v>24</v>
      </c>
      <c r="H1148">
        <v>4</v>
      </c>
      <c r="I1148">
        <v>2</v>
      </c>
      <c r="J1148" t="s">
        <v>27</v>
      </c>
      <c r="K1148">
        <v>4</v>
      </c>
      <c r="L1148">
        <v>4724</v>
      </c>
      <c r="M1148" t="str" cm="1">
        <f t="array" ref="M1148">_xlfn.IFS(L1148&lt;= 7000,"Low",L1148&lt;=15000,"Medium",L1148&lt;=20000,"High")</f>
        <v>Low</v>
      </c>
      <c r="N1148" t="s">
        <v>22</v>
      </c>
      <c r="O1148">
        <v>13</v>
      </c>
      <c r="P1148">
        <v>3</v>
      </c>
      <c r="Q1148">
        <v>1</v>
      </c>
      <c r="R1148">
        <v>9</v>
      </c>
      <c r="S1148">
        <v>3</v>
      </c>
      <c r="T1148">
        <v>9</v>
      </c>
      <c r="U1148">
        <v>7</v>
      </c>
    </row>
    <row r="1149" spans="1:21" x14ac:dyDescent="0.35">
      <c r="A1149">
        <v>49</v>
      </c>
      <c r="B1149" t="str" cm="1">
        <f t="array" ref="B1149">_xlfn.IFS(A1149&gt;40,"Senior",A1149&gt;30,"Adult",A1149&gt;=18,"Teenager")</f>
        <v>Senior</v>
      </c>
      <c r="C1149" t="s">
        <v>22</v>
      </c>
      <c r="D1149">
        <f t="shared" si="17"/>
        <v>0</v>
      </c>
      <c r="E1149" t="s">
        <v>23</v>
      </c>
      <c r="F1149">
        <v>3</v>
      </c>
      <c r="G1149" t="s">
        <v>20</v>
      </c>
      <c r="H1149">
        <v>3</v>
      </c>
      <c r="I1149">
        <v>1</v>
      </c>
      <c r="J1149" t="s">
        <v>26</v>
      </c>
      <c r="K1149">
        <v>1</v>
      </c>
      <c r="L1149">
        <v>3211</v>
      </c>
      <c r="M1149" t="str" cm="1">
        <f t="array" ref="M1149">_xlfn.IFS(L1149&lt;= 7000,"Low",L1149&lt;=15000,"Medium",L1149&lt;=20000,"High")</f>
        <v>Low</v>
      </c>
      <c r="N1149" t="s">
        <v>22</v>
      </c>
      <c r="O1149">
        <v>14</v>
      </c>
      <c r="P1149">
        <v>3</v>
      </c>
      <c r="Q1149">
        <v>4</v>
      </c>
      <c r="R1149">
        <v>10</v>
      </c>
      <c r="S1149">
        <v>2</v>
      </c>
      <c r="T1149">
        <v>9</v>
      </c>
      <c r="U1149">
        <v>6</v>
      </c>
    </row>
    <row r="1150" spans="1:21" x14ac:dyDescent="0.35">
      <c r="A1150">
        <v>39</v>
      </c>
      <c r="B1150" t="str" cm="1">
        <f t="array" ref="B1150">_xlfn.IFS(A1150&gt;40,"Senior",A1150&gt;30,"Adult",A1150&gt;=18,"Teenager")</f>
        <v>Adult</v>
      </c>
      <c r="C1150" t="s">
        <v>22</v>
      </c>
      <c r="D1150">
        <f t="shared" si="17"/>
        <v>0</v>
      </c>
      <c r="E1150" t="s">
        <v>23</v>
      </c>
      <c r="F1150">
        <v>2</v>
      </c>
      <c r="G1150" t="s">
        <v>24</v>
      </c>
      <c r="H1150">
        <v>3</v>
      </c>
      <c r="I1150">
        <v>2</v>
      </c>
      <c r="J1150" t="s">
        <v>27</v>
      </c>
      <c r="K1150">
        <v>1</v>
      </c>
      <c r="L1150">
        <v>5377</v>
      </c>
      <c r="M1150" t="str" cm="1">
        <f t="array" ref="M1150">_xlfn.IFS(L1150&lt;= 7000,"Low",L1150&lt;=15000,"Medium",L1150&lt;=20000,"High")</f>
        <v>Low</v>
      </c>
      <c r="N1150" t="s">
        <v>22</v>
      </c>
      <c r="O1150">
        <v>13</v>
      </c>
      <c r="P1150">
        <v>3</v>
      </c>
      <c r="Q1150">
        <v>4</v>
      </c>
      <c r="R1150">
        <v>10</v>
      </c>
      <c r="S1150">
        <v>3</v>
      </c>
      <c r="T1150">
        <v>7</v>
      </c>
      <c r="U1150">
        <v>7</v>
      </c>
    </row>
    <row r="1151" spans="1:21" x14ac:dyDescent="0.35">
      <c r="A1151">
        <v>27</v>
      </c>
      <c r="B1151" t="str" cm="1">
        <f t="array" ref="B1151">_xlfn.IFS(A1151&gt;40,"Senior",A1151&gt;30,"Adult",A1151&gt;=18,"Teenager")</f>
        <v>Teenager</v>
      </c>
      <c r="C1151" t="s">
        <v>22</v>
      </c>
      <c r="D1151">
        <f t="shared" si="17"/>
        <v>0</v>
      </c>
      <c r="E1151" t="s">
        <v>23</v>
      </c>
      <c r="F1151">
        <v>4</v>
      </c>
      <c r="G1151" t="s">
        <v>24</v>
      </c>
      <c r="H1151">
        <v>2</v>
      </c>
      <c r="I1151">
        <v>1</v>
      </c>
      <c r="J1151" t="s">
        <v>26</v>
      </c>
      <c r="K1151">
        <v>1</v>
      </c>
      <c r="L1151">
        <v>4066</v>
      </c>
      <c r="M1151" t="str" cm="1">
        <f t="array" ref="M1151">_xlfn.IFS(L1151&lt;= 7000,"Low",L1151&lt;=15000,"Medium",L1151&lt;=20000,"High")</f>
        <v>Low</v>
      </c>
      <c r="N1151" t="s">
        <v>22</v>
      </c>
      <c r="O1151">
        <v>11</v>
      </c>
      <c r="P1151">
        <v>3</v>
      </c>
      <c r="Q1151">
        <v>1</v>
      </c>
      <c r="R1151">
        <v>7</v>
      </c>
      <c r="S1151">
        <v>3</v>
      </c>
      <c r="T1151">
        <v>7</v>
      </c>
      <c r="U1151">
        <v>7</v>
      </c>
    </row>
    <row r="1152" spans="1:21" x14ac:dyDescent="0.35">
      <c r="A1152">
        <v>35</v>
      </c>
      <c r="B1152" t="str" cm="1">
        <f t="array" ref="B1152">_xlfn.IFS(A1152&gt;40,"Senior",A1152&gt;30,"Adult",A1152&gt;=18,"Teenager")</f>
        <v>Adult</v>
      </c>
      <c r="C1152" t="s">
        <v>22</v>
      </c>
      <c r="D1152">
        <f t="shared" si="17"/>
        <v>0</v>
      </c>
      <c r="E1152" t="s">
        <v>23</v>
      </c>
      <c r="F1152">
        <v>2</v>
      </c>
      <c r="G1152" t="s">
        <v>24</v>
      </c>
      <c r="H1152">
        <v>4</v>
      </c>
      <c r="I1152">
        <v>2</v>
      </c>
      <c r="J1152" t="s">
        <v>25</v>
      </c>
      <c r="K1152">
        <v>1</v>
      </c>
      <c r="L1152">
        <v>5208</v>
      </c>
      <c r="M1152" t="str" cm="1">
        <f t="array" ref="M1152">_xlfn.IFS(L1152&lt;= 7000,"Low",L1152&lt;=15000,"Medium",L1152&lt;=20000,"High")</f>
        <v>Low</v>
      </c>
      <c r="N1152" t="s">
        <v>22</v>
      </c>
      <c r="O1152">
        <v>11</v>
      </c>
      <c r="P1152">
        <v>3</v>
      </c>
      <c r="Q1152">
        <v>4</v>
      </c>
      <c r="R1152">
        <v>16</v>
      </c>
      <c r="S1152">
        <v>3</v>
      </c>
      <c r="T1152">
        <v>16</v>
      </c>
      <c r="U1152">
        <v>15</v>
      </c>
    </row>
    <row r="1153" spans="1:21" x14ac:dyDescent="0.35">
      <c r="A1153">
        <v>28</v>
      </c>
      <c r="B1153" t="str" cm="1">
        <f t="array" ref="B1153">_xlfn.IFS(A1153&gt;40,"Senior",A1153&gt;30,"Adult",A1153&gt;=18,"Teenager")</f>
        <v>Teenager</v>
      </c>
      <c r="C1153" t="s">
        <v>22</v>
      </c>
      <c r="D1153">
        <f t="shared" si="17"/>
        <v>0</v>
      </c>
      <c r="E1153" t="s">
        <v>23</v>
      </c>
      <c r="F1153">
        <v>2</v>
      </c>
      <c r="G1153" t="s">
        <v>20</v>
      </c>
      <c r="H1153">
        <v>1</v>
      </c>
      <c r="I1153">
        <v>2</v>
      </c>
      <c r="J1153" t="s">
        <v>27</v>
      </c>
      <c r="K1153">
        <v>1</v>
      </c>
      <c r="L1153">
        <v>4877</v>
      </c>
      <c r="M1153" t="str" cm="1">
        <f t="array" ref="M1153">_xlfn.IFS(L1153&lt;= 7000,"Low",L1153&lt;=15000,"Medium",L1153&lt;=20000,"High")</f>
        <v>Low</v>
      </c>
      <c r="N1153" t="s">
        <v>22</v>
      </c>
      <c r="O1153">
        <v>21</v>
      </c>
      <c r="P1153">
        <v>4</v>
      </c>
      <c r="Q1153">
        <v>2</v>
      </c>
      <c r="R1153">
        <v>6</v>
      </c>
      <c r="S1153">
        <v>2</v>
      </c>
      <c r="T1153">
        <v>5</v>
      </c>
      <c r="U1153">
        <v>3</v>
      </c>
    </row>
    <row r="1154" spans="1:21" x14ac:dyDescent="0.35">
      <c r="A1154">
        <v>21</v>
      </c>
      <c r="B1154" t="str" cm="1">
        <f t="array" ref="B1154">_xlfn.IFS(A1154&gt;40,"Senior",A1154&gt;30,"Adult",A1154&gt;=18,"Teenager")</f>
        <v>Teenager</v>
      </c>
      <c r="C1154" t="s">
        <v>22</v>
      </c>
      <c r="D1154">
        <f t="shared" si="17"/>
        <v>0</v>
      </c>
      <c r="E1154" t="s">
        <v>23</v>
      </c>
      <c r="F1154">
        <v>3</v>
      </c>
      <c r="G1154" t="s">
        <v>24</v>
      </c>
      <c r="H1154">
        <v>3</v>
      </c>
      <c r="I1154">
        <v>1</v>
      </c>
      <c r="J1154" t="s">
        <v>25</v>
      </c>
      <c r="K1154">
        <v>4</v>
      </c>
      <c r="L1154">
        <v>3117</v>
      </c>
      <c r="M1154" t="str" cm="1">
        <f t="array" ref="M1154">_xlfn.IFS(L1154&lt;= 7000,"Low",L1154&lt;=15000,"Medium",L1154&lt;=20000,"High")</f>
        <v>Low</v>
      </c>
      <c r="N1154" t="s">
        <v>22</v>
      </c>
      <c r="O1154">
        <v>18</v>
      </c>
      <c r="P1154">
        <v>3</v>
      </c>
      <c r="Q1154">
        <v>3</v>
      </c>
      <c r="R1154">
        <v>3</v>
      </c>
      <c r="S1154">
        <v>3</v>
      </c>
      <c r="T1154">
        <v>2</v>
      </c>
      <c r="U1154">
        <v>2</v>
      </c>
    </row>
    <row r="1155" spans="1:21" x14ac:dyDescent="0.35">
      <c r="A1155">
        <v>18</v>
      </c>
      <c r="B1155" t="str" cm="1">
        <f t="array" ref="B1155">_xlfn.IFS(A1155&gt;40,"Senior",A1155&gt;30,"Adult",A1155&gt;=18,"Teenager")</f>
        <v>Teenager</v>
      </c>
      <c r="C1155" t="s">
        <v>18</v>
      </c>
      <c r="D1155">
        <f t="shared" ref="D1155:D1218" si="18">IF(C1155="Yes",1,0)</f>
        <v>1</v>
      </c>
      <c r="E1155" t="s">
        <v>19</v>
      </c>
      <c r="F1155">
        <v>2</v>
      </c>
      <c r="G1155" t="s">
        <v>20</v>
      </c>
      <c r="H1155">
        <v>3</v>
      </c>
      <c r="I1155">
        <v>1</v>
      </c>
      <c r="J1155" t="s">
        <v>30</v>
      </c>
      <c r="K1155">
        <v>4</v>
      </c>
      <c r="L1155">
        <v>1569</v>
      </c>
      <c r="M1155" t="str" cm="1">
        <f t="array" ref="M1155">_xlfn.IFS(L1155&lt;= 7000,"Low",L1155&lt;=15000,"Medium",L1155&lt;=20000,"High")</f>
        <v>Low</v>
      </c>
      <c r="N1155" t="s">
        <v>18</v>
      </c>
      <c r="O1155">
        <v>12</v>
      </c>
      <c r="P1155">
        <v>3</v>
      </c>
      <c r="Q1155">
        <v>3</v>
      </c>
      <c r="R1155">
        <v>0</v>
      </c>
      <c r="S1155">
        <v>4</v>
      </c>
      <c r="T1155">
        <v>0</v>
      </c>
      <c r="U1155">
        <v>0</v>
      </c>
    </row>
    <row r="1156" spans="1:21" x14ac:dyDescent="0.35">
      <c r="A1156">
        <v>47</v>
      </c>
      <c r="B1156" t="str" cm="1">
        <f t="array" ref="B1156">_xlfn.IFS(A1156&gt;40,"Senior",A1156&gt;30,"Adult",A1156&gt;=18,"Teenager")</f>
        <v>Senior</v>
      </c>
      <c r="C1156" t="s">
        <v>22</v>
      </c>
      <c r="D1156">
        <f t="shared" si="18"/>
        <v>0</v>
      </c>
      <c r="E1156" t="s">
        <v>32</v>
      </c>
      <c r="F1156">
        <v>4</v>
      </c>
      <c r="G1156" t="s">
        <v>20</v>
      </c>
      <c r="H1156">
        <v>3</v>
      </c>
      <c r="I1156">
        <v>5</v>
      </c>
      <c r="J1156" t="s">
        <v>29</v>
      </c>
      <c r="K1156">
        <v>3</v>
      </c>
      <c r="L1156">
        <v>19658</v>
      </c>
      <c r="M1156" t="str" cm="1">
        <f t="array" ref="M1156">_xlfn.IFS(L1156&lt;= 7000,"Low",L1156&lt;=15000,"Medium",L1156&lt;=20000,"High")</f>
        <v>High</v>
      </c>
      <c r="N1156" t="s">
        <v>22</v>
      </c>
      <c r="O1156">
        <v>11</v>
      </c>
      <c r="P1156">
        <v>3</v>
      </c>
      <c r="Q1156">
        <v>3</v>
      </c>
      <c r="R1156">
        <v>27</v>
      </c>
      <c r="S1156">
        <v>3</v>
      </c>
      <c r="T1156">
        <v>5</v>
      </c>
      <c r="U1156">
        <v>2</v>
      </c>
    </row>
    <row r="1157" spans="1:21" x14ac:dyDescent="0.35">
      <c r="A1157">
        <v>39</v>
      </c>
      <c r="B1157" t="str" cm="1">
        <f t="array" ref="B1157">_xlfn.IFS(A1157&gt;40,"Senior",A1157&gt;30,"Adult",A1157&gt;=18,"Teenager")</f>
        <v>Adult</v>
      </c>
      <c r="C1157" t="s">
        <v>22</v>
      </c>
      <c r="D1157">
        <f t="shared" si="18"/>
        <v>0</v>
      </c>
      <c r="E1157" t="s">
        <v>23</v>
      </c>
      <c r="F1157">
        <v>3</v>
      </c>
      <c r="G1157" t="s">
        <v>24</v>
      </c>
      <c r="H1157">
        <v>2</v>
      </c>
      <c r="I1157">
        <v>2</v>
      </c>
      <c r="J1157" t="s">
        <v>26</v>
      </c>
      <c r="K1157">
        <v>3</v>
      </c>
      <c r="L1157">
        <v>3069</v>
      </c>
      <c r="M1157" t="str" cm="1">
        <f t="array" ref="M1157">_xlfn.IFS(L1157&lt;= 7000,"Low",L1157&lt;=15000,"Medium",L1157&lt;=20000,"High")</f>
        <v>Low</v>
      </c>
      <c r="N1157" t="s">
        <v>22</v>
      </c>
      <c r="O1157">
        <v>15</v>
      </c>
      <c r="P1157">
        <v>3</v>
      </c>
      <c r="Q1157">
        <v>4</v>
      </c>
      <c r="R1157">
        <v>11</v>
      </c>
      <c r="S1157">
        <v>3</v>
      </c>
      <c r="T1157">
        <v>10</v>
      </c>
      <c r="U1157">
        <v>8</v>
      </c>
    </row>
    <row r="1158" spans="1:21" x14ac:dyDescent="0.35">
      <c r="A1158">
        <v>40</v>
      </c>
      <c r="B1158" t="str" cm="1">
        <f t="array" ref="B1158">_xlfn.IFS(A1158&gt;40,"Senior",A1158&gt;30,"Adult",A1158&gt;=18,"Teenager")</f>
        <v>Adult</v>
      </c>
      <c r="C1158" t="s">
        <v>22</v>
      </c>
      <c r="D1158">
        <f t="shared" si="18"/>
        <v>0</v>
      </c>
      <c r="E1158" t="s">
        <v>23</v>
      </c>
      <c r="F1158">
        <v>1</v>
      </c>
      <c r="G1158" t="s">
        <v>20</v>
      </c>
      <c r="H1158">
        <v>2</v>
      </c>
      <c r="I1158">
        <v>3</v>
      </c>
      <c r="J1158" t="s">
        <v>27</v>
      </c>
      <c r="K1158">
        <v>3</v>
      </c>
      <c r="L1158">
        <v>10435</v>
      </c>
      <c r="M1158" t="str" cm="1">
        <f t="array" ref="M1158">_xlfn.IFS(L1158&lt;= 7000,"Low",L1158&lt;=15000,"Medium",L1158&lt;=20000,"High")</f>
        <v>Medium</v>
      </c>
      <c r="N1158" t="s">
        <v>22</v>
      </c>
      <c r="O1158">
        <v>13</v>
      </c>
      <c r="P1158">
        <v>3</v>
      </c>
      <c r="Q1158">
        <v>4</v>
      </c>
      <c r="R1158">
        <v>18</v>
      </c>
      <c r="S1158">
        <v>3</v>
      </c>
      <c r="T1158">
        <v>18</v>
      </c>
      <c r="U1158">
        <v>15</v>
      </c>
    </row>
    <row r="1159" spans="1:21" x14ac:dyDescent="0.35">
      <c r="A1159">
        <v>35</v>
      </c>
      <c r="B1159" t="str" cm="1">
        <f t="array" ref="B1159">_xlfn.IFS(A1159&gt;40,"Senior",A1159&gt;30,"Adult",A1159&gt;=18,"Teenager")</f>
        <v>Adult</v>
      </c>
      <c r="C1159" t="s">
        <v>22</v>
      </c>
      <c r="D1159">
        <f t="shared" si="18"/>
        <v>0</v>
      </c>
      <c r="E1159" t="s">
        <v>23</v>
      </c>
      <c r="F1159">
        <v>3</v>
      </c>
      <c r="G1159" t="s">
        <v>20</v>
      </c>
      <c r="H1159">
        <v>3</v>
      </c>
      <c r="I1159">
        <v>2</v>
      </c>
      <c r="J1159" t="s">
        <v>28</v>
      </c>
      <c r="K1159">
        <v>3</v>
      </c>
      <c r="L1159">
        <v>4148</v>
      </c>
      <c r="M1159" t="str" cm="1">
        <f t="array" ref="M1159">_xlfn.IFS(L1159&lt;= 7000,"Low",L1159&lt;=15000,"Medium",L1159&lt;=20000,"High")</f>
        <v>Low</v>
      </c>
      <c r="N1159" t="s">
        <v>22</v>
      </c>
      <c r="O1159">
        <v>12</v>
      </c>
      <c r="P1159">
        <v>3</v>
      </c>
      <c r="Q1159">
        <v>4</v>
      </c>
      <c r="R1159">
        <v>15</v>
      </c>
      <c r="S1159">
        <v>3</v>
      </c>
      <c r="T1159">
        <v>14</v>
      </c>
      <c r="U1159">
        <v>11</v>
      </c>
    </row>
    <row r="1160" spans="1:21" x14ac:dyDescent="0.35">
      <c r="A1160">
        <v>37</v>
      </c>
      <c r="B1160" t="str" cm="1">
        <f t="array" ref="B1160">_xlfn.IFS(A1160&gt;40,"Senior",A1160&gt;30,"Adult",A1160&gt;=18,"Teenager")</f>
        <v>Adult</v>
      </c>
      <c r="C1160" t="s">
        <v>22</v>
      </c>
      <c r="D1160">
        <f t="shared" si="18"/>
        <v>0</v>
      </c>
      <c r="E1160" t="s">
        <v>23</v>
      </c>
      <c r="F1160">
        <v>3</v>
      </c>
      <c r="G1160" t="s">
        <v>24</v>
      </c>
      <c r="H1160">
        <v>3</v>
      </c>
      <c r="I1160">
        <v>2</v>
      </c>
      <c r="J1160" t="s">
        <v>27</v>
      </c>
      <c r="K1160">
        <v>3</v>
      </c>
      <c r="L1160">
        <v>5768</v>
      </c>
      <c r="M1160" t="str" cm="1">
        <f t="array" ref="M1160">_xlfn.IFS(L1160&lt;= 7000,"Low",L1160&lt;=15000,"Medium",L1160&lt;=20000,"High")</f>
        <v>Low</v>
      </c>
      <c r="N1160" t="s">
        <v>22</v>
      </c>
      <c r="O1160">
        <v>17</v>
      </c>
      <c r="P1160">
        <v>3</v>
      </c>
      <c r="Q1160">
        <v>1</v>
      </c>
      <c r="R1160">
        <v>9</v>
      </c>
      <c r="S1160">
        <v>2</v>
      </c>
      <c r="T1160">
        <v>4</v>
      </c>
      <c r="U1160">
        <v>3</v>
      </c>
    </row>
    <row r="1161" spans="1:21" x14ac:dyDescent="0.35">
      <c r="A1161">
        <v>39</v>
      </c>
      <c r="B1161" t="str" cm="1">
        <f t="array" ref="B1161">_xlfn.IFS(A1161&gt;40,"Senior",A1161&gt;30,"Adult",A1161&gt;=18,"Teenager")</f>
        <v>Adult</v>
      </c>
      <c r="C1161" t="s">
        <v>22</v>
      </c>
      <c r="D1161">
        <f t="shared" si="18"/>
        <v>0</v>
      </c>
      <c r="E1161" t="s">
        <v>23</v>
      </c>
      <c r="F1161">
        <v>1</v>
      </c>
      <c r="G1161" t="s">
        <v>20</v>
      </c>
      <c r="H1161">
        <v>3</v>
      </c>
      <c r="I1161">
        <v>2</v>
      </c>
      <c r="J1161" t="s">
        <v>27</v>
      </c>
      <c r="K1161">
        <v>3</v>
      </c>
      <c r="L1161">
        <v>5042</v>
      </c>
      <c r="M1161" t="str" cm="1">
        <f t="array" ref="M1161">_xlfn.IFS(L1161&lt;= 7000,"Low",L1161&lt;=15000,"Medium",L1161&lt;=20000,"High")</f>
        <v>Low</v>
      </c>
      <c r="N1161" t="s">
        <v>22</v>
      </c>
      <c r="O1161">
        <v>13</v>
      </c>
      <c r="P1161">
        <v>3</v>
      </c>
      <c r="Q1161">
        <v>4</v>
      </c>
      <c r="R1161">
        <v>10</v>
      </c>
      <c r="S1161">
        <v>1</v>
      </c>
      <c r="T1161">
        <v>9</v>
      </c>
      <c r="U1161">
        <v>2</v>
      </c>
    </row>
    <row r="1162" spans="1:21" x14ac:dyDescent="0.35">
      <c r="A1162">
        <v>45</v>
      </c>
      <c r="B1162" t="str" cm="1">
        <f t="array" ref="B1162">_xlfn.IFS(A1162&gt;40,"Senior",A1162&gt;30,"Adult",A1162&gt;=18,"Teenager")</f>
        <v>Senior</v>
      </c>
      <c r="C1162" t="s">
        <v>22</v>
      </c>
      <c r="D1162">
        <f t="shared" si="18"/>
        <v>0</v>
      </c>
      <c r="E1162" t="s">
        <v>23</v>
      </c>
      <c r="F1162">
        <v>4</v>
      </c>
      <c r="G1162" t="s">
        <v>20</v>
      </c>
      <c r="H1162">
        <v>2</v>
      </c>
      <c r="I1162">
        <v>2</v>
      </c>
      <c r="J1162" t="s">
        <v>27</v>
      </c>
      <c r="K1162">
        <v>4</v>
      </c>
      <c r="L1162">
        <v>5770</v>
      </c>
      <c r="M1162" t="str" cm="1">
        <f t="array" ref="M1162">_xlfn.IFS(L1162&lt;= 7000,"Low",L1162&lt;=15000,"Medium",L1162&lt;=20000,"High")</f>
        <v>Low</v>
      </c>
      <c r="N1162" t="s">
        <v>22</v>
      </c>
      <c r="O1162">
        <v>19</v>
      </c>
      <c r="P1162">
        <v>3</v>
      </c>
      <c r="Q1162">
        <v>1</v>
      </c>
      <c r="R1162">
        <v>10</v>
      </c>
      <c r="S1162">
        <v>3</v>
      </c>
      <c r="T1162">
        <v>10</v>
      </c>
      <c r="U1162">
        <v>7</v>
      </c>
    </row>
    <row r="1163" spans="1:21" x14ac:dyDescent="0.35">
      <c r="A1163">
        <v>38</v>
      </c>
      <c r="B1163" t="str" cm="1">
        <f t="array" ref="B1163">_xlfn.IFS(A1163&gt;40,"Senior",A1163&gt;30,"Adult",A1163&gt;=18,"Teenager")</f>
        <v>Adult</v>
      </c>
      <c r="C1163" t="s">
        <v>22</v>
      </c>
      <c r="D1163">
        <f t="shared" si="18"/>
        <v>0</v>
      </c>
      <c r="E1163" t="s">
        <v>23</v>
      </c>
      <c r="F1163">
        <v>4</v>
      </c>
      <c r="G1163" t="s">
        <v>20</v>
      </c>
      <c r="H1163">
        <v>2</v>
      </c>
      <c r="I1163">
        <v>3</v>
      </c>
      <c r="J1163" t="s">
        <v>27</v>
      </c>
      <c r="K1163">
        <v>3</v>
      </c>
      <c r="L1163">
        <v>7756</v>
      </c>
      <c r="M1163" t="str" cm="1">
        <f t="array" ref="M1163">_xlfn.IFS(L1163&lt;= 7000,"Low",L1163&lt;=15000,"Medium",L1163&lt;=20000,"High")</f>
        <v>Medium</v>
      </c>
      <c r="N1163" t="s">
        <v>18</v>
      </c>
      <c r="O1163">
        <v>19</v>
      </c>
      <c r="P1163">
        <v>3</v>
      </c>
      <c r="Q1163">
        <v>4</v>
      </c>
      <c r="R1163">
        <v>10</v>
      </c>
      <c r="S1163">
        <v>4</v>
      </c>
      <c r="T1163">
        <v>5</v>
      </c>
      <c r="U1163">
        <v>4</v>
      </c>
    </row>
    <row r="1164" spans="1:21" x14ac:dyDescent="0.35">
      <c r="A1164">
        <v>35</v>
      </c>
      <c r="B1164" t="str" cm="1">
        <f t="array" ref="B1164">_xlfn.IFS(A1164&gt;40,"Senior",A1164&gt;30,"Adult",A1164&gt;=18,"Teenager")</f>
        <v>Adult</v>
      </c>
      <c r="C1164" t="s">
        <v>18</v>
      </c>
      <c r="D1164">
        <f t="shared" si="18"/>
        <v>1</v>
      </c>
      <c r="E1164" t="s">
        <v>19</v>
      </c>
      <c r="F1164">
        <v>4</v>
      </c>
      <c r="G1164" t="s">
        <v>24</v>
      </c>
      <c r="H1164">
        <v>2</v>
      </c>
      <c r="I1164">
        <v>3</v>
      </c>
      <c r="J1164" t="s">
        <v>21</v>
      </c>
      <c r="K1164">
        <v>1</v>
      </c>
      <c r="L1164">
        <v>10306</v>
      </c>
      <c r="M1164" t="str" cm="1">
        <f t="array" ref="M1164">_xlfn.IFS(L1164&lt;= 7000,"Low",L1164&lt;=15000,"Medium",L1164&lt;=20000,"High")</f>
        <v>Medium</v>
      </c>
      <c r="N1164" t="s">
        <v>22</v>
      </c>
      <c r="O1164">
        <v>17</v>
      </c>
      <c r="P1164">
        <v>3</v>
      </c>
      <c r="Q1164">
        <v>3</v>
      </c>
      <c r="R1164">
        <v>15</v>
      </c>
      <c r="S1164">
        <v>3</v>
      </c>
      <c r="T1164">
        <v>13</v>
      </c>
      <c r="U1164">
        <v>12</v>
      </c>
    </row>
    <row r="1165" spans="1:21" x14ac:dyDescent="0.35">
      <c r="A1165">
        <v>37</v>
      </c>
      <c r="B1165" t="str" cm="1">
        <f t="array" ref="B1165">_xlfn.IFS(A1165&gt;40,"Senior",A1165&gt;30,"Adult",A1165&gt;=18,"Teenager")</f>
        <v>Adult</v>
      </c>
      <c r="C1165" t="s">
        <v>22</v>
      </c>
      <c r="D1165">
        <f t="shared" si="18"/>
        <v>0</v>
      </c>
      <c r="E1165" t="s">
        <v>23</v>
      </c>
      <c r="F1165">
        <v>2</v>
      </c>
      <c r="G1165" t="s">
        <v>20</v>
      </c>
      <c r="H1165">
        <v>3</v>
      </c>
      <c r="I1165">
        <v>1</v>
      </c>
      <c r="J1165" t="s">
        <v>25</v>
      </c>
      <c r="K1165">
        <v>2</v>
      </c>
      <c r="L1165">
        <v>3936</v>
      </c>
      <c r="M1165" t="str" cm="1">
        <f t="array" ref="M1165">_xlfn.IFS(L1165&lt;= 7000,"Low",L1165&lt;=15000,"Medium",L1165&lt;=20000,"High")</f>
        <v>Low</v>
      </c>
      <c r="N1165" t="s">
        <v>22</v>
      </c>
      <c r="O1165">
        <v>11</v>
      </c>
      <c r="P1165">
        <v>3</v>
      </c>
      <c r="Q1165">
        <v>1</v>
      </c>
      <c r="R1165">
        <v>8</v>
      </c>
      <c r="S1165">
        <v>1</v>
      </c>
      <c r="T1165">
        <v>8</v>
      </c>
      <c r="U1165">
        <v>4</v>
      </c>
    </row>
    <row r="1166" spans="1:21" x14ac:dyDescent="0.35">
      <c r="A1166">
        <v>40</v>
      </c>
      <c r="B1166" t="str" cm="1">
        <f t="array" ref="B1166">_xlfn.IFS(A1166&gt;40,"Senior",A1166&gt;30,"Adult",A1166&gt;=18,"Teenager")</f>
        <v>Adult</v>
      </c>
      <c r="C1166" t="s">
        <v>22</v>
      </c>
      <c r="D1166">
        <f t="shared" si="18"/>
        <v>0</v>
      </c>
      <c r="E1166" t="s">
        <v>23</v>
      </c>
      <c r="F1166">
        <v>3</v>
      </c>
      <c r="G1166" t="s">
        <v>20</v>
      </c>
      <c r="H1166">
        <v>3</v>
      </c>
      <c r="I1166">
        <v>3</v>
      </c>
      <c r="J1166" t="s">
        <v>27</v>
      </c>
      <c r="K1166">
        <v>4</v>
      </c>
      <c r="L1166">
        <v>7945</v>
      </c>
      <c r="M1166" t="str" cm="1">
        <f t="array" ref="M1166">_xlfn.IFS(L1166&lt;= 7000,"Low",L1166&lt;=15000,"Medium",L1166&lt;=20000,"High")</f>
        <v>Medium</v>
      </c>
      <c r="N1166" t="s">
        <v>18</v>
      </c>
      <c r="O1166">
        <v>15</v>
      </c>
      <c r="P1166">
        <v>3</v>
      </c>
      <c r="Q1166">
        <v>4</v>
      </c>
      <c r="R1166">
        <v>18</v>
      </c>
      <c r="S1166">
        <v>2</v>
      </c>
      <c r="T1166">
        <v>4</v>
      </c>
      <c r="U1166">
        <v>2</v>
      </c>
    </row>
    <row r="1167" spans="1:21" x14ac:dyDescent="0.35">
      <c r="A1167">
        <v>44</v>
      </c>
      <c r="B1167" t="str" cm="1">
        <f t="array" ref="B1167">_xlfn.IFS(A1167&gt;40,"Senior",A1167&gt;30,"Adult",A1167&gt;=18,"Teenager")</f>
        <v>Senior</v>
      </c>
      <c r="C1167" t="s">
        <v>22</v>
      </c>
      <c r="D1167">
        <f t="shared" si="18"/>
        <v>0</v>
      </c>
      <c r="E1167" t="s">
        <v>32</v>
      </c>
      <c r="F1167">
        <v>1</v>
      </c>
      <c r="G1167" t="s">
        <v>24</v>
      </c>
      <c r="H1167">
        <v>3</v>
      </c>
      <c r="I1167">
        <v>2</v>
      </c>
      <c r="J1167" t="s">
        <v>32</v>
      </c>
      <c r="K1167">
        <v>4</v>
      </c>
      <c r="L1167">
        <v>5743</v>
      </c>
      <c r="M1167" t="str" cm="1">
        <f t="array" ref="M1167">_xlfn.IFS(L1167&lt;= 7000,"Low",L1167&lt;=15000,"Medium",L1167&lt;=20000,"High")</f>
        <v>Low</v>
      </c>
      <c r="N1167" t="s">
        <v>18</v>
      </c>
      <c r="O1167">
        <v>11</v>
      </c>
      <c r="P1167">
        <v>3</v>
      </c>
      <c r="Q1167">
        <v>3</v>
      </c>
      <c r="R1167">
        <v>14</v>
      </c>
      <c r="S1167">
        <v>3</v>
      </c>
      <c r="T1167">
        <v>10</v>
      </c>
      <c r="U1167">
        <v>7</v>
      </c>
    </row>
    <row r="1168" spans="1:21" x14ac:dyDescent="0.35">
      <c r="A1168">
        <v>48</v>
      </c>
      <c r="B1168" t="str" cm="1">
        <f t="array" ref="B1168">_xlfn.IFS(A1168&gt;40,"Senior",A1168&gt;30,"Adult",A1168&gt;=18,"Teenager")</f>
        <v>Senior</v>
      </c>
      <c r="C1168" t="s">
        <v>22</v>
      </c>
      <c r="D1168">
        <f t="shared" si="18"/>
        <v>0</v>
      </c>
      <c r="E1168" t="s">
        <v>23</v>
      </c>
      <c r="F1168">
        <v>3</v>
      </c>
      <c r="G1168" t="s">
        <v>24</v>
      </c>
      <c r="H1168">
        <v>2</v>
      </c>
      <c r="I1168">
        <v>4</v>
      </c>
      <c r="J1168" t="s">
        <v>29</v>
      </c>
      <c r="K1168">
        <v>4</v>
      </c>
      <c r="L1168">
        <v>15202</v>
      </c>
      <c r="M1168" t="str" cm="1">
        <f t="array" ref="M1168">_xlfn.IFS(L1168&lt;= 7000,"Low",L1168&lt;=15000,"Medium",L1168&lt;=20000,"High")</f>
        <v>High</v>
      </c>
      <c r="N1168" t="s">
        <v>22</v>
      </c>
      <c r="O1168">
        <v>25</v>
      </c>
      <c r="P1168">
        <v>4</v>
      </c>
      <c r="Q1168">
        <v>2</v>
      </c>
      <c r="R1168">
        <v>23</v>
      </c>
      <c r="S1168">
        <v>3</v>
      </c>
      <c r="T1168">
        <v>2</v>
      </c>
      <c r="U1168">
        <v>2</v>
      </c>
    </row>
    <row r="1169" spans="1:21" x14ac:dyDescent="0.35">
      <c r="A1169">
        <v>35</v>
      </c>
      <c r="B1169" t="str" cm="1">
        <f t="array" ref="B1169">_xlfn.IFS(A1169&gt;40,"Senior",A1169&gt;30,"Adult",A1169&gt;=18,"Teenager")</f>
        <v>Adult</v>
      </c>
      <c r="C1169" t="s">
        <v>18</v>
      </c>
      <c r="D1169">
        <f t="shared" si="18"/>
        <v>1</v>
      </c>
      <c r="E1169" t="s">
        <v>19</v>
      </c>
      <c r="F1169">
        <v>1</v>
      </c>
      <c r="G1169" t="s">
        <v>24</v>
      </c>
      <c r="H1169">
        <v>1</v>
      </c>
      <c r="I1169">
        <v>2</v>
      </c>
      <c r="J1169" t="s">
        <v>21</v>
      </c>
      <c r="K1169">
        <v>4</v>
      </c>
      <c r="L1169">
        <v>5440</v>
      </c>
      <c r="M1169" t="str" cm="1">
        <f t="array" ref="M1169">_xlfn.IFS(L1169&lt;= 7000,"Low",L1169&lt;=15000,"Medium",L1169&lt;=20000,"High")</f>
        <v>Low</v>
      </c>
      <c r="N1169" t="s">
        <v>18</v>
      </c>
      <c r="O1169">
        <v>14</v>
      </c>
      <c r="P1169">
        <v>3</v>
      </c>
      <c r="Q1169">
        <v>4</v>
      </c>
      <c r="R1169">
        <v>7</v>
      </c>
      <c r="S1169">
        <v>2</v>
      </c>
      <c r="T1169">
        <v>2</v>
      </c>
      <c r="U1169">
        <v>2</v>
      </c>
    </row>
    <row r="1170" spans="1:21" x14ac:dyDescent="0.35">
      <c r="A1170">
        <v>24</v>
      </c>
      <c r="B1170" t="str" cm="1">
        <f t="array" ref="B1170">_xlfn.IFS(A1170&gt;40,"Senior",A1170&gt;30,"Adult",A1170&gt;=18,"Teenager")</f>
        <v>Teenager</v>
      </c>
      <c r="C1170" t="s">
        <v>22</v>
      </c>
      <c r="D1170">
        <f t="shared" si="18"/>
        <v>0</v>
      </c>
      <c r="E1170" t="s">
        <v>23</v>
      </c>
      <c r="F1170">
        <v>1</v>
      </c>
      <c r="G1170" t="s">
        <v>20</v>
      </c>
      <c r="H1170">
        <v>3</v>
      </c>
      <c r="I1170">
        <v>1</v>
      </c>
      <c r="J1170" t="s">
        <v>25</v>
      </c>
      <c r="K1170">
        <v>4</v>
      </c>
      <c r="L1170">
        <v>3760</v>
      </c>
      <c r="M1170" t="str" cm="1">
        <f t="array" ref="M1170">_xlfn.IFS(L1170&lt;= 7000,"Low",L1170&lt;=15000,"Medium",L1170&lt;=20000,"High")</f>
        <v>Low</v>
      </c>
      <c r="N1170" t="s">
        <v>18</v>
      </c>
      <c r="O1170">
        <v>13</v>
      </c>
      <c r="P1170">
        <v>3</v>
      </c>
      <c r="Q1170">
        <v>3</v>
      </c>
      <c r="R1170">
        <v>6</v>
      </c>
      <c r="S1170">
        <v>3</v>
      </c>
      <c r="T1170">
        <v>6</v>
      </c>
      <c r="U1170">
        <v>3</v>
      </c>
    </row>
    <row r="1171" spans="1:21" x14ac:dyDescent="0.35">
      <c r="A1171">
        <v>27</v>
      </c>
      <c r="B1171" t="str" cm="1">
        <f t="array" ref="B1171">_xlfn.IFS(A1171&gt;40,"Senior",A1171&gt;30,"Adult",A1171&gt;=18,"Teenager")</f>
        <v>Teenager</v>
      </c>
      <c r="C1171" t="s">
        <v>22</v>
      </c>
      <c r="D1171">
        <f t="shared" si="18"/>
        <v>0</v>
      </c>
      <c r="E1171" t="s">
        <v>23</v>
      </c>
      <c r="F1171">
        <v>2</v>
      </c>
      <c r="G1171" t="s">
        <v>20</v>
      </c>
      <c r="H1171">
        <v>4</v>
      </c>
      <c r="I1171">
        <v>1</v>
      </c>
      <c r="J1171" t="s">
        <v>25</v>
      </c>
      <c r="K1171">
        <v>3</v>
      </c>
      <c r="L1171">
        <v>3517</v>
      </c>
      <c r="M1171" t="str" cm="1">
        <f t="array" ref="M1171">_xlfn.IFS(L1171&lt;= 7000,"Low",L1171&lt;=15000,"Medium",L1171&lt;=20000,"High")</f>
        <v>Low</v>
      </c>
      <c r="N1171" t="s">
        <v>22</v>
      </c>
      <c r="O1171">
        <v>17</v>
      </c>
      <c r="P1171">
        <v>3</v>
      </c>
      <c r="Q1171">
        <v>1</v>
      </c>
      <c r="R1171">
        <v>5</v>
      </c>
      <c r="S1171">
        <v>3</v>
      </c>
      <c r="T1171">
        <v>3</v>
      </c>
      <c r="U1171">
        <v>2</v>
      </c>
    </row>
    <row r="1172" spans="1:21" x14ac:dyDescent="0.35">
      <c r="A1172">
        <v>27</v>
      </c>
      <c r="B1172" t="str" cm="1">
        <f t="array" ref="B1172">_xlfn.IFS(A1172&gt;40,"Senior",A1172&gt;30,"Adult",A1172&gt;=18,"Teenager")</f>
        <v>Teenager</v>
      </c>
      <c r="C1172" t="s">
        <v>22</v>
      </c>
      <c r="D1172">
        <f t="shared" si="18"/>
        <v>0</v>
      </c>
      <c r="E1172" t="s">
        <v>23</v>
      </c>
      <c r="F1172">
        <v>4</v>
      </c>
      <c r="G1172" t="s">
        <v>24</v>
      </c>
      <c r="H1172">
        <v>3</v>
      </c>
      <c r="I1172">
        <v>1</v>
      </c>
      <c r="J1172" t="s">
        <v>25</v>
      </c>
      <c r="K1172">
        <v>4</v>
      </c>
      <c r="L1172">
        <v>2580</v>
      </c>
      <c r="M1172" t="str" cm="1">
        <f t="array" ref="M1172">_xlfn.IFS(L1172&lt;= 7000,"Low",L1172&lt;=15000,"Medium",L1172&lt;=20000,"High")</f>
        <v>Low</v>
      </c>
      <c r="N1172" t="s">
        <v>22</v>
      </c>
      <c r="O1172">
        <v>13</v>
      </c>
      <c r="P1172">
        <v>3</v>
      </c>
      <c r="Q1172">
        <v>3</v>
      </c>
      <c r="R1172">
        <v>6</v>
      </c>
      <c r="S1172">
        <v>2</v>
      </c>
      <c r="T1172">
        <v>4</v>
      </c>
      <c r="U1172">
        <v>2</v>
      </c>
    </row>
    <row r="1173" spans="1:21" x14ac:dyDescent="0.35">
      <c r="A1173">
        <v>40</v>
      </c>
      <c r="B1173" t="str" cm="1">
        <f t="array" ref="B1173">_xlfn.IFS(A1173&gt;40,"Senior",A1173&gt;30,"Adult",A1173&gt;=18,"Teenager")</f>
        <v>Adult</v>
      </c>
      <c r="C1173" t="s">
        <v>18</v>
      </c>
      <c r="D1173">
        <f t="shared" si="18"/>
        <v>1</v>
      </c>
      <c r="E1173" t="s">
        <v>23</v>
      </c>
      <c r="F1173">
        <v>1</v>
      </c>
      <c r="G1173" t="s">
        <v>24</v>
      </c>
      <c r="H1173">
        <v>3</v>
      </c>
      <c r="I1173">
        <v>1</v>
      </c>
      <c r="J1173" t="s">
        <v>26</v>
      </c>
      <c r="K1173">
        <v>1</v>
      </c>
      <c r="L1173">
        <v>2166</v>
      </c>
      <c r="M1173" t="str" cm="1">
        <f t="array" ref="M1173">_xlfn.IFS(L1173&lt;= 7000,"Low",L1173&lt;=15000,"Medium",L1173&lt;=20000,"High")</f>
        <v>Low</v>
      </c>
      <c r="N1173" t="s">
        <v>18</v>
      </c>
      <c r="O1173">
        <v>14</v>
      </c>
      <c r="P1173">
        <v>3</v>
      </c>
      <c r="Q1173">
        <v>2</v>
      </c>
      <c r="R1173">
        <v>10</v>
      </c>
      <c r="S1173">
        <v>1</v>
      </c>
      <c r="T1173">
        <v>4</v>
      </c>
      <c r="U1173">
        <v>2</v>
      </c>
    </row>
    <row r="1174" spans="1:21" x14ac:dyDescent="0.35">
      <c r="A1174">
        <v>29</v>
      </c>
      <c r="B1174" t="str" cm="1">
        <f t="array" ref="B1174">_xlfn.IFS(A1174&gt;40,"Senior",A1174&gt;30,"Adult",A1174&gt;=18,"Teenager")</f>
        <v>Teenager</v>
      </c>
      <c r="C1174" t="s">
        <v>22</v>
      </c>
      <c r="D1174">
        <f t="shared" si="18"/>
        <v>0</v>
      </c>
      <c r="E1174" t="s">
        <v>19</v>
      </c>
      <c r="F1174">
        <v>3</v>
      </c>
      <c r="G1174" t="s">
        <v>24</v>
      </c>
      <c r="H1174">
        <v>2</v>
      </c>
      <c r="I1174">
        <v>2</v>
      </c>
      <c r="J1174" t="s">
        <v>21</v>
      </c>
      <c r="K1174">
        <v>3</v>
      </c>
      <c r="L1174">
        <v>5869</v>
      </c>
      <c r="M1174" t="str" cm="1">
        <f t="array" ref="M1174">_xlfn.IFS(L1174&lt;= 7000,"Low",L1174&lt;=15000,"Medium",L1174&lt;=20000,"High")</f>
        <v>Low</v>
      </c>
      <c r="N1174" t="s">
        <v>22</v>
      </c>
      <c r="O1174">
        <v>11</v>
      </c>
      <c r="P1174">
        <v>3</v>
      </c>
      <c r="Q1174">
        <v>3</v>
      </c>
      <c r="R1174">
        <v>8</v>
      </c>
      <c r="S1174">
        <v>3</v>
      </c>
      <c r="T1174">
        <v>5</v>
      </c>
      <c r="U1174">
        <v>2</v>
      </c>
    </row>
    <row r="1175" spans="1:21" x14ac:dyDescent="0.35">
      <c r="A1175">
        <v>36</v>
      </c>
      <c r="B1175" t="str" cm="1">
        <f t="array" ref="B1175">_xlfn.IFS(A1175&gt;40,"Senior",A1175&gt;30,"Adult",A1175&gt;=18,"Teenager")</f>
        <v>Adult</v>
      </c>
      <c r="C1175" t="s">
        <v>22</v>
      </c>
      <c r="D1175">
        <f t="shared" si="18"/>
        <v>0</v>
      </c>
      <c r="E1175" t="s">
        <v>23</v>
      </c>
      <c r="F1175">
        <v>2</v>
      </c>
      <c r="G1175" t="s">
        <v>20</v>
      </c>
      <c r="H1175">
        <v>3</v>
      </c>
      <c r="I1175">
        <v>3</v>
      </c>
      <c r="J1175" t="s">
        <v>28</v>
      </c>
      <c r="K1175">
        <v>1</v>
      </c>
      <c r="L1175">
        <v>8008</v>
      </c>
      <c r="M1175" t="str" cm="1">
        <f t="array" ref="M1175">_xlfn.IFS(L1175&lt;= 7000,"Low",L1175&lt;=15000,"Medium",L1175&lt;=20000,"High")</f>
        <v>Medium</v>
      </c>
      <c r="N1175" t="s">
        <v>22</v>
      </c>
      <c r="O1175">
        <v>12</v>
      </c>
      <c r="P1175">
        <v>3</v>
      </c>
      <c r="Q1175">
        <v>3</v>
      </c>
      <c r="R1175">
        <v>9</v>
      </c>
      <c r="S1175">
        <v>3</v>
      </c>
      <c r="T1175">
        <v>3</v>
      </c>
      <c r="U1175">
        <v>2</v>
      </c>
    </row>
    <row r="1176" spans="1:21" x14ac:dyDescent="0.35">
      <c r="A1176">
        <v>25</v>
      </c>
      <c r="B1176" t="str" cm="1">
        <f t="array" ref="B1176">_xlfn.IFS(A1176&gt;40,"Senior",A1176&gt;30,"Adult",A1176&gt;=18,"Teenager")</f>
        <v>Teenager</v>
      </c>
      <c r="C1176" t="s">
        <v>22</v>
      </c>
      <c r="D1176">
        <f t="shared" si="18"/>
        <v>0</v>
      </c>
      <c r="E1176" t="s">
        <v>23</v>
      </c>
      <c r="F1176">
        <v>4</v>
      </c>
      <c r="G1176" t="s">
        <v>24</v>
      </c>
      <c r="H1176">
        <v>4</v>
      </c>
      <c r="I1176">
        <v>2</v>
      </c>
      <c r="J1176" t="s">
        <v>27</v>
      </c>
      <c r="K1176">
        <v>3</v>
      </c>
      <c r="L1176">
        <v>5206</v>
      </c>
      <c r="M1176" t="str" cm="1">
        <f t="array" ref="M1176">_xlfn.IFS(L1176&lt;= 7000,"Low",L1176&lt;=15000,"Medium",L1176&lt;=20000,"High")</f>
        <v>Low</v>
      </c>
      <c r="N1176" t="s">
        <v>22</v>
      </c>
      <c r="O1176">
        <v>17</v>
      </c>
      <c r="P1176">
        <v>3</v>
      </c>
      <c r="Q1176">
        <v>3</v>
      </c>
      <c r="R1176">
        <v>7</v>
      </c>
      <c r="S1176">
        <v>3</v>
      </c>
      <c r="T1176">
        <v>7</v>
      </c>
      <c r="U1176">
        <v>7</v>
      </c>
    </row>
    <row r="1177" spans="1:21" x14ac:dyDescent="0.35">
      <c r="A1177">
        <v>39</v>
      </c>
      <c r="B1177" t="str" cm="1">
        <f t="array" ref="B1177">_xlfn.IFS(A1177&gt;40,"Senior",A1177&gt;30,"Adult",A1177&gt;=18,"Teenager")</f>
        <v>Adult</v>
      </c>
      <c r="C1177" t="s">
        <v>22</v>
      </c>
      <c r="D1177">
        <f t="shared" si="18"/>
        <v>0</v>
      </c>
      <c r="E1177" t="s">
        <v>23</v>
      </c>
      <c r="F1177">
        <v>4</v>
      </c>
      <c r="G1177" t="s">
        <v>24</v>
      </c>
      <c r="H1177">
        <v>3</v>
      </c>
      <c r="I1177">
        <v>2</v>
      </c>
      <c r="J1177" t="s">
        <v>27</v>
      </c>
      <c r="K1177">
        <v>2</v>
      </c>
      <c r="L1177">
        <v>5295</v>
      </c>
      <c r="M1177" t="str" cm="1">
        <f t="array" ref="M1177">_xlfn.IFS(L1177&lt;= 7000,"Low",L1177&lt;=15000,"Medium",L1177&lt;=20000,"High")</f>
        <v>Low</v>
      </c>
      <c r="N1177" t="s">
        <v>22</v>
      </c>
      <c r="O1177">
        <v>21</v>
      </c>
      <c r="P1177">
        <v>4</v>
      </c>
      <c r="Q1177">
        <v>3</v>
      </c>
      <c r="R1177">
        <v>7</v>
      </c>
      <c r="S1177">
        <v>3</v>
      </c>
      <c r="T1177">
        <v>5</v>
      </c>
      <c r="U1177">
        <v>4</v>
      </c>
    </row>
    <row r="1178" spans="1:21" x14ac:dyDescent="0.35">
      <c r="A1178">
        <v>49</v>
      </c>
      <c r="B1178" t="str" cm="1">
        <f t="array" ref="B1178">_xlfn.IFS(A1178&gt;40,"Senior",A1178&gt;30,"Adult",A1178&gt;=18,"Teenager")</f>
        <v>Senior</v>
      </c>
      <c r="C1178" t="s">
        <v>22</v>
      </c>
      <c r="D1178">
        <f t="shared" si="18"/>
        <v>0</v>
      </c>
      <c r="E1178" t="s">
        <v>23</v>
      </c>
      <c r="F1178">
        <v>1</v>
      </c>
      <c r="G1178" t="s">
        <v>20</v>
      </c>
      <c r="H1178">
        <v>3</v>
      </c>
      <c r="I1178">
        <v>4</v>
      </c>
      <c r="J1178" t="s">
        <v>31</v>
      </c>
      <c r="K1178">
        <v>2</v>
      </c>
      <c r="L1178">
        <v>16413</v>
      </c>
      <c r="M1178" t="str" cm="1">
        <f t="array" ref="M1178">_xlfn.IFS(L1178&lt;= 7000,"Low",L1178&lt;=15000,"Medium",L1178&lt;=20000,"High")</f>
        <v>High</v>
      </c>
      <c r="N1178" t="s">
        <v>22</v>
      </c>
      <c r="O1178">
        <v>16</v>
      </c>
      <c r="P1178">
        <v>3</v>
      </c>
      <c r="Q1178">
        <v>2</v>
      </c>
      <c r="R1178">
        <v>27</v>
      </c>
      <c r="S1178">
        <v>3</v>
      </c>
      <c r="T1178">
        <v>4</v>
      </c>
      <c r="U1178">
        <v>2</v>
      </c>
    </row>
    <row r="1179" spans="1:21" x14ac:dyDescent="0.35">
      <c r="A1179">
        <v>50</v>
      </c>
      <c r="B1179" t="str" cm="1">
        <f t="array" ref="B1179">_xlfn.IFS(A1179&gt;40,"Senior",A1179&gt;30,"Adult",A1179&gt;=18,"Teenager")</f>
        <v>Senior</v>
      </c>
      <c r="C1179" t="s">
        <v>22</v>
      </c>
      <c r="D1179">
        <f t="shared" si="18"/>
        <v>0</v>
      </c>
      <c r="E1179" t="s">
        <v>23</v>
      </c>
      <c r="F1179">
        <v>4</v>
      </c>
      <c r="G1179" t="s">
        <v>20</v>
      </c>
      <c r="H1179">
        <v>2</v>
      </c>
      <c r="I1179">
        <v>3</v>
      </c>
      <c r="J1179" t="s">
        <v>31</v>
      </c>
      <c r="K1179">
        <v>1</v>
      </c>
      <c r="L1179">
        <v>13269</v>
      </c>
      <c r="M1179" t="str" cm="1">
        <f t="array" ref="M1179">_xlfn.IFS(L1179&lt;= 7000,"Low",L1179&lt;=15000,"Medium",L1179&lt;=20000,"High")</f>
        <v>Medium</v>
      </c>
      <c r="N1179" t="s">
        <v>22</v>
      </c>
      <c r="O1179">
        <v>15</v>
      </c>
      <c r="P1179">
        <v>3</v>
      </c>
      <c r="Q1179">
        <v>3</v>
      </c>
      <c r="R1179">
        <v>19</v>
      </c>
      <c r="S1179">
        <v>3</v>
      </c>
      <c r="T1179">
        <v>14</v>
      </c>
      <c r="U1179">
        <v>11</v>
      </c>
    </row>
    <row r="1180" spans="1:21" x14ac:dyDescent="0.35">
      <c r="A1180">
        <v>20</v>
      </c>
      <c r="B1180" t="str" cm="1">
        <f t="array" ref="B1180">_xlfn.IFS(A1180&gt;40,"Senior",A1180&gt;30,"Adult",A1180&gt;=18,"Teenager")</f>
        <v>Teenager</v>
      </c>
      <c r="C1180" t="s">
        <v>22</v>
      </c>
      <c r="D1180">
        <f t="shared" si="18"/>
        <v>0</v>
      </c>
      <c r="E1180" t="s">
        <v>19</v>
      </c>
      <c r="F1180">
        <v>3</v>
      </c>
      <c r="G1180" t="s">
        <v>20</v>
      </c>
      <c r="H1180">
        <v>3</v>
      </c>
      <c r="I1180">
        <v>1</v>
      </c>
      <c r="J1180" t="s">
        <v>30</v>
      </c>
      <c r="K1180">
        <v>3</v>
      </c>
      <c r="L1180">
        <v>2783</v>
      </c>
      <c r="M1180" t="str" cm="1">
        <f t="array" ref="M1180">_xlfn.IFS(L1180&lt;= 7000,"Low",L1180&lt;=15000,"Medium",L1180&lt;=20000,"High")</f>
        <v>Low</v>
      </c>
      <c r="N1180" t="s">
        <v>22</v>
      </c>
      <c r="O1180">
        <v>19</v>
      </c>
      <c r="P1180">
        <v>3</v>
      </c>
      <c r="Q1180">
        <v>1</v>
      </c>
      <c r="R1180">
        <v>2</v>
      </c>
      <c r="S1180">
        <v>3</v>
      </c>
      <c r="T1180">
        <v>2</v>
      </c>
      <c r="U1180">
        <v>2</v>
      </c>
    </row>
    <row r="1181" spans="1:21" x14ac:dyDescent="0.35">
      <c r="A1181">
        <v>34</v>
      </c>
      <c r="B1181" t="str" cm="1">
        <f t="array" ref="B1181">_xlfn.IFS(A1181&gt;40,"Senior",A1181&gt;30,"Adult",A1181&gt;=18,"Teenager")</f>
        <v>Adult</v>
      </c>
      <c r="C1181" t="s">
        <v>22</v>
      </c>
      <c r="D1181">
        <f t="shared" si="18"/>
        <v>0</v>
      </c>
      <c r="E1181" t="s">
        <v>23</v>
      </c>
      <c r="F1181">
        <v>4</v>
      </c>
      <c r="G1181" t="s">
        <v>20</v>
      </c>
      <c r="H1181">
        <v>3</v>
      </c>
      <c r="I1181">
        <v>2</v>
      </c>
      <c r="J1181" t="s">
        <v>25</v>
      </c>
      <c r="K1181">
        <v>2</v>
      </c>
      <c r="L1181">
        <v>5433</v>
      </c>
      <c r="M1181" t="str" cm="1">
        <f t="array" ref="M1181">_xlfn.IFS(L1181&lt;= 7000,"Low",L1181&lt;=15000,"Medium",L1181&lt;=20000,"High")</f>
        <v>Low</v>
      </c>
      <c r="N1181" t="s">
        <v>22</v>
      </c>
      <c r="O1181">
        <v>12</v>
      </c>
      <c r="P1181">
        <v>3</v>
      </c>
      <c r="Q1181">
        <v>3</v>
      </c>
      <c r="R1181">
        <v>11</v>
      </c>
      <c r="S1181">
        <v>3</v>
      </c>
      <c r="T1181">
        <v>11</v>
      </c>
      <c r="U1181">
        <v>8</v>
      </c>
    </row>
    <row r="1182" spans="1:21" x14ac:dyDescent="0.35">
      <c r="A1182">
        <v>36</v>
      </c>
      <c r="B1182" t="str" cm="1">
        <f t="array" ref="B1182">_xlfn.IFS(A1182&gt;40,"Senior",A1182&gt;30,"Adult",A1182&gt;=18,"Teenager")</f>
        <v>Adult</v>
      </c>
      <c r="C1182" t="s">
        <v>22</v>
      </c>
      <c r="D1182">
        <f t="shared" si="18"/>
        <v>0</v>
      </c>
      <c r="E1182" t="s">
        <v>23</v>
      </c>
      <c r="F1182">
        <v>1</v>
      </c>
      <c r="G1182" t="s">
        <v>24</v>
      </c>
      <c r="H1182">
        <v>3</v>
      </c>
      <c r="I1182">
        <v>1</v>
      </c>
      <c r="J1182" t="s">
        <v>26</v>
      </c>
      <c r="K1182">
        <v>2</v>
      </c>
      <c r="L1182">
        <v>2013</v>
      </c>
      <c r="M1182" t="str" cm="1">
        <f t="array" ref="M1182">_xlfn.IFS(L1182&lt;= 7000,"Low",L1182&lt;=15000,"Medium",L1182&lt;=20000,"High")</f>
        <v>Low</v>
      </c>
      <c r="N1182" t="s">
        <v>22</v>
      </c>
      <c r="O1182">
        <v>11</v>
      </c>
      <c r="P1182">
        <v>3</v>
      </c>
      <c r="Q1182">
        <v>3</v>
      </c>
      <c r="R1182">
        <v>15</v>
      </c>
      <c r="S1182">
        <v>3</v>
      </c>
      <c r="T1182">
        <v>4</v>
      </c>
      <c r="U1182">
        <v>3</v>
      </c>
    </row>
    <row r="1183" spans="1:21" x14ac:dyDescent="0.35">
      <c r="A1183">
        <v>49</v>
      </c>
      <c r="B1183" t="str" cm="1">
        <f t="array" ref="B1183">_xlfn.IFS(A1183&gt;40,"Senior",A1183&gt;30,"Adult",A1183&gt;=18,"Teenager")</f>
        <v>Senior</v>
      </c>
      <c r="C1183" t="s">
        <v>22</v>
      </c>
      <c r="D1183">
        <f t="shared" si="18"/>
        <v>0</v>
      </c>
      <c r="E1183" t="s">
        <v>23</v>
      </c>
      <c r="F1183">
        <v>3</v>
      </c>
      <c r="G1183" t="s">
        <v>20</v>
      </c>
      <c r="H1183">
        <v>2</v>
      </c>
      <c r="I1183">
        <v>4</v>
      </c>
      <c r="J1183" t="s">
        <v>28</v>
      </c>
      <c r="K1183">
        <v>3</v>
      </c>
      <c r="L1183">
        <v>13966</v>
      </c>
      <c r="M1183" t="str" cm="1">
        <f t="array" ref="M1183">_xlfn.IFS(L1183&lt;= 7000,"Low",L1183&lt;=15000,"Medium",L1183&lt;=20000,"High")</f>
        <v>Medium</v>
      </c>
      <c r="N1183" t="s">
        <v>18</v>
      </c>
      <c r="O1183">
        <v>19</v>
      </c>
      <c r="P1183">
        <v>3</v>
      </c>
      <c r="Q1183">
        <v>2</v>
      </c>
      <c r="R1183">
        <v>30</v>
      </c>
      <c r="S1183">
        <v>3</v>
      </c>
      <c r="T1183">
        <v>15</v>
      </c>
      <c r="U1183">
        <v>11</v>
      </c>
    </row>
    <row r="1184" spans="1:21" x14ac:dyDescent="0.35">
      <c r="A1184">
        <v>36</v>
      </c>
      <c r="B1184" t="str" cm="1">
        <f t="array" ref="B1184">_xlfn.IFS(A1184&gt;40,"Senior",A1184&gt;30,"Adult",A1184&gt;=18,"Teenager")</f>
        <v>Adult</v>
      </c>
      <c r="C1184" t="s">
        <v>22</v>
      </c>
      <c r="D1184">
        <f t="shared" si="18"/>
        <v>0</v>
      </c>
      <c r="E1184" t="s">
        <v>23</v>
      </c>
      <c r="F1184">
        <v>4</v>
      </c>
      <c r="G1184" t="s">
        <v>20</v>
      </c>
      <c r="H1184">
        <v>2</v>
      </c>
      <c r="I1184">
        <v>2</v>
      </c>
      <c r="J1184" t="s">
        <v>27</v>
      </c>
      <c r="K1184">
        <v>3</v>
      </c>
      <c r="L1184">
        <v>4374</v>
      </c>
      <c r="M1184" t="str" cm="1">
        <f t="array" ref="M1184">_xlfn.IFS(L1184&lt;= 7000,"Low",L1184&lt;=15000,"Medium",L1184&lt;=20000,"High")</f>
        <v>Low</v>
      </c>
      <c r="N1184" t="s">
        <v>22</v>
      </c>
      <c r="O1184">
        <v>15</v>
      </c>
      <c r="P1184">
        <v>3</v>
      </c>
      <c r="Q1184">
        <v>3</v>
      </c>
      <c r="R1184">
        <v>4</v>
      </c>
      <c r="S1184">
        <v>3</v>
      </c>
      <c r="T1184">
        <v>3</v>
      </c>
      <c r="U1184">
        <v>2</v>
      </c>
    </row>
    <row r="1185" spans="1:21" x14ac:dyDescent="0.35">
      <c r="A1185">
        <v>36</v>
      </c>
      <c r="B1185" t="str" cm="1">
        <f t="array" ref="B1185">_xlfn.IFS(A1185&gt;40,"Senior",A1185&gt;30,"Adult",A1185&gt;=18,"Teenager")</f>
        <v>Adult</v>
      </c>
      <c r="C1185" t="s">
        <v>22</v>
      </c>
      <c r="D1185">
        <f t="shared" si="18"/>
        <v>0</v>
      </c>
      <c r="E1185" t="s">
        <v>23</v>
      </c>
      <c r="F1185">
        <v>4</v>
      </c>
      <c r="G1185" t="s">
        <v>24</v>
      </c>
      <c r="H1185">
        <v>4</v>
      </c>
      <c r="I1185">
        <v>2</v>
      </c>
      <c r="J1185" t="s">
        <v>28</v>
      </c>
      <c r="K1185">
        <v>1</v>
      </c>
      <c r="L1185">
        <v>6842</v>
      </c>
      <c r="M1185" t="str" cm="1">
        <f t="array" ref="M1185">_xlfn.IFS(L1185&lt;= 7000,"Low",L1185&lt;=15000,"Medium",L1185&lt;=20000,"High")</f>
        <v>Low</v>
      </c>
      <c r="N1185" t="s">
        <v>22</v>
      </c>
      <c r="O1185">
        <v>20</v>
      </c>
      <c r="P1185">
        <v>4</v>
      </c>
      <c r="Q1185">
        <v>1</v>
      </c>
      <c r="R1185">
        <v>13</v>
      </c>
      <c r="S1185">
        <v>3</v>
      </c>
      <c r="T1185">
        <v>5</v>
      </c>
      <c r="U1185">
        <v>4</v>
      </c>
    </row>
    <row r="1186" spans="1:21" x14ac:dyDescent="0.35">
      <c r="A1186">
        <v>54</v>
      </c>
      <c r="B1186" t="str" cm="1">
        <f t="array" ref="B1186">_xlfn.IFS(A1186&gt;40,"Senior",A1186&gt;30,"Adult",A1186&gt;=18,"Teenager")</f>
        <v>Senior</v>
      </c>
      <c r="C1186" t="s">
        <v>22</v>
      </c>
      <c r="D1186">
        <f t="shared" si="18"/>
        <v>0</v>
      </c>
      <c r="E1186" t="s">
        <v>23</v>
      </c>
      <c r="F1186">
        <v>2</v>
      </c>
      <c r="G1186" t="s">
        <v>20</v>
      </c>
      <c r="H1186">
        <v>3</v>
      </c>
      <c r="I1186">
        <v>4</v>
      </c>
      <c r="J1186" t="s">
        <v>29</v>
      </c>
      <c r="K1186">
        <v>3</v>
      </c>
      <c r="L1186">
        <v>17426</v>
      </c>
      <c r="M1186" t="str" cm="1">
        <f t="array" ref="M1186">_xlfn.IFS(L1186&lt;= 7000,"Low",L1186&lt;=15000,"Medium",L1186&lt;=20000,"High")</f>
        <v>High</v>
      </c>
      <c r="N1186" t="s">
        <v>22</v>
      </c>
      <c r="O1186">
        <v>25</v>
      </c>
      <c r="P1186">
        <v>4</v>
      </c>
      <c r="Q1186">
        <v>3</v>
      </c>
      <c r="R1186">
        <v>36</v>
      </c>
      <c r="S1186">
        <v>3</v>
      </c>
      <c r="T1186">
        <v>10</v>
      </c>
      <c r="U1186">
        <v>8</v>
      </c>
    </row>
    <row r="1187" spans="1:21" x14ac:dyDescent="0.35">
      <c r="A1187">
        <v>43</v>
      </c>
      <c r="B1187" t="str" cm="1">
        <f t="array" ref="B1187">_xlfn.IFS(A1187&gt;40,"Senior",A1187&gt;30,"Adult",A1187&gt;=18,"Teenager")</f>
        <v>Senior</v>
      </c>
      <c r="C1187" t="s">
        <v>22</v>
      </c>
      <c r="D1187">
        <f t="shared" si="18"/>
        <v>0</v>
      </c>
      <c r="E1187" t="s">
        <v>23</v>
      </c>
      <c r="F1187">
        <v>3</v>
      </c>
      <c r="G1187" t="s">
        <v>24</v>
      </c>
      <c r="H1187">
        <v>2</v>
      </c>
      <c r="I1187">
        <v>4</v>
      </c>
      <c r="J1187" t="s">
        <v>31</v>
      </c>
      <c r="K1187">
        <v>3</v>
      </c>
      <c r="L1187">
        <v>17603</v>
      </c>
      <c r="M1187" t="str" cm="1">
        <f t="array" ref="M1187">_xlfn.IFS(L1187&lt;= 7000,"Low",L1187&lt;=15000,"Medium",L1187&lt;=20000,"High")</f>
        <v>High</v>
      </c>
      <c r="N1187" t="s">
        <v>22</v>
      </c>
      <c r="O1187">
        <v>24</v>
      </c>
      <c r="P1187">
        <v>4</v>
      </c>
      <c r="Q1187">
        <v>1</v>
      </c>
      <c r="R1187">
        <v>14</v>
      </c>
      <c r="S1187">
        <v>3</v>
      </c>
      <c r="T1187">
        <v>14</v>
      </c>
      <c r="U1187">
        <v>10</v>
      </c>
    </row>
    <row r="1188" spans="1:21" x14ac:dyDescent="0.35">
      <c r="A1188">
        <v>35</v>
      </c>
      <c r="B1188" t="str" cm="1">
        <f t="array" ref="B1188">_xlfn.IFS(A1188&gt;40,"Senior",A1188&gt;30,"Adult",A1188&gt;=18,"Teenager")</f>
        <v>Adult</v>
      </c>
      <c r="C1188" t="s">
        <v>18</v>
      </c>
      <c r="D1188">
        <f t="shared" si="18"/>
        <v>1</v>
      </c>
      <c r="E1188" t="s">
        <v>19</v>
      </c>
      <c r="F1188">
        <v>4</v>
      </c>
      <c r="G1188" t="s">
        <v>24</v>
      </c>
      <c r="H1188">
        <v>3</v>
      </c>
      <c r="I1188">
        <v>2</v>
      </c>
      <c r="J1188" t="s">
        <v>21</v>
      </c>
      <c r="K1188">
        <v>4</v>
      </c>
      <c r="L1188">
        <v>4581</v>
      </c>
      <c r="M1188" t="str" cm="1">
        <f t="array" ref="M1188">_xlfn.IFS(L1188&lt;= 7000,"Low",L1188&lt;=15000,"Medium",L1188&lt;=20000,"High")</f>
        <v>Low</v>
      </c>
      <c r="N1188" t="s">
        <v>18</v>
      </c>
      <c r="O1188">
        <v>24</v>
      </c>
      <c r="P1188">
        <v>4</v>
      </c>
      <c r="Q1188">
        <v>1</v>
      </c>
      <c r="R1188">
        <v>13</v>
      </c>
      <c r="S1188">
        <v>4</v>
      </c>
      <c r="T1188">
        <v>11</v>
      </c>
      <c r="U1188">
        <v>9</v>
      </c>
    </row>
    <row r="1189" spans="1:21" x14ac:dyDescent="0.35">
      <c r="A1189">
        <v>38</v>
      </c>
      <c r="B1189" t="str" cm="1">
        <f t="array" ref="B1189">_xlfn.IFS(A1189&gt;40,"Senior",A1189&gt;30,"Adult",A1189&gt;=18,"Teenager")</f>
        <v>Adult</v>
      </c>
      <c r="C1189" t="s">
        <v>22</v>
      </c>
      <c r="D1189">
        <f t="shared" si="18"/>
        <v>0</v>
      </c>
      <c r="E1189" t="s">
        <v>23</v>
      </c>
      <c r="F1189">
        <v>4</v>
      </c>
      <c r="G1189" t="s">
        <v>24</v>
      </c>
      <c r="H1189">
        <v>3</v>
      </c>
      <c r="I1189">
        <v>2</v>
      </c>
      <c r="J1189" t="s">
        <v>25</v>
      </c>
      <c r="K1189">
        <v>4</v>
      </c>
      <c r="L1189">
        <v>4735</v>
      </c>
      <c r="M1189" t="str" cm="1">
        <f t="array" ref="M1189">_xlfn.IFS(L1189&lt;= 7000,"Low",L1189&lt;=15000,"Medium",L1189&lt;=20000,"High")</f>
        <v>Low</v>
      </c>
      <c r="N1189" t="s">
        <v>22</v>
      </c>
      <c r="O1189">
        <v>15</v>
      </c>
      <c r="P1189">
        <v>3</v>
      </c>
      <c r="Q1189">
        <v>4</v>
      </c>
      <c r="R1189">
        <v>19</v>
      </c>
      <c r="S1189">
        <v>4</v>
      </c>
      <c r="T1189">
        <v>13</v>
      </c>
      <c r="U1189">
        <v>11</v>
      </c>
    </row>
    <row r="1190" spans="1:21" x14ac:dyDescent="0.35">
      <c r="A1190">
        <v>29</v>
      </c>
      <c r="B1190" t="str" cm="1">
        <f t="array" ref="B1190">_xlfn.IFS(A1190&gt;40,"Senior",A1190&gt;30,"Adult",A1190&gt;=18,"Teenager")</f>
        <v>Teenager</v>
      </c>
      <c r="C1190" t="s">
        <v>22</v>
      </c>
      <c r="D1190">
        <f t="shared" si="18"/>
        <v>0</v>
      </c>
      <c r="E1190" t="s">
        <v>19</v>
      </c>
      <c r="F1190">
        <v>1</v>
      </c>
      <c r="G1190" t="s">
        <v>24</v>
      </c>
      <c r="H1190">
        <v>2</v>
      </c>
      <c r="I1190">
        <v>2</v>
      </c>
      <c r="J1190" t="s">
        <v>21</v>
      </c>
      <c r="K1190">
        <v>2</v>
      </c>
      <c r="L1190">
        <v>4187</v>
      </c>
      <c r="M1190" t="str" cm="1">
        <f t="array" ref="M1190">_xlfn.IFS(L1190&lt;= 7000,"Low",L1190&lt;=15000,"Medium",L1190&lt;=20000,"High")</f>
        <v>Low</v>
      </c>
      <c r="N1190" t="s">
        <v>18</v>
      </c>
      <c r="O1190">
        <v>13</v>
      </c>
      <c r="P1190">
        <v>3</v>
      </c>
      <c r="Q1190">
        <v>2</v>
      </c>
      <c r="R1190">
        <v>10</v>
      </c>
      <c r="S1190">
        <v>2</v>
      </c>
      <c r="T1190">
        <v>10</v>
      </c>
      <c r="U1190">
        <v>0</v>
      </c>
    </row>
    <row r="1191" spans="1:21" x14ac:dyDescent="0.35">
      <c r="A1191">
        <v>33</v>
      </c>
      <c r="B1191" t="str" cm="1">
        <f t="array" ref="B1191">_xlfn.IFS(A1191&gt;40,"Senior",A1191&gt;30,"Adult",A1191&gt;=18,"Teenager")</f>
        <v>Adult</v>
      </c>
      <c r="C1191" t="s">
        <v>22</v>
      </c>
      <c r="D1191">
        <f t="shared" si="18"/>
        <v>0</v>
      </c>
      <c r="E1191" t="s">
        <v>19</v>
      </c>
      <c r="F1191">
        <v>4</v>
      </c>
      <c r="G1191" t="s">
        <v>24</v>
      </c>
      <c r="H1191">
        <v>3</v>
      </c>
      <c r="I1191">
        <v>2</v>
      </c>
      <c r="J1191" t="s">
        <v>21</v>
      </c>
      <c r="K1191">
        <v>4</v>
      </c>
      <c r="L1191">
        <v>5505</v>
      </c>
      <c r="M1191" t="str" cm="1">
        <f t="array" ref="M1191">_xlfn.IFS(L1191&lt;= 7000,"Low",L1191&lt;=15000,"Medium",L1191&lt;=20000,"High")</f>
        <v>Low</v>
      </c>
      <c r="N1191" t="s">
        <v>22</v>
      </c>
      <c r="O1191">
        <v>14</v>
      </c>
      <c r="P1191">
        <v>3</v>
      </c>
      <c r="Q1191">
        <v>3</v>
      </c>
      <c r="R1191">
        <v>6</v>
      </c>
      <c r="S1191">
        <v>3</v>
      </c>
      <c r="T1191">
        <v>6</v>
      </c>
      <c r="U1191">
        <v>2</v>
      </c>
    </row>
    <row r="1192" spans="1:21" x14ac:dyDescent="0.35">
      <c r="A1192">
        <v>32</v>
      </c>
      <c r="B1192" t="str" cm="1">
        <f t="array" ref="B1192">_xlfn.IFS(A1192&gt;40,"Senior",A1192&gt;30,"Adult",A1192&gt;=18,"Teenager")</f>
        <v>Adult</v>
      </c>
      <c r="C1192" t="s">
        <v>22</v>
      </c>
      <c r="D1192">
        <f t="shared" si="18"/>
        <v>0</v>
      </c>
      <c r="E1192" t="s">
        <v>23</v>
      </c>
      <c r="F1192">
        <v>4</v>
      </c>
      <c r="G1192" t="s">
        <v>24</v>
      </c>
      <c r="H1192">
        <v>3</v>
      </c>
      <c r="I1192">
        <v>2</v>
      </c>
      <c r="J1192" t="s">
        <v>25</v>
      </c>
      <c r="K1192">
        <v>2</v>
      </c>
      <c r="L1192">
        <v>5470</v>
      </c>
      <c r="M1192" t="str" cm="1">
        <f t="array" ref="M1192">_xlfn.IFS(L1192&lt;= 7000,"Low",L1192&lt;=15000,"Medium",L1192&lt;=20000,"High")</f>
        <v>Low</v>
      </c>
      <c r="N1192" t="s">
        <v>22</v>
      </c>
      <c r="O1192">
        <v>13</v>
      </c>
      <c r="P1192">
        <v>3</v>
      </c>
      <c r="Q1192">
        <v>3</v>
      </c>
      <c r="R1192">
        <v>10</v>
      </c>
      <c r="S1192">
        <v>2</v>
      </c>
      <c r="T1192">
        <v>9</v>
      </c>
      <c r="U1192">
        <v>5</v>
      </c>
    </row>
    <row r="1193" spans="1:21" x14ac:dyDescent="0.35">
      <c r="A1193">
        <v>31</v>
      </c>
      <c r="B1193" t="str" cm="1">
        <f t="array" ref="B1193">_xlfn.IFS(A1193&gt;40,"Senior",A1193&gt;30,"Adult",A1193&gt;=18,"Teenager")</f>
        <v>Adult</v>
      </c>
      <c r="C1193" t="s">
        <v>22</v>
      </c>
      <c r="D1193">
        <f t="shared" si="18"/>
        <v>0</v>
      </c>
      <c r="E1193" t="s">
        <v>19</v>
      </c>
      <c r="F1193">
        <v>1</v>
      </c>
      <c r="G1193" t="s">
        <v>20</v>
      </c>
      <c r="H1193">
        <v>3</v>
      </c>
      <c r="I1193">
        <v>2</v>
      </c>
      <c r="J1193" t="s">
        <v>21</v>
      </c>
      <c r="K1193">
        <v>4</v>
      </c>
      <c r="L1193">
        <v>5476</v>
      </c>
      <c r="M1193" t="str" cm="1">
        <f t="array" ref="M1193">_xlfn.IFS(L1193&lt;= 7000,"Low",L1193&lt;=15000,"Medium",L1193&lt;=20000,"High")</f>
        <v>Low</v>
      </c>
      <c r="N1193" t="s">
        <v>22</v>
      </c>
      <c r="O1193">
        <v>11</v>
      </c>
      <c r="P1193">
        <v>3</v>
      </c>
      <c r="Q1193">
        <v>1</v>
      </c>
      <c r="R1193">
        <v>10</v>
      </c>
      <c r="S1193">
        <v>3</v>
      </c>
      <c r="T1193">
        <v>10</v>
      </c>
      <c r="U1193">
        <v>0</v>
      </c>
    </row>
    <row r="1194" spans="1:21" x14ac:dyDescent="0.35">
      <c r="A1194">
        <v>49</v>
      </c>
      <c r="B1194" t="str" cm="1">
        <f t="array" ref="B1194">_xlfn.IFS(A1194&gt;40,"Senior",A1194&gt;30,"Adult",A1194&gt;=18,"Teenager")</f>
        <v>Senior</v>
      </c>
      <c r="C1194" t="s">
        <v>22</v>
      </c>
      <c r="D1194">
        <f t="shared" si="18"/>
        <v>0</v>
      </c>
      <c r="E1194" t="s">
        <v>23</v>
      </c>
      <c r="F1194">
        <v>4</v>
      </c>
      <c r="G1194" t="s">
        <v>20</v>
      </c>
      <c r="H1194">
        <v>3</v>
      </c>
      <c r="I1194">
        <v>1</v>
      </c>
      <c r="J1194" t="s">
        <v>26</v>
      </c>
      <c r="K1194">
        <v>1</v>
      </c>
      <c r="L1194">
        <v>2587</v>
      </c>
      <c r="M1194" t="str" cm="1">
        <f t="array" ref="M1194">_xlfn.IFS(L1194&lt;= 7000,"Low",L1194&lt;=15000,"Medium",L1194&lt;=20000,"High")</f>
        <v>Low</v>
      </c>
      <c r="N1194" t="s">
        <v>18</v>
      </c>
      <c r="O1194">
        <v>16</v>
      </c>
      <c r="P1194">
        <v>3</v>
      </c>
      <c r="Q1194">
        <v>2</v>
      </c>
      <c r="R1194">
        <v>17</v>
      </c>
      <c r="S1194">
        <v>2</v>
      </c>
      <c r="T1194">
        <v>2</v>
      </c>
      <c r="U1194">
        <v>2</v>
      </c>
    </row>
    <row r="1195" spans="1:21" x14ac:dyDescent="0.35">
      <c r="A1195">
        <v>38</v>
      </c>
      <c r="B1195" t="str" cm="1">
        <f t="array" ref="B1195">_xlfn.IFS(A1195&gt;40,"Senior",A1195&gt;30,"Adult",A1195&gt;=18,"Teenager")</f>
        <v>Adult</v>
      </c>
      <c r="C1195" t="s">
        <v>22</v>
      </c>
      <c r="D1195">
        <f t="shared" si="18"/>
        <v>0</v>
      </c>
      <c r="E1195" t="s">
        <v>23</v>
      </c>
      <c r="F1195">
        <v>4</v>
      </c>
      <c r="G1195" t="s">
        <v>20</v>
      </c>
      <c r="H1195">
        <v>2</v>
      </c>
      <c r="I1195">
        <v>1</v>
      </c>
      <c r="J1195" t="s">
        <v>26</v>
      </c>
      <c r="K1195">
        <v>2</v>
      </c>
      <c r="L1195">
        <v>2440</v>
      </c>
      <c r="M1195" t="str" cm="1">
        <f t="array" ref="M1195">_xlfn.IFS(L1195&lt;= 7000,"Low",L1195&lt;=15000,"Medium",L1195&lt;=20000,"High")</f>
        <v>Low</v>
      </c>
      <c r="N1195" t="s">
        <v>22</v>
      </c>
      <c r="O1195">
        <v>22</v>
      </c>
      <c r="P1195">
        <v>4</v>
      </c>
      <c r="Q1195">
        <v>2</v>
      </c>
      <c r="R1195">
        <v>4</v>
      </c>
      <c r="S1195">
        <v>3</v>
      </c>
      <c r="T1195">
        <v>4</v>
      </c>
      <c r="U1195">
        <v>3</v>
      </c>
    </row>
    <row r="1196" spans="1:21" x14ac:dyDescent="0.35">
      <c r="A1196">
        <v>47</v>
      </c>
      <c r="B1196" t="str" cm="1">
        <f t="array" ref="B1196">_xlfn.IFS(A1196&gt;40,"Senior",A1196&gt;30,"Adult",A1196&gt;=18,"Teenager")</f>
        <v>Senior</v>
      </c>
      <c r="C1196" t="s">
        <v>22</v>
      </c>
      <c r="D1196">
        <f t="shared" si="18"/>
        <v>0</v>
      </c>
      <c r="E1196" t="s">
        <v>19</v>
      </c>
      <c r="F1196">
        <v>2</v>
      </c>
      <c r="G1196" t="s">
        <v>20</v>
      </c>
      <c r="H1196">
        <v>4</v>
      </c>
      <c r="I1196">
        <v>4</v>
      </c>
      <c r="J1196" t="s">
        <v>29</v>
      </c>
      <c r="K1196">
        <v>2</v>
      </c>
      <c r="L1196">
        <v>15972</v>
      </c>
      <c r="M1196" t="str" cm="1">
        <f t="array" ref="M1196">_xlfn.IFS(L1196&lt;= 7000,"Low",L1196&lt;=15000,"Medium",L1196&lt;=20000,"High")</f>
        <v>High</v>
      </c>
      <c r="N1196" t="s">
        <v>22</v>
      </c>
      <c r="O1196">
        <v>14</v>
      </c>
      <c r="P1196">
        <v>3</v>
      </c>
      <c r="Q1196">
        <v>3</v>
      </c>
      <c r="R1196">
        <v>29</v>
      </c>
      <c r="S1196">
        <v>3</v>
      </c>
      <c r="T1196">
        <v>3</v>
      </c>
      <c r="U1196">
        <v>2</v>
      </c>
    </row>
    <row r="1197" spans="1:21" x14ac:dyDescent="0.35">
      <c r="A1197">
        <v>49</v>
      </c>
      <c r="B1197" t="str" cm="1">
        <f t="array" ref="B1197">_xlfn.IFS(A1197&gt;40,"Senior",A1197&gt;30,"Adult",A1197&gt;=18,"Teenager")</f>
        <v>Senior</v>
      </c>
      <c r="C1197" t="s">
        <v>22</v>
      </c>
      <c r="D1197">
        <f t="shared" si="18"/>
        <v>0</v>
      </c>
      <c r="E1197" t="s">
        <v>23</v>
      </c>
      <c r="F1197">
        <v>3</v>
      </c>
      <c r="G1197" t="s">
        <v>24</v>
      </c>
      <c r="H1197">
        <v>3</v>
      </c>
      <c r="I1197">
        <v>4</v>
      </c>
      <c r="J1197" t="s">
        <v>29</v>
      </c>
      <c r="K1197">
        <v>3</v>
      </c>
      <c r="L1197">
        <v>15379</v>
      </c>
      <c r="M1197" t="str" cm="1">
        <f t="array" ref="M1197">_xlfn.IFS(L1197&lt;= 7000,"Low",L1197&lt;=15000,"Medium",L1197&lt;=20000,"High")</f>
        <v>High</v>
      </c>
      <c r="N1197" t="s">
        <v>22</v>
      </c>
      <c r="O1197">
        <v>14</v>
      </c>
      <c r="P1197">
        <v>3</v>
      </c>
      <c r="Q1197">
        <v>1</v>
      </c>
      <c r="R1197">
        <v>23</v>
      </c>
      <c r="S1197">
        <v>3</v>
      </c>
      <c r="T1197">
        <v>8</v>
      </c>
      <c r="U1197">
        <v>7</v>
      </c>
    </row>
    <row r="1198" spans="1:21" x14ac:dyDescent="0.35">
      <c r="A1198">
        <v>41</v>
      </c>
      <c r="B1198" t="str" cm="1">
        <f t="array" ref="B1198">_xlfn.IFS(A1198&gt;40,"Senior",A1198&gt;30,"Adult",A1198&gt;=18,"Teenager")</f>
        <v>Senior</v>
      </c>
      <c r="C1198" t="s">
        <v>22</v>
      </c>
      <c r="D1198">
        <f t="shared" si="18"/>
        <v>0</v>
      </c>
      <c r="E1198" t="s">
        <v>19</v>
      </c>
      <c r="F1198">
        <v>4</v>
      </c>
      <c r="G1198" t="s">
        <v>24</v>
      </c>
      <c r="H1198">
        <v>3</v>
      </c>
      <c r="I1198">
        <v>3</v>
      </c>
      <c r="J1198" t="s">
        <v>21</v>
      </c>
      <c r="K1198">
        <v>3</v>
      </c>
      <c r="L1198">
        <v>7082</v>
      </c>
      <c r="M1198" t="str" cm="1">
        <f t="array" ref="M1198">_xlfn.IFS(L1198&lt;= 7000,"Low",L1198&lt;=15000,"Medium",L1198&lt;=20000,"High")</f>
        <v>Medium</v>
      </c>
      <c r="N1198" t="s">
        <v>18</v>
      </c>
      <c r="O1198">
        <v>16</v>
      </c>
      <c r="P1198">
        <v>3</v>
      </c>
      <c r="Q1198">
        <v>4</v>
      </c>
      <c r="R1198">
        <v>21</v>
      </c>
      <c r="S1198">
        <v>3</v>
      </c>
      <c r="T1198">
        <v>2</v>
      </c>
      <c r="U1198">
        <v>0</v>
      </c>
    </row>
    <row r="1199" spans="1:21" x14ac:dyDescent="0.35">
      <c r="A1199">
        <v>20</v>
      </c>
      <c r="B1199" t="str" cm="1">
        <f t="array" ref="B1199">_xlfn.IFS(A1199&gt;40,"Senior",A1199&gt;30,"Adult",A1199&gt;=18,"Teenager")</f>
        <v>Teenager</v>
      </c>
      <c r="C1199" t="s">
        <v>22</v>
      </c>
      <c r="D1199">
        <f t="shared" si="18"/>
        <v>0</v>
      </c>
      <c r="E1199" t="s">
        <v>19</v>
      </c>
      <c r="F1199">
        <v>4</v>
      </c>
      <c r="G1199" t="s">
        <v>24</v>
      </c>
      <c r="H1199">
        <v>3</v>
      </c>
      <c r="I1199">
        <v>1</v>
      </c>
      <c r="J1199" t="s">
        <v>30</v>
      </c>
      <c r="K1199">
        <v>1</v>
      </c>
      <c r="L1199">
        <v>2728</v>
      </c>
      <c r="M1199" t="str" cm="1">
        <f t="array" ref="M1199">_xlfn.IFS(L1199&lt;= 7000,"Low",L1199&lt;=15000,"Medium",L1199&lt;=20000,"High")</f>
        <v>Low</v>
      </c>
      <c r="N1199" t="s">
        <v>22</v>
      </c>
      <c r="O1199">
        <v>11</v>
      </c>
      <c r="P1199">
        <v>3</v>
      </c>
      <c r="Q1199">
        <v>1</v>
      </c>
      <c r="R1199">
        <v>2</v>
      </c>
      <c r="S1199">
        <v>3</v>
      </c>
      <c r="T1199">
        <v>2</v>
      </c>
      <c r="U1199">
        <v>2</v>
      </c>
    </row>
    <row r="1200" spans="1:21" x14ac:dyDescent="0.35">
      <c r="A1200">
        <v>33</v>
      </c>
      <c r="B1200" t="str" cm="1">
        <f t="array" ref="B1200">_xlfn.IFS(A1200&gt;40,"Senior",A1200&gt;30,"Adult",A1200&gt;=18,"Teenager")</f>
        <v>Adult</v>
      </c>
      <c r="C1200" t="s">
        <v>22</v>
      </c>
      <c r="D1200">
        <f t="shared" si="18"/>
        <v>0</v>
      </c>
      <c r="E1200" t="s">
        <v>19</v>
      </c>
      <c r="F1200">
        <v>3</v>
      </c>
      <c r="G1200" t="s">
        <v>20</v>
      </c>
      <c r="H1200">
        <v>3</v>
      </c>
      <c r="I1200">
        <v>2</v>
      </c>
      <c r="J1200" t="s">
        <v>21</v>
      </c>
      <c r="K1200">
        <v>4</v>
      </c>
      <c r="L1200">
        <v>5368</v>
      </c>
      <c r="M1200" t="str" cm="1">
        <f t="array" ref="M1200">_xlfn.IFS(L1200&lt;= 7000,"Low",L1200&lt;=15000,"Medium",L1200&lt;=20000,"High")</f>
        <v>Low</v>
      </c>
      <c r="N1200" t="s">
        <v>18</v>
      </c>
      <c r="O1200">
        <v>25</v>
      </c>
      <c r="P1200">
        <v>4</v>
      </c>
      <c r="Q1200">
        <v>3</v>
      </c>
      <c r="R1200">
        <v>7</v>
      </c>
      <c r="S1200">
        <v>3</v>
      </c>
      <c r="T1200">
        <v>6</v>
      </c>
      <c r="U1200">
        <v>5</v>
      </c>
    </row>
    <row r="1201" spans="1:21" x14ac:dyDescent="0.35">
      <c r="A1201">
        <v>36</v>
      </c>
      <c r="B1201" t="str" cm="1">
        <f t="array" ref="B1201">_xlfn.IFS(A1201&gt;40,"Senior",A1201&gt;30,"Adult",A1201&gt;=18,"Teenager")</f>
        <v>Adult</v>
      </c>
      <c r="C1201" t="s">
        <v>22</v>
      </c>
      <c r="D1201">
        <f t="shared" si="18"/>
        <v>0</v>
      </c>
      <c r="E1201" t="s">
        <v>23</v>
      </c>
      <c r="F1201">
        <v>1</v>
      </c>
      <c r="G1201" t="s">
        <v>24</v>
      </c>
      <c r="H1201">
        <v>3</v>
      </c>
      <c r="I1201">
        <v>2</v>
      </c>
      <c r="J1201" t="s">
        <v>28</v>
      </c>
      <c r="K1201">
        <v>3</v>
      </c>
      <c r="L1201">
        <v>5347</v>
      </c>
      <c r="M1201" t="str" cm="1">
        <f t="array" ref="M1201">_xlfn.IFS(L1201&lt;= 7000,"Low",L1201&lt;=15000,"Medium",L1201&lt;=20000,"High")</f>
        <v>Low</v>
      </c>
      <c r="N1201" t="s">
        <v>22</v>
      </c>
      <c r="O1201">
        <v>14</v>
      </c>
      <c r="P1201">
        <v>3</v>
      </c>
      <c r="Q1201">
        <v>2</v>
      </c>
      <c r="R1201">
        <v>10</v>
      </c>
      <c r="S1201">
        <v>2</v>
      </c>
      <c r="T1201">
        <v>3</v>
      </c>
      <c r="U1201">
        <v>2</v>
      </c>
    </row>
    <row r="1202" spans="1:21" x14ac:dyDescent="0.35">
      <c r="A1202">
        <v>44</v>
      </c>
      <c r="B1202" t="str" cm="1">
        <f t="array" ref="B1202">_xlfn.IFS(A1202&gt;40,"Senior",A1202&gt;30,"Adult",A1202&gt;=18,"Teenager")</f>
        <v>Senior</v>
      </c>
      <c r="C1202" t="s">
        <v>22</v>
      </c>
      <c r="D1202">
        <f t="shared" si="18"/>
        <v>0</v>
      </c>
      <c r="E1202" t="s">
        <v>32</v>
      </c>
      <c r="F1202">
        <v>3</v>
      </c>
      <c r="G1202" t="s">
        <v>20</v>
      </c>
      <c r="H1202">
        <v>3</v>
      </c>
      <c r="I1202">
        <v>1</v>
      </c>
      <c r="J1202" t="s">
        <v>32</v>
      </c>
      <c r="K1202">
        <v>4</v>
      </c>
      <c r="L1202">
        <v>3195</v>
      </c>
      <c r="M1202" t="str" cm="1">
        <f t="array" ref="M1202">_xlfn.IFS(L1202&lt;= 7000,"Low",L1202&lt;=15000,"Medium",L1202&lt;=20000,"High")</f>
        <v>Low</v>
      </c>
      <c r="N1202" t="s">
        <v>18</v>
      </c>
      <c r="O1202">
        <v>18</v>
      </c>
      <c r="P1202">
        <v>3</v>
      </c>
      <c r="Q1202">
        <v>1</v>
      </c>
      <c r="R1202">
        <v>8</v>
      </c>
      <c r="S1202">
        <v>3</v>
      </c>
      <c r="T1202">
        <v>2</v>
      </c>
      <c r="U1202">
        <v>2</v>
      </c>
    </row>
    <row r="1203" spans="1:21" x14ac:dyDescent="0.35">
      <c r="A1203">
        <v>23</v>
      </c>
      <c r="B1203" t="str" cm="1">
        <f t="array" ref="B1203">_xlfn.IFS(A1203&gt;40,"Senior",A1203&gt;30,"Adult",A1203&gt;=18,"Teenager")</f>
        <v>Teenager</v>
      </c>
      <c r="C1203" t="s">
        <v>18</v>
      </c>
      <c r="D1203">
        <f t="shared" si="18"/>
        <v>1</v>
      </c>
      <c r="E1203" t="s">
        <v>23</v>
      </c>
      <c r="F1203">
        <v>4</v>
      </c>
      <c r="G1203" t="s">
        <v>24</v>
      </c>
      <c r="H1203">
        <v>2</v>
      </c>
      <c r="I1203">
        <v>1</v>
      </c>
      <c r="J1203" t="s">
        <v>26</v>
      </c>
      <c r="K1203">
        <v>3</v>
      </c>
      <c r="L1203">
        <v>3989</v>
      </c>
      <c r="M1203" t="str" cm="1">
        <f t="array" ref="M1203">_xlfn.IFS(L1203&lt;= 7000,"Low",L1203&lt;=15000,"Medium",L1203&lt;=20000,"High")</f>
        <v>Low</v>
      </c>
      <c r="N1203" t="s">
        <v>18</v>
      </c>
      <c r="O1203">
        <v>11</v>
      </c>
      <c r="P1203">
        <v>3</v>
      </c>
      <c r="Q1203">
        <v>1</v>
      </c>
      <c r="R1203">
        <v>5</v>
      </c>
      <c r="S1203">
        <v>3</v>
      </c>
      <c r="T1203">
        <v>5</v>
      </c>
      <c r="U1203">
        <v>4</v>
      </c>
    </row>
    <row r="1204" spans="1:21" x14ac:dyDescent="0.35">
      <c r="A1204">
        <v>38</v>
      </c>
      <c r="B1204" t="str" cm="1">
        <f t="array" ref="B1204">_xlfn.IFS(A1204&gt;40,"Senior",A1204&gt;30,"Adult",A1204&gt;=18,"Teenager")</f>
        <v>Adult</v>
      </c>
      <c r="C1204" t="s">
        <v>22</v>
      </c>
      <c r="D1204">
        <f t="shared" si="18"/>
        <v>0</v>
      </c>
      <c r="E1204" t="s">
        <v>23</v>
      </c>
      <c r="F1204">
        <v>4</v>
      </c>
      <c r="G1204" t="s">
        <v>20</v>
      </c>
      <c r="H1204">
        <v>3</v>
      </c>
      <c r="I1204">
        <v>1</v>
      </c>
      <c r="J1204" t="s">
        <v>26</v>
      </c>
      <c r="K1204">
        <v>3</v>
      </c>
      <c r="L1204">
        <v>3306</v>
      </c>
      <c r="M1204" t="str" cm="1">
        <f t="array" ref="M1204">_xlfn.IFS(L1204&lt;= 7000,"Low",L1204&lt;=15000,"Medium",L1204&lt;=20000,"High")</f>
        <v>Low</v>
      </c>
      <c r="N1204" t="s">
        <v>22</v>
      </c>
      <c r="O1204">
        <v>19</v>
      </c>
      <c r="P1204">
        <v>3</v>
      </c>
      <c r="Q1204">
        <v>4</v>
      </c>
      <c r="R1204">
        <v>7</v>
      </c>
      <c r="S1204">
        <v>2</v>
      </c>
      <c r="T1204">
        <v>0</v>
      </c>
      <c r="U1204">
        <v>0</v>
      </c>
    </row>
    <row r="1205" spans="1:21" x14ac:dyDescent="0.35">
      <c r="A1205">
        <v>53</v>
      </c>
      <c r="B1205" t="str" cm="1">
        <f t="array" ref="B1205">_xlfn.IFS(A1205&gt;40,"Senior",A1205&gt;30,"Adult",A1205&gt;=18,"Teenager")</f>
        <v>Senior</v>
      </c>
      <c r="C1205" t="s">
        <v>22</v>
      </c>
      <c r="D1205">
        <f t="shared" si="18"/>
        <v>0</v>
      </c>
      <c r="E1205" t="s">
        <v>23</v>
      </c>
      <c r="F1205">
        <v>2</v>
      </c>
      <c r="G1205" t="s">
        <v>24</v>
      </c>
      <c r="H1205">
        <v>4</v>
      </c>
      <c r="I1205">
        <v>3</v>
      </c>
      <c r="J1205" t="s">
        <v>28</v>
      </c>
      <c r="K1205">
        <v>4</v>
      </c>
      <c r="L1205">
        <v>7005</v>
      </c>
      <c r="M1205" t="str" cm="1">
        <f t="array" ref="M1205">_xlfn.IFS(L1205&lt;= 7000,"Low",L1205&lt;=15000,"Medium",L1205&lt;=20000,"High")</f>
        <v>Medium</v>
      </c>
      <c r="N1205" t="s">
        <v>22</v>
      </c>
      <c r="O1205">
        <v>15</v>
      </c>
      <c r="P1205">
        <v>3</v>
      </c>
      <c r="Q1205">
        <v>3</v>
      </c>
      <c r="R1205">
        <v>11</v>
      </c>
      <c r="S1205">
        <v>3</v>
      </c>
      <c r="T1205">
        <v>4</v>
      </c>
      <c r="U1205">
        <v>3</v>
      </c>
    </row>
    <row r="1206" spans="1:21" x14ac:dyDescent="0.35">
      <c r="A1206">
        <v>48</v>
      </c>
      <c r="B1206" t="str" cm="1">
        <f t="array" ref="B1206">_xlfn.IFS(A1206&gt;40,"Senior",A1206&gt;30,"Adult",A1206&gt;=18,"Teenager")</f>
        <v>Senior</v>
      </c>
      <c r="C1206" t="s">
        <v>18</v>
      </c>
      <c r="D1206">
        <f t="shared" si="18"/>
        <v>1</v>
      </c>
      <c r="E1206" t="s">
        <v>19</v>
      </c>
      <c r="F1206">
        <v>4</v>
      </c>
      <c r="G1206" t="s">
        <v>20</v>
      </c>
      <c r="H1206">
        <v>3</v>
      </c>
      <c r="I1206">
        <v>1</v>
      </c>
      <c r="J1206" t="s">
        <v>30</v>
      </c>
      <c r="K1206">
        <v>3</v>
      </c>
      <c r="L1206">
        <v>2655</v>
      </c>
      <c r="M1206" t="str" cm="1">
        <f t="array" ref="M1206">_xlfn.IFS(L1206&lt;= 7000,"Low",L1206&lt;=15000,"Medium",L1206&lt;=20000,"High")</f>
        <v>Low</v>
      </c>
      <c r="N1206" t="s">
        <v>18</v>
      </c>
      <c r="O1206">
        <v>11</v>
      </c>
      <c r="P1206">
        <v>3</v>
      </c>
      <c r="Q1206">
        <v>3</v>
      </c>
      <c r="R1206">
        <v>19</v>
      </c>
      <c r="S1206">
        <v>3</v>
      </c>
      <c r="T1206">
        <v>9</v>
      </c>
      <c r="U1206">
        <v>7</v>
      </c>
    </row>
    <row r="1207" spans="1:21" x14ac:dyDescent="0.35">
      <c r="A1207">
        <v>32</v>
      </c>
      <c r="B1207" t="str" cm="1">
        <f t="array" ref="B1207">_xlfn.IFS(A1207&gt;40,"Senior",A1207&gt;30,"Adult",A1207&gt;=18,"Teenager")</f>
        <v>Adult</v>
      </c>
      <c r="C1207" t="s">
        <v>18</v>
      </c>
      <c r="D1207">
        <f t="shared" si="18"/>
        <v>1</v>
      </c>
      <c r="E1207" t="s">
        <v>23</v>
      </c>
      <c r="F1207">
        <v>4</v>
      </c>
      <c r="G1207" t="s">
        <v>24</v>
      </c>
      <c r="H1207">
        <v>3</v>
      </c>
      <c r="I1207">
        <v>1</v>
      </c>
      <c r="J1207" t="s">
        <v>26</v>
      </c>
      <c r="K1207">
        <v>2</v>
      </c>
      <c r="L1207">
        <v>1393</v>
      </c>
      <c r="M1207" t="str" cm="1">
        <f t="array" ref="M1207">_xlfn.IFS(L1207&lt;= 7000,"Low",L1207&lt;=15000,"Medium",L1207&lt;=20000,"High")</f>
        <v>Low</v>
      </c>
      <c r="N1207" t="s">
        <v>22</v>
      </c>
      <c r="O1207">
        <v>12</v>
      </c>
      <c r="P1207">
        <v>3</v>
      </c>
      <c r="Q1207">
        <v>1</v>
      </c>
      <c r="R1207">
        <v>1</v>
      </c>
      <c r="S1207">
        <v>3</v>
      </c>
      <c r="T1207">
        <v>1</v>
      </c>
      <c r="U1207">
        <v>0</v>
      </c>
    </row>
    <row r="1208" spans="1:21" x14ac:dyDescent="0.35">
      <c r="A1208">
        <v>26</v>
      </c>
      <c r="B1208" t="str" cm="1">
        <f t="array" ref="B1208">_xlfn.IFS(A1208&gt;40,"Senior",A1208&gt;30,"Adult",A1208&gt;=18,"Teenager")</f>
        <v>Teenager</v>
      </c>
      <c r="C1208" t="s">
        <v>22</v>
      </c>
      <c r="D1208">
        <f t="shared" si="18"/>
        <v>0</v>
      </c>
      <c r="E1208" t="s">
        <v>23</v>
      </c>
      <c r="F1208">
        <v>4</v>
      </c>
      <c r="G1208" t="s">
        <v>24</v>
      </c>
      <c r="H1208">
        <v>3</v>
      </c>
      <c r="I1208">
        <v>1</v>
      </c>
      <c r="J1208" t="s">
        <v>26</v>
      </c>
      <c r="K1208">
        <v>4</v>
      </c>
      <c r="L1208">
        <v>2570</v>
      </c>
      <c r="M1208" t="str" cm="1">
        <f t="array" ref="M1208">_xlfn.IFS(L1208&lt;= 7000,"Low",L1208&lt;=15000,"Medium",L1208&lt;=20000,"High")</f>
        <v>Low</v>
      </c>
      <c r="N1208" t="s">
        <v>22</v>
      </c>
      <c r="O1208">
        <v>20</v>
      </c>
      <c r="P1208">
        <v>4</v>
      </c>
      <c r="Q1208">
        <v>3</v>
      </c>
      <c r="R1208">
        <v>7</v>
      </c>
      <c r="S1208">
        <v>3</v>
      </c>
      <c r="T1208">
        <v>7</v>
      </c>
      <c r="U1208">
        <v>7</v>
      </c>
    </row>
    <row r="1209" spans="1:21" x14ac:dyDescent="0.35">
      <c r="A1209">
        <v>55</v>
      </c>
      <c r="B1209" t="str" cm="1">
        <f t="array" ref="B1209">_xlfn.IFS(A1209&gt;40,"Senior",A1209&gt;30,"Adult",A1209&gt;=18,"Teenager")</f>
        <v>Senior</v>
      </c>
      <c r="C1209" t="s">
        <v>22</v>
      </c>
      <c r="D1209">
        <f t="shared" si="18"/>
        <v>0</v>
      </c>
      <c r="E1209" t="s">
        <v>23</v>
      </c>
      <c r="F1209">
        <v>1</v>
      </c>
      <c r="G1209" t="s">
        <v>24</v>
      </c>
      <c r="H1209">
        <v>2</v>
      </c>
      <c r="I1209">
        <v>1</v>
      </c>
      <c r="J1209" t="s">
        <v>25</v>
      </c>
      <c r="K1209">
        <v>2</v>
      </c>
      <c r="L1209">
        <v>3537</v>
      </c>
      <c r="M1209" t="str" cm="1">
        <f t="array" ref="M1209">_xlfn.IFS(L1209&lt;= 7000,"Low",L1209&lt;=15000,"Medium",L1209&lt;=20000,"High")</f>
        <v>Low</v>
      </c>
      <c r="N1209" t="s">
        <v>22</v>
      </c>
      <c r="O1209">
        <v>12</v>
      </c>
      <c r="P1209">
        <v>3</v>
      </c>
      <c r="Q1209">
        <v>4</v>
      </c>
      <c r="R1209">
        <v>8</v>
      </c>
      <c r="S1209">
        <v>3</v>
      </c>
      <c r="T1209">
        <v>4</v>
      </c>
      <c r="U1209">
        <v>2</v>
      </c>
    </row>
    <row r="1210" spans="1:21" x14ac:dyDescent="0.35">
      <c r="A1210">
        <v>34</v>
      </c>
      <c r="B1210" t="str" cm="1">
        <f t="array" ref="B1210">_xlfn.IFS(A1210&gt;40,"Senior",A1210&gt;30,"Adult",A1210&gt;=18,"Teenager")</f>
        <v>Adult</v>
      </c>
      <c r="C1210" t="s">
        <v>22</v>
      </c>
      <c r="D1210">
        <f t="shared" si="18"/>
        <v>0</v>
      </c>
      <c r="E1210" t="s">
        <v>23</v>
      </c>
      <c r="F1210">
        <v>2</v>
      </c>
      <c r="G1210" t="s">
        <v>24</v>
      </c>
      <c r="H1210">
        <v>2</v>
      </c>
      <c r="I1210">
        <v>2</v>
      </c>
      <c r="J1210" t="s">
        <v>26</v>
      </c>
      <c r="K1210">
        <v>4</v>
      </c>
      <c r="L1210">
        <v>3986</v>
      </c>
      <c r="M1210" t="str" cm="1">
        <f t="array" ref="M1210">_xlfn.IFS(L1210&lt;= 7000,"Low",L1210&lt;=15000,"Medium",L1210&lt;=20000,"High")</f>
        <v>Low</v>
      </c>
      <c r="N1210" t="s">
        <v>22</v>
      </c>
      <c r="O1210">
        <v>14</v>
      </c>
      <c r="P1210">
        <v>3</v>
      </c>
      <c r="Q1210">
        <v>3</v>
      </c>
      <c r="R1210">
        <v>15</v>
      </c>
      <c r="S1210">
        <v>4</v>
      </c>
      <c r="T1210">
        <v>15</v>
      </c>
      <c r="U1210">
        <v>10</v>
      </c>
    </row>
    <row r="1211" spans="1:21" x14ac:dyDescent="0.35">
      <c r="A1211">
        <v>60</v>
      </c>
      <c r="B1211" t="str" cm="1">
        <f t="array" ref="B1211">_xlfn.IFS(A1211&gt;40,"Senior",A1211&gt;30,"Adult",A1211&gt;=18,"Teenager")</f>
        <v>Senior</v>
      </c>
      <c r="C1211" t="s">
        <v>22</v>
      </c>
      <c r="D1211">
        <f t="shared" si="18"/>
        <v>0</v>
      </c>
      <c r="E1211" t="s">
        <v>23</v>
      </c>
      <c r="F1211">
        <v>3</v>
      </c>
      <c r="G1211" t="s">
        <v>24</v>
      </c>
      <c r="H1211">
        <v>1</v>
      </c>
      <c r="I1211">
        <v>3</v>
      </c>
      <c r="J1211" t="s">
        <v>28</v>
      </c>
      <c r="K1211">
        <v>4</v>
      </c>
      <c r="L1211">
        <v>10883</v>
      </c>
      <c r="M1211" t="str" cm="1">
        <f t="array" ref="M1211">_xlfn.IFS(L1211&lt;= 7000,"Low",L1211&lt;=15000,"Medium",L1211&lt;=20000,"High")</f>
        <v>Medium</v>
      </c>
      <c r="N1211" t="s">
        <v>22</v>
      </c>
      <c r="O1211">
        <v>20</v>
      </c>
      <c r="P1211">
        <v>4</v>
      </c>
      <c r="Q1211">
        <v>3</v>
      </c>
      <c r="R1211">
        <v>19</v>
      </c>
      <c r="S1211">
        <v>4</v>
      </c>
      <c r="T1211">
        <v>1</v>
      </c>
      <c r="U1211">
        <v>0</v>
      </c>
    </row>
    <row r="1212" spans="1:21" x14ac:dyDescent="0.35">
      <c r="A1212">
        <v>33</v>
      </c>
      <c r="B1212" t="str" cm="1">
        <f t="array" ref="B1212">_xlfn.IFS(A1212&gt;40,"Senior",A1212&gt;30,"Adult",A1212&gt;=18,"Teenager")</f>
        <v>Adult</v>
      </c>
      <c r="C1212" t="s">
        <v>22</v>
      </c>
      <c r="D1212">
        <f t="shared" si="18"/>
        <v>0</v>
      </c>
      <c r="E1212" t="s">
        <v>23</v>
      </c>
      <c r="F1212">
        <v>2</v>
      </c>
      <c r="G1212" t="s">
        <v>24</v>
      </c>
      <c r="H1212">
        <v>4</v>
      </c>
      <c r="I1212">
        <v>1</v>
      </c>
      <c r="J1212" t="s">
        <v>26</v>
      </c>
      <c r="K1212">
        <v>2</v>
      </c>
      <c r="L1212">
        <v>2028</v>
      </c>
      <c r="M1212" t="str" cm="1">
        <f t="array" ref="M1212">_xlfn.IFS(L1212&lt;= 7000,"Low",L1212&lt;=15000,"Medium",L1212&lt;=20000,"High")</f>
        <v>Low</v>
      </c>
      <c r="N1212" t="s">
        <v>22</v>
      </c>
      <c r="O1212">
        <v>18</v>
      </c>
      <c r="P1212">
        <v>3</v>
      </c>
      <c r="Q1212">
        <v>4</v>
      </c>
      <c r="R1212">
        <v>14</v>
      </c>
      <c r="S1212">
        <v>3</v>
      </c>
      <c r="T1212">
        <v>14</v>
      </c>
      <c r="U1212">
        <v>11</v>
      </c>
    </row>
    <row r="1213" spans="1:21" x14ac:dyDescent="0.35">
      <c r="A1213">
        <v>37</v>
      </c>
      <c r="B1213" t="str" cm="1">
        <f t="array" ref="B1213">_xlfn.IFS(A1213&gt;40,"Senior",A1213&gt;30,"Adult",A1213&gt;=18,"Teenager")</f>
        <v>Adult</v>
      </c>
      <c r="C1213" t="s">
        <v>22</v>
      </c>
      <c r="D1213">
        <f t="shared" si="18"/>
        <v>0</v>
      </c>
      <c r="E1213" t="s">
        <v>19</v>
      </c>
      <c r="F1213">
        <v>3</v>
      </c>
      <c r="G1213" t="s">
        <v>24</v>
      </c>
      <c r="H1213">
        <v>1</v>
      </c>
      <c r="I1213">
        <v>2</v>
      </c>
      <c r="J1213" t="s">
        <v>21</v>
      </c>
      <c r="K1213">
        <v>4</v>
      </c>
      <c r="L1213">
        <v>9525</v>
      </c>
      <c r="M1213" t="str" cm="1">
        <f t="array" ref="M1213">_xlfn.IFS(L1213&lt;= 7000,"Low",L1213&lt;=15000,"Medium",L1213&lt;=20000,"High")</f>
        <v>Medium</v>
      </c>
      <c r="N1213" t="s">
        <v>22</v>
      </c>
      <c r="O1213">
        <v>14</v>
      </c>
      <c r="P1213">
        <v>3</v>
      </c>
      <c r="Q1213">
        <v>3</v>
      </c>
      <c r="R1213">
        <v>6</v>
      </c>
      <c r="S1213">
        <v>2</v>
      </c>
      <c r="T1213">
        <v>6</v>
      </c>
      <c r="U1213">
        <v>3</v>
      </c>
    </row>
    <row r="1214" spans="1:21" x14ac:dyDescent="0.35">
      <c r="A1214">
        <v>34</v>
      </c>
      <c r="B1214" t="str" cm="1">
        <f t="array" ref="B1214">_xlfn.IFS(A1214&gt;40,"Senior",A1214&gt;30,"Adult",A1214&gt;=18,"Teenager")</f>
        <v>Adult</v>
      </c>
      <c r="C1214" t="s">
        <v>22</v>
      </c>
      <c r="D1214">
        <f t="shared" si="18"/>
        <v>0</v>
      </c>
      <c r="E1214" t="s">
        <v>23</v>
      </c>
      <c r="F1214">
        <v>2</v>
      </c>
      <c r="G1214" t="s">
        <v>20</v>
      </c>
      <c r="H1214">
        <v>2</v>
      </c>
      <c r="I1214">
        <v>1</v>
      </c>
      <c r="J1214" t="s">
        <v>25</v>
      </c>
      <c r="K1214">
        <v>4</v>
      </c>
      <c r="L1214">
        <v>2929</v>
      </c>
      <c r="M1214" t="str" cm="1">
        <f t="array" ref="M1214">_xlfn.IFS(L1214&lt;= 7000,"Low",L1214&lt;=15000,"Medium",L1214&lt;=20000,"High")</f>
        <v>Low</v>
      </c>
      <c r="N1214" t="s">
        <v>22</v>
      </c>
      <c r="O1214">
        <v>12</v>
      </c>
      <c r="P1214">
        <v>3</v>
      </c>
      <c r="Q1214">
        <v>2</v>
      </c>
      <c r="R1214">
        <v>10</v>
      </c>
      <c r="S1214">
        <v>3</v>
      </c>
      <c r="T1214">
        <v>10</v>
      </c>
      <c r="U1214">
        <v>9</v>
      </c>
    </row>
    <row r="1215" spans="1:21" x14ac:dyDescent="0.35">
      <c r="A1215">
        <v>23</v>
      </c>
      <c r="B1215" t="str" cm="1">
        <f t="array" ref="B1215">_xlfn.IFS(A1215&gt;40,"Senior",A1215&gt;30,"Adult",A1215&gt;=18,"Teenager")</f>
        <v>Teenager</v>
      </c>
      <c r="C1215" t="s">
        <v>18</v>
      </c>
      <c r="D1215">
        <f t="shared" si="18"/>
        <v>1</v>
      </c>
      <c r="E1215" t="s">
        <v>19</v>
      </c>
      <c r="F1215">
        <v>3</v>
      </c>
      <c r="G1215" t="s">
        <v>24</v>
      </c>
      <c r="H1215">
        <v>3</v>
      </c>
      <c r="I1215">
        <v>1</v>
      </c>
      <c r="J1215" t="s">
        <v>30</v>
      </c>
      <c r="K1215">
        <v>4</v>
      </c>
      <c r="L1215">
        <v>2275</v>
      </c>
      <c r="M1215" t="str" cm="1">
        <f t="array" ref="M1215">_xlfn.IFS(L1215&lt;= 7000,"Low",L1215&lt;=15000,"Medium",L1215&lt;=20000,"High")</f>
        <v>Low</v>
      </c>
      <c r="N1215" t="s">
        <v>18</v>
      </c>
      <c r="O1215">
        <v>21</v>
      </c>
      <c r="P1215">
        <v>4</v>
      </c>
      <c r="Q1215">
        <v>2</v>
      </c>
      <c r="R1215">
        <v>3</v>
      </c>
      <c r="S1215">
        <v>3</v>
      </c>
      <c r="T1215">
        <v>3</v>
      </c>
      <c r="U1215">
        <v>2</v>
      </c>
    </row>
    <row r="1216" spans="1:21" x14ac:dyDescent="0.35">
      <c r="A1216">
        <v>44</v>
      </c>
      <c r="B1216" t="str" cm="1">
        <f t="array" ref="B1216">_xlfn.IFS(A1216&gt;40,"Senior",A1216&gt;30,"Adult",A1216&gt;=18,"Teenager")</f>
        <v>Senior</v>
      </c>
      <c r="C1216" t="s">
        <v>22</v>
      </c>
      <c r="D1216">
        <f t="shared" si="18"/>
        <v>0</v>
      </c>
      <c r="E1216" t="s">
        <v>23</v>
      </c>
      <c r="F1216">
        <v>3</v>
      </c>
      <c r="G1216" t="s">
        <v>20</v>
      </c>
      <c r="H1216">
        <v>4</v>
      </c>
      <c r="I1216">
        <v>3</v>
      </c>
      <c r="J1216" t="s">
        <v>28</v>
      </c>
      <c r="K1216">
        <v>4</v>
      </c>
      <c r="L1216">
        <v>7879</v>
      </c>
      <c r="M1216" t="str" cm="1">
        <f t="array" ref="M1216">_xlfn.IFS(L1216&lt;= 7000,"Low",L1216&lt;=15000,"Medium",L1216&lt;=20000,"High")</f>
        <v>Medium</v>
      </c>
      <c r="N1216" t="s">
        <v>18</v>
      </c>
      <c r="O1216">
        <v>19</v>
      </c>
      <c r="P1216">
        <v>3</v>
      </c>
      <c r="Q1216">
        <v>2</v>
      </c>
      <c r="R1216">
        <v>9</v>
      </c>
      <c r="S1216">
        <v>3</v>
      </c>
      <c r="T1216">
        <v>8</v>
      </c>
      <c r="U1216">
        <v>7</v>
      </c>
    </row>
    <row r="1217" spans="1:21" x14ac:dyDescent="0.35">
      <c r="A1217">
        <v>35</v>
      </c>
      <c r="B1217" t="str" cm="1">
        <f t="array" ref="B1217">_xlfn.IFS(A1217&gt;40,"Senior",A1217&gt;30,"Adult",A1217&gt;=18,"Teenager")</f>
        <v>Adult</v>
      </c>
      <c r="C1217" t="s">
        <v>22</v>
      </c>
      <c r="D1217">
        <f t="shared" si="18"/>
        <v>0</v>
      </c>
      <c r="E1217" t="s">
        <v>23</v>
      </c>
      <c r="F1217">
        <v>1</v>
      </c>
      <c r="G1217" t="s">
        <v>24</v>
      </c>
      <c r="H1217">
        <v>2</v>
      </c>
      <c r="I1217">
        <v>1</v>
      </c>
      <c r="J1217" t="s">
        <v>25</v>
      </c>
      <c r="K1217">
        <v>4</v>
      </c>
      <c r="L1217">
        <v>4930</v>
      </c>
      <c r="M1217" t="str" cm="1">
        <f t="array" ref="M1217">_xlfn.IFS(L1217&lt;= 7000,"Low",L1217&lt;=15000,"Medium",L1217&lt;=20000,"High")</f>
        <v>Low</v>
      </c>
      <c r="N1217" t="s">
        <v>18</v>
      </c>
      <c r="O1217">
        <v>14</v>
      </c>
      <c r="P1217">
        <v>3</v>
      </c>
      <c r="Q1217">
        <v>3</v>
      </c>
      <c r="R1217">
        <v>6</v>
      </c>
      <c r="S1217">
        <v>4</v>
      </c>
      <c r="T1217">
        <v>5</v>
      </c>
      <c r="U1217">
        <v>4</v>
      </c>
    </row>
    <row r="1218" spans="1:21" x14ac:dyDescent="0.35">
      <c r="A1218">
        <v>43</v>
      </c>
      <c r="B1218" t="str" cm="1">
        <f t="array" ref="B1218">_xlfn.IFS(A1218&gt;40,"Senior",A1218&gt;30,"Adult",A1218&gt;=18,"Teenager")</f>
        <v>Senior</v>
      </c>
      <c r="C1218" t="s">
        <v>22</v>
      </c>
      <c r="D1218">
        <f t="shared" si="18"/>
        <v>0</v>
      </c>
      <c r="E1218" t="s">
        <v>19</v>
      </c>
      <c r="F1218">
        <v>4</v>
      </c>
      <c r="G1218" t="s">
        <v>24</v>
      </c>
      <c r="H1218">
        <v>3</v>
      </c>
      <c r="I1218">
        <v>2</v>
      </c>
      <c r="J1218" t="s">
        <v>21</v>
      </c>
      <c r="K1218">
        <v>4</v>
      </c>
      <c r="L1218">
        <v>7847</v>
      </c>
      <c r="M1218" t="str" cm="1">
        <f t="array" ref="M1218">_xlfn.IFS(L1218&lt;= 7000,"Low",L1218&lt;=15000,"Medium",L1218&lt;=20000,"High")</f>
        <v>Medium</v>
      </c>
      <c r="N1218" t="s">
        <v>18</v>
      </c>
      <c r="O1218">
        <v>17</v>
      </c>
      <c r="P1218">
        <v>3</v>
      </c>
      <c r="Q1218">
        <v>1</v>
      </c>
      <c r="R1218">
        <v>10</v>
      </c>
      <c r="S1218">
        <v>3</v>
      </c>
      <c r="T1218">
        <v>10</v>
      </c>
      <c r="U1218">
        <v>9</v>
      </c>
    </row>
    <row r="1219" spans="1:21" x14ac:dyDescent="0.35">
      <c r="A1219">
        <v>24</v>
      </c>
      <c r="B1219" t="str" cm="1">
        <f t="array" ref="B1219">_xlfn.IFS(A1219&gt;40,"Senior",A1219&gt;30,"Adult",A1219&gt;=18,"Teenager")</f>
        <v>Teenager</v>
      </c>
      <c r="C1219" t="s">
        <v>22</v>
      </c>
      <c r="D1219">
        <f t="shared" ref="D1219:D1282" si="19">IF(C1219="Yes",1,0)</f>
        <v>0</v>
      </c>
      <c r="E1219" t="s">
        <v>23</v>
      </c>
      <c r="F1219">
        <v>3</v>
      </c>
      <c r="G1219" t="s">
        <v>24</v>
      </c>
      <c r="H1219">
        <v>4</v>
      </c>
      <c r="I1219">
        <v>1</v>
      </c>
      <c r="J1219" t="s">
        <v>25</v>
      </c>
      <c r="K1219">
        <v>3</v>
      </c>
      <c r="L1219">
        <v>4401</v>
      </c>
      <c r="M1219" t="str" cm="1">
        <f t="array" ref="M1219">_xlfn.IFS(L1219&lt;= 7000,"Low",L1219&lt;=15000,"Medium",L1219&lt;=20000,"High")</f>
        <v>Low</v>
      </c>
      <c r="N1219" t="s">
        <v>22</v>
      </c>
      <c r="O1219">
        <v>16</v>
      </c>
      <c r="P1219">
        <v>3</v>
      </c>
      <c r="Q1219">
        <v>4</v>
      </c>
      <c r="R1219">
        <v>5</v>
      </c>
      <c r="S1219">
        <v>3</v>
      </c>
      <c r="T1219">
        <v>5</v>
      </c>
      <c r="U1219">
        <v>3</v>
      </c>
    </row>
    <row r="1220" spans="1:21" x14ac:dyDescent="0.35">
      <c r="A1220">
        <v>41</v>
      </c>
      <c r="B1220" t="str" cm="1">
        <f t="array" ref="B1220">_xlfn.IFS(A1220&gt;40,"Senior",A1220&gt;30,"Adult",A1220&gt;=18,"Teenager")</f>
        <v>Senior</v>
      </c>
      <c r="C1220" t="s">
        <v>22</v>
      </c>
      <c r="D1220">
        <f t="shared" si="19"/>
        <v>0</v>
      </c>
      <c r="E1220" t="s">
        <v>19</v>
      </c>
      <c r="F1220">
        <v>4</v>
      </c>
      <c r="G1220" t="s">
        <v>24</v>
      </c>
      <c r="H1220">
        <v>3</v>
      </c>
      <c r="I1220">
        <v>3</v>
      </c>
      <c r="J1220" t="s">
        <v>21</v>
      </c>
      <c r="K1220">
        <v>3</v>
      </c>
      <c r="L1220">
        <v>9241</v>
      </c>
      <c r="M1220" t="str" cm="1">
        <f t="array" ref="M1220">_xlfn.IFS(L1220&lt;= 7000,"Low",L1220&lt;=15000,"Medium",L1220&lt;=20000,"High")</f>
        <v>Medium</v>
      </c>
      <c r="N1220" t="s">
        <v>22</v>
      </c>
      <c r="O1220">
        <v>12</v>
      </c>
      <c r="P1220">
        <v>3</v>
      </c>
      <c r="Q1220">
        <v>2</v>
      </c>
      <c r="R1220">
        <v>10</v>
      </c>
      <c r="S1220">
        <v>3</v>
      </c>
      <c r="T1220">
        <v>10</v>
      </c>
      <c r="U1220">
        <v>8</v>
      </c>
    </row>
    <row r="1221" spans="1:21" x14ac:dyDescent="0.35">
      <c r="A1221">
        <v>29</v>
      </c>
      <c r="B1221" t="str" cm="1">
        <f t="array" ref="B1221">_xlfn.IFS(A1221&gt;40,"Senior",A1221&gt;30,"Adult",A1221&gt;=18,"Teenager")</f>
        <v>Teenager</v>
      </c>
      <c r="C1221" t="s">
        <v>22</v>
      </c>
      <c r="D1221">
        <f t="shared" si="19"/>
        <v>0</v>
      </c>
      <c r="E1221" t="s">
        <v>23</v>
      </c>
      <c r="F1221">
        <v>4</v>
      </c>
      <c r="G1221" t="s">
        <v>20</v>
      </c>
      <c r="H1221">
        <v>3</v>
      </c>
      <c r="I1221">
        <v>1</v>
      </c>
      <c r="J1221" t="s">
        <v>26</v>
      </c>
      <c r="K1221">
        <v>3</v>
      </c>
      <c r="L1221">
        <v>2974</v>
      </c>
      <c r="M1221" t="str" cm="1">
        <f t="array" ref="M1221">_xlfn.IFS(L1221&lt;= 7000,"Low",L1221&lt;=15000,"Medium",L1221&lt;=20000,"High")</f>
        <v>Low</v>
      </c>
      <c r="N1221" t="s">
        <v>22</v>
      </c>
      <c r="O1221">
        <v>17</v>
      </c>
      <c r="P1221">
        <v>3</v>
      </c>
      <c r="Q1221">
        <v>3</v>
      </c>
      <c r="R1221">
        <v>9</v>
      </c>
      <c r="S1221">
        <v>3</v>
      </c>
      <c r="T1221">
        <v>5</v>
      </c>
      <c r="U1221">
        <v>3</v>
      </c>
    </row>
    <row r="1222" spans="1:21" x14ac:dyDescent="0.35">
      <c r="A1222">
        <v>36</v>
      </c>
      <c r="B1222" t="str" cm="1">
        <f t="array" ref="B1222">_xlfn.IFS(A1222&gt;40,"Senior",A1222&gt;30,"Adult",A1222&gt;=18,"Teenager")</f>
        <v>Adult</v>
      </c>
      <c r="C1222" t="s">
        <v>22</v>
      </c>
      <c r="D1222">
        <f t="shared" si="19"/>
        <v>0</v>
      </c>
      <c r="E1222" t="s">
        <v>19</v>
      </c>
      <c r="F1222">
        <v>3</v>
      </c>
      <c r="G1222" t="s">
        <v>20</v>
      </c>
      <c r="H1222">
        <v>3</v>
      </c>
      <c r="I1222">
        <v>2</v>
      </c>
      <c r="J1222" t="s">
        <v>30</v>
      </c>
      <c r="K1222">
        <v>4</v>
      </c>
      <c r="L1222">
        <v>4502</v>
      </c>
      <c r="M1222" t="str" cm="1">
        <f t="array" ref="M1222">_xlfn.IFS(L1222&lt;= 7000,"Low",L1222&lt;=15000,"Medium",L1222&lt;=20000,"High")</f>
        <v>Low</v>
      </c>
      <c r="N1222" t="s">
        <v>22</v>
      </c>
      <c r="O1222">
        <v>15</v>
      </c>
      <c r="P1222">
        <v>3</v>
      </c>
      <c r="Q1222">
        <v>3</v>
      </c>
      <c r="R1222">
        <v>17</v>
      </c>
      <c r="S1222">
        <v>2</v>
      </c>
      <c r="T1222">
        <v>13</v>
      </c>
      <c r="U1222">
        <v>7</v>
      </c>
    </row>
    <row r="1223" spans="1:21" x14ac:dyDescent="0.35">
      <c r="A1223">
        <v>45</v>
      </c>
      <c r="B1223" t="str" cm="1">
        <f t="array" ref="B1223">_xlfn.IFS(A1223&gt;40,"Senior",A1223&gt;30,"Adult",A1223&gt;=18,"Teenager")</f>
        <v>Senior</v>
      </c>
      <c r="C1223" t="s">
        <v>22</v>
      </c>
      <c r="D1223">
        <f t="shared" si="19"/>
        <v>0</v>
      </c>
      <c r="E1223" t="s">
        <v>23</v>
      </c>
      <c r="F1223">
        <v>3</v>
      </c>
      <c r="G1223" t="s">
        <v>24</v>
      </c>
      <c r="H1223">
        <v>2</v>
      </c>
      <c r="I1223">
        <v>3</v>
      </c>
      <c r="J1223" t="s">
        <v>28</v>
      </c>
      <c r="K1223">
        <v>3</v>
      </c>
      <c r="L1223">
        <v>10748</v>
      </c>
      <c r="M1223" t="str" cm="1">
        <f t="array" ref="M1223">_xlfn.IFS(L1223&lt;= 7000,"Low",L1223&lt;=15000,"Medium",L1223&lt;=20000,"High")</f>
        <v>Medium</v>
      </c>
      <c r="N1223" t="s">
        <v>22</v>
      </c>
      <c r="O1223">
        <v>23</v>
      </c>
      <c r="P1223">
        <v>4</v>
      </c>
      <c r="Q1223">
        <v>4</v>
      </c>
      <c r="R1223">
        <v>25</v>
      </c>
      <c r="S1223">
        <v>2</v>
      </c>
      <c r="T1223">
        <v>23</v>
      </c>
      <c r="U1223">
        <v>15</v>
      </c>
    </row>
    <row r="1224" spans="1:21" x14ac:dyDescent="0.35">
      <c r="A1224">
        <v>24</v>
      </c>
      <c r="B1224" t="str" cm="1">
        <f t="array" ref="B1224">_xlfn.IFS(A1224&gt;40,"Senior",A1224&gt;30,"Adult",A1224&gt;=18,"Teenager")</f>
        <v>Teenager</v>
      </c>
      <c r="C1224" t="s">
        <v>18</v>
      </c>
      <c r="D1224">
        <f t="shared" si="19"/>
        <v>1</v>
      </c>
      <c r="E1224" t="s">
        <v>32</v>
      </c>
      <c r="F1224">
        <v>4</v>
      </c>
      <c r="G1224" t="s">
        <v>24</v>
      </c>
      <c r="H1224">
        <v>1</v>
      </c>
      <c r="I1224">
        <v>1</v>
      </c>
      <c r="J1224" t="s">
        <v>32</v>
      </c>
      <c r="K1224">
        <v>3</v>
      </c>
      <c r="L1224">
        <v>1555</v>
      </c>
      <c r="M1224" t="str" cm="1">
        <f t="array" ref="M1224">_xlfn.IFS(L1224&lt;= 7000,"Low",L1224&lt;=15000,"Medium",L1224&lt;=20000,"High")</f>
        <v>Low</v>
      </c>
      <c r="N1224" t="s">
        <v>22</v>
      </c>
      <c r="O1224">
        <v>11</v>
      </c>
      <c r="P1224">
        <v>3</v>
      </c>
      <c r="Q1224">
        <v>3</v>
      </c>
      <c r="R1224">
        <v>1</v>
      </c>
      <c r="S1224">
        <v>3</v>
      </c>
      <c r="T1224">
        <v>1</v>
      </c>
      <c r="U1224">
        <v>0</v>
      </c>
    </row>
    <row r="1225" spans="1:21" x14ac:dyDescent="0.35">
      <c r="A1225">
        <v>47</v>
      </c>
      <c r="B1225" t="str" cm="1">
        <f t="array" ref="B1225">_xlfn.IFS(A1225&gt;40,"Senior",A1225&gt;30,"Adult",A1225&gt;=18,"Teenager")</f>
        <v>Senior</v>
      </c>
      <c r="C1225" t="s">
        <v>18</v>
      </c>
      <c r="D1225">
        <f t="shared" si="19"/>
        <v>1</v>
      </c>
      <c r="E1225" t="s">
        <v>19</v>
      </c>
      <c r="F1225">
        <v>3</v>
      </c>
      <c r="G1225" t="s">
        <v>24</v>
      </c>
      <c r="H1225">
        <v>1</v>
      </c>
      <c r="I1225">
        <v>4</v>
      </c>
      <c r="J1225" t="s">
        <v>21</v>
      </c>
      <c r="K1225">
        <v>3</v>
      </c>
      <c r="L1225">
        <v>12936</v>
      </c>
      <c r="M1225" t="str" cm="1">
        <f t="array" ref="M1225">_xlfn.IFS(L1225&lt;= 7000,"Low",L1225&lt;=15000,"Medium",L1225&lt;=20000,"High")</f>
        <v>Medium</v>
      </c>
      <c r="N1225" t="s">
        <v>22</v>
      </c>
      <c r="O1225">
        <v>11</v>
      </c>
      <c r="P1225">
        <v>3</v>
      </c>
      <c r="Q1225">
        <v>3</v>
      </c>
      <c r="R1225">
        <v>25</v>
      </c>
      <c r="S1225">
        <v>1</v>
      </c>
      <c r="T1225">
        <v>23</v>
      </c>
      <c r="U1225">
        <v>5</v>
      </c>
    </row>
    <row r="1226" spans="1:21" x14ac:dyDescent="0.35">
      <c r="A1226">
        <v>26</v>
      </c>
      <c r="B1226" t="str" cm="1">
        <f t="array" ref="B1226">_xlfn.IFS(A1226&gt;40,"Senior",A1226&gt;30,"Adult",A1226&gt;=18,"Teenager")</f>
        <v>Teenager</v>
      </c>
      <c r="C1226" t="s">
        <v>22</v>
      </c>
      <c r="D1226">
        <f t="shared" si="19"/>
        <v>0</v>
      </c>
      <c r="E1226" t="s">
        <v>23</v>
      </c>
      <c r="F1226">
        <v>4</v>
      </c>
      <c r="G1226" t="s">
        <v>24</v>
      </c>
      <c r="H1226">
        <v>1</v>
      </c>
      <c r="I1226">
        <v>1</v>
      </c>
      <c r="J1226" t="s">
        <v>26</v>
      </c>
      <c r="K1226">
        <v>3</v>
      </c>
      <c r="L1226">
        <v>2305</v>
      </c>
      <c r="M1226" t="str" cm="1">
        <f t="array" ref="M1226">_xlfn.IFS(L1226&lt;= 7000,"Low",L1226&lt;=15000,"Medium",L1226&lt;=20000,"High")</f>
        <v>Low</v>
      </c>
      <c r="N1226" t="s">
        <v>22</v>
      </c>
      <c r="O1226">
        <v>15</v>
      </c>
      <c r="P1226">
        <v>3</v>
      </c>
      <c r="Q1226">
        <v>3</v>
      </c>
      <c r="R1226">
        <v>3</v>
      </c>
      <c r="S1226">
        <v>4</v>
      </c>
      <c r="T1226">
        <v>3</v>
      </c>
      <c r="U1226">
        <v>2</v>
      </c>
    </row>
    <row r="1227" spans="1:21" x14ac:dyDescent="0.35">
      <c r="A1227">
        <v>45</v>
      </c>
      <c r="B1227" t="str" cm="1">
        <f t="array" ref="B1227">_xlfn.IFS(A1227&gt;40,"Senior",A1227&gt;30,"Adult",A1227&gt;=18,"Teenager")</f>
        <v>Senior</v>
      </c>
      <c r="C1227" t="s">
        <v>22</v>
      </c>
      <c r="D1227">
        <f t="shared" si="19"/>
        <v>0</v>
      </c>
      <c r="E1227" t="s">
        <v>23</v>
      </c>
      <c r="F1227">
        <v>4</v>
      </c>
      <c r="G1227" t="s">
        <v>20</v>
      </c>
      <c r="H1227">
        <v>2</v>
      </c>
      <c r="I1227">
        <v>4</v>
      </c>
      <c r="J1227" t="s">
        <v>31</v>
      </c>
      <c r="K1227">
        <v>2</v>
      </c>
      <c r="L1227">
        <v>16704</v>
      </c>
      <c r="M1227" t="str" cm="1">
        <f t="array" ref="M1227">_xlfn.IFS(L1227&lt;= 7000,"Low",L1227&lt;=15000,"Medium",L1227&lt;=20000,"High")</f>
        <v>High</v>
      </c>
      <c r="N1227" t="s">
        <v>22</v>
      </c>
      <c r="O1227">
        <v>11</v>
      </c>
      <c r="P1227">
        <v>3</v>
      </c>
      <c r="Q1227">
        <v>3</v>
      </c>
      <c r="R1227">
        <v>21</v>
      </c>
      <c r="S1227">
        <v>3</v>
      </c>
      <c r="T1227">
        <v>21</v>
      </c>
      <c r="U1227">
        <v>6</v>
      </c>
    </row>
    <row r="1228" spans="1:21" x14ac:dyDescent="0.35">
      <c r="A1228">
        <v>32</v>
      </c>
      <c r="B1228" t="str" cm="1">
        <f t="array" ref="B1228">_xlfn.IFS(A1228&gt;40,"Senior",A1228&gt;30,"Adult",A1228&gt;=18,"Teenager")</f>
        <v>Adult</v>
      </c>
      <c r="C1228" t="s">
        <v>22</v>
      </c>
      <c r="D1228">
        <f t="shared" si="19"/>
        <v>0</v>
      </c>
      <c r="E1228" t="s">
        <v>23</v>
      </c>
      <c r="F1228">
        <v>1</v>
      </c>
      <c r="G1228" t="s">
        <v>24</v>
      </c>
      <c r="H1228">
        <v>3</v>
      </c>
      <c r="I1228">
        <v>1</v>
      </c>
      <c r="J1228" t="s">
        <v>25</v>
      </c>
      <c r="K1228">
        <v>3</v>
      </c>
      <c r="L1228">
        <v>3433</v>
      </c>
      <c r="M1228" t="str" cm="1">
        <f t="array" ref="M1228">_xlfn.IFS(L1228&lt;= 7000,"Low",L1228&lt;=15000,"Medium",L1228&lt;=20000,"High")</f>
        <v>Low</v>
      </c>
      <c r="N1228" t="s">
        <v>22</v>
      </c>
      <c r="O1228">
        <v>13</v>
      </c>
      <c r="P1228">
        <v>3</v>
      </c>
      <c r="Q1228">
        <v>1</v>
      </c>
      <c r="R1228">
        <v>10</v>
      </c>
      <c r="S1228">
        <v>2</v>
      </c>
      <c r="T1228">
        <v>5</v>
      </c>
      <c r="U1228">
        <v>2</v>
      </c>
    </row>
    <row r="1229" spans="1:21" x14ac:dyDescent="0.35">
      <c r="A1229">
        <v>31</v>
      </c>
      <c r="B1229" t="str" cm="1">
        <f t="array" ref="B1229">_xlfn.IFS(A1229&gt;40,"Senior",A1229&gt;30,"Adult",A1229&gt;=18,"Teenager")</f>
        <v>Adult</v>
      </c>
      <c r="C1229" t="s">
        <v>22</v>
      </c>
      <c r="D1229">
        <f t="shared" si="19"/>
        <v>0</v>
      </c>
      <c r="E1229" t="s">
        <v>23</v>
      </c>
      <c r="F1229">
        <v>2</v>
      </c>
      <c r="G1229" t="s">
        <v>24</v>
      </c>
      <c r="H1229">
        <v>3</v>
      </c>
      <c r="I1229">
        <v>1</v>
      </c>
      <c r="J1229" t="s">
        <v>26</v>
      </c>
      <c r="K1229">
        <v>3</v>
      </c>
      <c r="L1229">
        <v>3477</v>
      </c>
      <c r="M1229" t="str" cm="1">
        <f t="array" ref="M1229">_xlfn.IFS(L1229&lt;= 7000,"Low",L1229&lt;=15000,"Medium",L1229&lt;=20000,"High")</f>
        <v>Low</v>
      </c>
      <c r="N1229" t="s">
        <v>22</v>
      </c>
      <c r="O1229">
        <v>14</v>
      </c>
      <c r="P1229">
        <v>3</v>
      </c>
      <c r="Q1229">
        <v>4</v>
      </c>
      <c r="R1229">
        <v>6</v>
      </c>
      <c r="S1229">
        <v>4</v>
      </c>
      <c r="T1229">
        <v>5</v>
      </c>
      <c r="U1229">
        <v>2</v>
      </c>
    </row>
    <row r="1230" spans="1:21" x14ac:dyDescent="0.35">
      <c r="A1230">
        <v>41</v>
      </c>
      <c r="B1230" t="str" cm="1">
        <f t="array" ref="B1230">_xlfn.IFS(A1230&gt;40,"Senior",A1230&gt;30,"Adult",A1230&gt;=18,"Teenager")</f>
        <v>Senior</v>
      </c>
      <c r="C1230" t="s">
        <v>22</v>
      </c>
      <c r="D1230">
        <f t="shared" si="19"/>
        <v>0</v>
      </c>
      <c r="E1230" t="s">
        <v>32</v>
      </c>
      <c r="F1230">
        <v>3</v>
      </c>
      <c r="G1230" t="s">
        <v>24</v>
      </c>
      <c r="H1230">
        <v>1</v>
      </c>
      <c r="I1230">
        <v>2</v>
      </c>
      <c r="J1230" t="s">
        <v>32</v>
      </c>
      <c r="K1230">
        <v>2</v>
      </c>
      <c r="L1230">
        <v>6430</v>
      </c>
      <c r="M1230" t="str" cm="1">
        <f t="array" ref="M1230">_xlfn.IFS(L1230&lt;= 7000,"Low",L1230&lt;=15000,"Medium",L1230&lt;=20000,"High")</f>
        <v>Low</v>
      </c>
      <c r="N1230" t="s">
        <v>22</v>
      </c>
      <c r="O1230">
        <v>19</v>
      </c>
      <c r="P1230">
        <v>3</v>
      </c>
      <c r="Q1230">
        <v>2</v>
      </c>
      <c r="R1230">
        <v>10</v>
      </c>
      <c r="S1230">
        <v>3</v>
      </c>
      <c r="T1230">
        <v>3</v>
      </c>
      <c r="U1230">
        <v>2</v>
      </c>
    </row>
    <row r="1231" spans="1:21" x14ac:dyDescent="0.35">
      <c r="A1231">
        <v>40</v>
      </c>
      <c r="B1231" t="str" cm="1">
        <f t="array" ref="B1231">_xlfn.IFS(A1231&gt;40,"Senior",A1231&gt;30,"Adult",A1231&gt;=18,"Teenager")</f>
        <v>Adult</v>
      </c>
      <c r="C1231" t="s">
        <v>22</v>
      </c>
      <c r="D1231">
        <f t="shared" si="19"/>
        <v>0</v>
      </c>
      <c r="E1231" t="s">
        <v>23</v>
      </c>
      <c r="F1231">
        <v>2</v>
      </c>
      <c r="G1231" t="s">
        <v>20</v>
      </c>
      <c r="H1231">
        <v>3</v>
      </c>
      <c r="I1231">
        <v>2</v>
      </c>
      <c r="J1231" t="s">
        <v>27</v>
      </c>
      <c r="K1231">
        <v>1</v>
      </c>
      <c r="L1231">
        <v>6516</v>
      </c>
      <c r="M1231" t="str" cm="1">
        <f t="array" ref="M1231">_xlfn.IFS(L1231&lt;= 7000,"Low",L1231&lt;=15000,"Medium",L1231&lt;=20000,"High")</f>
        <v>Low</v>
      </c>
      <c r="N1231" t="s">
        <v>18</v>
      </c>
      <c r="O1231">
        <v>16</v>
      </c>
      <c r="P1231">
        <v>3</v>
      </c>
      <c r="Q1231">
        <v>2</v>
      </c>
      <c r="R1231">
        <v>18</v>
      </c>
      <c r="S1231">
        <v>3</v>
      </c>
      <c r="T1231">
        <v>1</v>
      </c>
      <c r="U1231">
        <v>0</v>
      </c>
    </row>
    <row r="1232" spans="1:21" x14ac:dyDescent="0.35">
      <c r="A1232">
        <v>24</v>
      </c>
      <c r="B1232" t="str" cm="1">
        <f t="array" ref="B1232">_xlfn.IFS(A1232&gt;40,"Senior",A1232&gt;30,"Adult",A1232&gt;=18,"Teenager")</f>
        <v>Teenager</v>
      </c>
      <c r="C1232" t="s">
        <v>22</v>
      </c>
      <c r="D1232">
        <f t="shared" si="19"/>
        <v>0</v>
      </c>
      <c r="E1232" t="s">
        <v>23</v>
      </c>
      <c r="F1232">
        <v>2</v>
      </c>
      <c r="G1232" t="s">
        <v>24</v>
      </c>
      <c r="H1232">
        <v>3</v>
      </c>
      <c r="I1232">
        <v>1</v>
      </c>
      <c r="J1232" t="s">
        <v>26</v>
      </c>
      <c r="K1232">
        <v>1</v>
      </c>
      <c r="L1232">
        <v>3907</v>
      </c>
      <c r="M1232" t="str" cm="1">
        <f t="array" ref="M1232">_xlfn.IFS(L1232&lt;= 7000,"Low",L1232&lt;=15000,"Medium",L1232&lt;=20000,"High")</f>
        <v>Low</v>
      </c>
      <c r="N1232" t="s">
        <v>22</v>
      </c>
      <c r="O1232">
        <v>13</v>
      </c>
      <c r="P1232">
        <v>3</v>
      </c>
      <c r="Q1232">
        <v>2</v>
      </c>
      <c r="R1232">
        <v>6</v>
      </c>
      <c r="S1232">
        <v>4</v>
      </c>
      <c r="T1232">
        <v>6</v>
      </c>
      <c r="U1232">
        <v>2</v>
      </c>
    </row>
    <row r="1233" spans="1:21" x14ac:dyDescent="0.35">
      <c r="A1233">
        <v>46</v>
      </c>
      <c r="B1233" t="str" cm="1">
        <f t="array" ref="B1233">_xlfn.IFS(A1233&gt;40,"Senior",A1233&gt;30,"Adult",A1233&gt;=18,"Teenager")</f>
        <v>Senior</v>
      </c>
      <c r="C1233" t="s">
        <v>22</v>
      </c>
      <c r="D1233">
        <f t="shared" si="19"/>
        <v>0</v>
      </c>
      <c r="E1233" t="s">
        <v>23</v>
      </c>
      <c r="F1233">
        <v>3</v>
      </c>
      <c r="G1233" t="s">
        <v>24</v>
      </c>
      <c r="H1233">
        <v>3</v>
      </c>
      <c r="I1233">
        <v>2</v>
      </c>
      <c r="J1233" t="s">
        <v>28</v>
      </c>
      <c r="K1233">
        <v>2</v>
      </c>
      <c r="L1233">
        <v>5562</v>
      </c>
      <c r="M1233" t="str" cm="1">
        <f t="array" ref="M1233">_xlfn.IFS(L1233&lt;= 7000,"Low",L1233&lt;=15000,"Medium",L1233&lt;=20000,"High")</f>
        <v>Low</v>
      </c>
      <c r="N1233" t="s">
        <v>22</v>
      </c>
      <c r="O1233">
        <v>14</v>
      </c>
      <c r="P1233">
        <v>3</v>
      </c>
      <c r="Q1233">
        <v>4</v>
      </c>
      <c r="R1233">
        <v>19</v>
      </c>
      <c r="S1233">
        <v>3</v>
      </c>
      <c r="T1233">
        <v>10</v>
      </c>
      <c r="U1233">
        <v>7</v>
      </c>
    </row>
    <row r="1234" spans="1:21" x14ac:dyDescent="0.35">
      <c r="A1234">
        <v>35</v>
      </c>
      <c r="B1234" t="str" cm="1">
        <f t="array" ref="B1234">_xlfn.IFS(A1234&gt;40,"Senior",A1234&gt;30,"Adult",A1234&gt;=18,"Teenager")</f>
        <v>Adult</v>
      </c>
      <c r="C1234" t="s">
        <v>22</v>
      </c>
      <c r="D1234">
        <f t="shared" si="19"/>
        <v>0</v>
      </c>
      <c r="E1234" t="s">
        <v>23</v>
      </c>
      <c r="F1234">
        <v>4</v>
      </c>
      <c r="G1234" t="s">
        <v>24</v>
      </c>
      <c r="H1234">
        <v>3</v>
      </c>
      <c r="I1234">
        <v>2</v>
      </c>
      <c r="J1234" t="s">
        <v>27</v>
      </c>
      <c r="K1234">
        <v>3</v>
      </c>
      <c r="L1234">
        <v>6883</v>
      </c>
      <c r="M1234" t="str" cm="1">
        <f t="array" ref="M1234">_xlfn.IFS(L1234&lt;= 7000,"Low",L1234&lt;=15000,"Medium",L1234&lt;=20000,"High")</f>
        <v>Low</v>
      </c>
      <c r="N1234" t="s">
        <v>22</v>
      </c>
      <c r="O1234">
        <v>16</v>
      </c>
      <c r="P1234">
        <v>3</v>
      </c>
      <c r="Q1234">
        <v>2</v>
      </c>
      <c r="R1234">
        <v>17</v>
      </c>
      <c r="S1234">
        <v>3</v>
      </c>
      <c r="T1234">
        <v>7</v>
      </c>
      <c r="U1234">
        <v>7</v>
      </c>
    </row>
    <row r="1235" spans="1:21" x14ac:dyDescent="0.35">
      <c r="A1235">
        <v>30</v>
      </c>
      <c r="B1235" t="str" cm="1">
        <f t="array" ref="B1235">_xlfn.IFS(A1235&gt;40,"Senior",A1235&gt;30,"Adult",A1235&gt;=18,"Teenager")</f>
        <v>Teenager</v>
      </c>
      <c r="C1235" t="s">
        <v>22</v>
      </c>
      <c r="D1235">
        <f t="shared" si="19"/>
        <v>0</v>
      </c>
      <c r="E1235" t="s">
        <v>23</v>
      </c>
      <c r="F1235">
        <v>2</v>
      </c>
      <c r="G1235" t="s">
        <v>24</v>
      </c>
      <c r="H1235">
        <v>3</v>
      </c>
      <c r="I1235">
        <v>1</v>
      </c>
      <c r="J1235" t="s">
        <v>25</v>
      </c>
      <c r="K1235">
        <v>4</v>
      </c>
      <c r="L1235">
        <v>2862</v>
      </c>
      <c r="M1235" t="str" cm="1">
        <f t="array" ref="M1235">_xlfn.IFS(L1235&lt;= 7000,"Low",L1235&lt;=15000,"Medium",L1235&lt;=20000,"High")</f>
        <v>Low</v>
      </c>
      <c r="N1235" t="s">
        <v>22</v>
      </c>
      <c r="O1235">
        <v>12</v>
      </c>
      <c r="P1235">
        <v>3</v>
      </c>
      <c r="Q1235">
        <v>2</v>
      </c>
      <c r="R1235">
        <v>10</v>
      </c>
      <c r="S1235">
        <v>2</v>
      </c>
      <c r="T1235">
        <v>10</v>
      </c>
      <c r="U1235">
        <v>0</v>
      </c>
    </row>
    <row r="1236" spans="1:21" x14ac:dyDescent="0.35">
      <c r="A1236">
        <v>47</v>
      </c>
      <c r="B1236" t="str" cm="1">
        <f t="array" ref="B1236">_xlfn.IFS(A1236&gt;40,"Senior",A1236&gt;30,"Adult",A1236&gt;=18,"Teenager")</f>
        <v>Senior</v>
      </c>
      <c r="C1236" t="s">
        <v>22</v>
      </c>
      <c r="D1236">
        <f t="shared" si="19"/>
        <v>0</v>
      </c>
      <c r="E1236" t="s">
        <v>19</v>
      </c>
      <c r="F1236">
        <v>3</v>
      </c>
      <c r="G1236" t="s">
        <v>24</v>
      </c>
      <c r="H1236">
        <v>3</v>
      </c>
      <c r="I1236">
        <v>2</v>
      </c>
      <c r="J1236" t="s">
        <v>21</v>
      </c>
      <c r="K1236">
        <v>2</v>
      </c>
      <c r="L1236">
        <v>4978</v>
      </c>
      <c r="M1236" t="str" cm="1">
        <f t="array" ref="M1236">_xlfn.IFS(L1236&lt;= 7000,"Low",L1236&lt;=15000,"Medium",L1236&lt;=20000,"High")</f>
        <v>Low</v>
      </c>
      <c r="N1236" t="s">
        <v>22</v>
      </c>
      <c r="O1236">
        <v>11</v>
      </c>
      <c r="P1236">
        <v>3</v>
      </c>
      <c r="Q1236">
        <v>4</v>
      </c>
      <c r="R1236">
        <v>4</v>
      </c>
      <c r="S1236">
        <v>1</v>
      </c>
      <c r="T1236">
        <v>1</v>
      </c>
      <c r="U1236">
        <v>0</v>
      </c>
    </row>
    <row r="1237" spans="1:21" x14ac:dyDescent="0.35">
      <c r="A1237">
        <v>46</v>
      </c>
      <c r="B1237" t="str" cm="1">
        <f t="array" ref="B1237">_xlfn.IFS(A1237&gt;40,"Senior",A1237&gt;30,"Adult",A1237&gt;=18,"Teenager")</f>
        <v>Senior</v>
      </c>
      <c r="C1237" t="s">
        <v>22</v>
      </c>
      <c r="D1237">
        <f t="shared" si="19"/>
        <v>0</v>
      </c>
      <c r="E1237" t="s">
        <v>19</v>
      </c>
      <c r="F1237">
        <v>3</v>
      </c>
      <c r="G1237" t="s">
        <v>24</v>
      </c>
      <c r="H1237">
        <v>3</v>
      </c>
      <c r="I1237">
        <v>3</v>
      </c>
      <c r="J1237" t="s">
        <v>21</v>
      </c>
      <c r="K1237">
        <v>4</v>
      </c>
      <c r="L1237">
        <v>10368</v>
      </c>
      <c r="M1237" t="str" cm="1">
        <f t="array" ref="M1237">_xlfn.IFS(L1237&lt;= 7000,"Low",L1237&lt;=15000,"Medium",L1237&lt;=20000,"High")</f>
        <v>Medium</v>
      </c>
      <c r="N1237" t="s">
        <v>18</v>
      </c>
      <c r="O1237">
        <v>12</v>
      </c>
      <c r="P1237">
        <v>3</v>
      </c>
      <c r="Q1237">
        <v>2</v>
      </c>
      <c r="R1237">
        <v>13</v>
      </c>
      <c r="S1237">
        <v>2</v>
      </c>
      <c r="T1237">
        <v>10</v>
      </c>
      <c r="U1237">
        <v>6</v>
      </c>
    </row>
    <row r="1238" spans="1:21" x14ac:dyDescent="0.35">
      <c r="A1238">
        <v>36</v>
      </c>
      <c r="B1238" t="str" cm="1">
        <f t="array" ref="B1238">_xlfn.IFS(A1238&gt;40,"Senior",A1238&gt;30,"Adult",A1238&gt;=18,"Teenager")</f>
        <v>Adult</v>
      </c>
      <c r="C1238" t="s">
        <v>18</v>
      </c>
      <c r="D1238">
        <f t="shared" si="19"/>
        <v>1</v>
      </c>
      <c r="E1238" t="s">
        <v>19</v>
      </c>
      <c r="F1238">
        <v>2</v>
      </c>
      <c r="G1238" t="s">
        <v>24</v>
      </c>
      <c r="H1238">
        <v>2</v>
      </c>
      <c r="I1238">
        <v>2</v>
      </c>
      <c r="J1238" t="s">
        <v>21</v>
      </c>
      <c r="K1238">
        <v>1</v>
      </c>
      <c r="L1238">
        <v>6134</v>
      </c>
      <c r="M1238" t="str" cm="1">
        <f t="array" ref="M1238">_xlfn.IFS(L1238&lt;= 7000,"Low",L1238&lt;=15000,"Medium",L1238&lt;=20000,"High")</f>
        <v>Low</v>
      </c>
      <c r="N1238" t="s">
        <v>18</v>
      </c>
      <c r="O1238">
        <v>13</v>
      </c>
      <c r="P1238">
        <v>3</v>
      </c>
      <c r="Q1238">
        <v>2</v>
      </c>
      <c r="R1238">
        <v>16</v>
      </c>
      <c r="S1238">
        <v>3</v>
      </c>
      <c r="T1238">
        <v>2</v>
      </c>
      <c r="U1238">
        <v>2</v>
      </c>
    </row>
    <row r="1239" spans="1:21" x14ac:dyDescent="0.35">
      <c r="A1239">
        <v>32</v>
      </c>
      <c r="B1239" t="str" cm="1">
        <f t="array" ref="B1239">_xlfn.IFS(A1239&gt;40,"Senior",A1239&gt;30,"Adult",A1239&gt;=18,"Teenager")</f>
        <v>Adult</v>
      </c>
      <c r="C1239" t="s">
        <v>18</v>
      </c>
      <c r="D1239">
        <f t="shared" si="19"/>
        <v>1</v>
      </c>
      <c r="E1239" t="s">
        <v>19</v>
      </c>
      <c r="F1239">
        <v>1</v>
      </c>
      <c r="G1239" t="s">
        <v>24</v>
      </c>
      <c r="H1239">
        <v>1</v>
      </c>
      <c r="I1239">
        <v>2</v>
      </c>
      <c r="J1239" t="s">
        <v>21</v>
      </c>
      <c r="K1239">
        <v>2</v>
      </c>
      <c r="L1239">
        <v>6735</v>
      </c>
      <c r="M1239" t="str" cm="1">
        <f t="array" ref="M1239">_xlfn.IFS(L1239&lt;= 7000,"Low",L1239&lt;=15000,"Medium",L1239&lt;=20000,"High")</f>
        <v>Low</v>
      </c>
      <c r="N1239" t="s">
        <v>22</v>
      </c>
      <c r="O1239">
        <v>15</v>
      </c>
      <c r="P1239">
        <v>3</v>
      </c>
      <c r="Q1239">
        <v>2</v>
      </c>
      <c r="R1239">
        <v>10</v>
      </c>
      <c r="S1239">
        <v>3</v>
      </c>
      <c r="T1239">
        <v>0</v>
      </c>
      <c r="U1239">
        <v>0</v>
      </c>
    </row>
    <row r="1240" spans="1:21" x14ac:dyDescent="0.35">
      <c r="A1240">
        <v>23</v>
      </c>
      <c r="B1240" t="str" cm="1">
        <f t="array" ref="B1240">_xlfn.IFS(A1240&gt;40,"Senior",A1240&gt;30,"Adult",A1240&gt;=18,"Teenager")</f>
        <v>Teenager</v>
      </c>
      <c r="C1240" t="s">
        <v>22</v>
      </c>
      <c r="D1240">
        <f t="shared" si="19"/>
        <v>0</v>
      </c>
      <c r="E1240" t="s">
        <v>23</v>
      </c>
      <c r="F1240">
        <v>3</v>
      </c>
      <c r="G1240" t="s">
        <v>20</v>
      </c>
      <c r="H1240">
        <v>3</v>
      </c>
      <c r="I1240">
        <v>1</v>
      </c>
      <c r="J1240" t="s">
        <v>26</v>
      </c>
      <c r="K1240">
        <v>2</v>
      </c>
      <c r="L1240">
        <v>3295</v>
      </c>
      <c r="M1240" t="str" cm="1">
        <f t="array" ref="M1240">_xlfn.IFS(L1240&lt;= 7000,"Low",L1240&lt;=15000,"Medium",L1240&lt;=20000,"High")</f>
        <v>Low</v>
      </c>
      <c r="N1240" t="s">
        <v>22</v>
      </c>
      <c r="O1240">
        <v>13</v>
      </c>
      <c r="P1240">
        <v>3</v>
      </c>
      <c r="Q1240">
        <v>3</v>
      </c>
      <c r="R1240">
        <v>3</v>
      </c>
      <c r="S1240">
        <v>1</v>
      </c>
      <c r="T1240">
        <v>3</v>
      </c>
      <c r="U1240">
        <v>2</v>
      </c>
    </row>
    <row r="1241" spans="1:21" x14ac:dyDescent="0.35">
      <c r="A1241">
        <v>31</v>
      </c>
      <c r="B1241" t="str" cm="1">
        <f t="array" ref="B1241">_xlfn.IFS(A1241&gt;40,"Senior",A1241&gt;30,"Adult",A1241&gt;=18,"Teenager")</f>
        <v>Adult</v>
      </c>
      <c r="C1241" t="s">
        <v>22</v>
      </c>
      <c r="D1241">
        <f t="shared" si="19"/>
        <v>0</v>
      </c>
      <c r="E1241" t="s">
        <v>23</v>
      </c>
      <c r="F1241">
        <v>4</v>
      </c>
      <c r="G1241" t="s">
        <v>20</v>
      </c>
      <c r="H1241">
        <v>3</v>
      </c>
      <c r="I1241">
        <v>2</v>
      </c>
      <c r="J1241" t="s">
        <v>27</v>
      </c>
      <c r="K1241">
        <v>4</v>
      </c>
      <c r="L1241">
        <v>5238</v>
      </c>
      <c r="M1241" t="str" cm="1">
        <f t="array" ref="M1241">_xlfn.IFS(L1241&lt;= 7000,"Low",L1241&lt;=15000,"Medium",L1241&lt;=20000,"High")</f>
        <v>Low</v>
      </c>
      <c r="N1241" t="s">
        <v>22</v>
      </c>
      <c r="O1241">
        <v>20</v>
      </c>
      <c r="P1241">
        <v>4</v>
      </c>
      <c r="Q1241">
        <v>4</v>
      </c>
      <c r="R1241">
        <v>9</v>
      </c>
      <c r="S1241">
        <v>2</v>
      </c>
      <c r="T1241">
        <v>5</v>
      </c>
      <c r="U1241">
        <v>4</v>
      </c>
    </row>
    <row r="1242" spans="1:21" x14ac:dyDescent="0.35">
      <c r="A1242">
        <v>39</v>
      </c>
      <c r="B1242" t="str" cm="1">
        <f t="array" ref="B1242">_xlfn.IFS(A1242&gt;40,"Senior",A1242&gt;30,"Adult",A1242&gt;=18,"Teenager")</f>
        <v>Adult</v>
      </c>
      <c r="C1242" t="s">
        <v>22</v>
      </c>
      <c r="D1242">
        <f t="shared" si="19"/>
        <v>0</v>
      </c>
      <c r="E1242" t="s">
        <v>23</v>
      </c>
      <c r="F1242">
        <v>4</v>
      </c>
      <c r="G1242" t="s">
        <v>24</v>
      </c>
      <c r="H1242">
        <v>3</v>
      </c>
      <c r="I1242">
        <v>2</v>
      </c>
      <c r="J1242" t="s">
        <v>26</v>
      </c>
      <c r="K1242">
        <v>4</v>
      </c>
      <c r="L1242">
        <v>6472</v>
      </c>
      <c r="M1242" t="str" cm="1">
        <f t="array" ref="M1242">_xlfn.IFS(L1242&lt;= 7000,"Low",L1242&lt;=15000,"Medium",L1242&lt;=20000,"High")</f>
        <v>Low</v>
      </c>
      <c r="N1242" t="s">
        <v>18</v>
      </c>
      <c r="O1242">
        <v>15</v>
      </c>
      <c r="P1242">
        <v>3</v>
      </c>
      <c r="Q1242">
        <v>4</v>
      </c>
      <c r="R1242">
        <v>9</v>
      </c>
      <c r="S1242">
        <v>3</v>
      </c>
      <c r="T1242">
        <v>9</v>
      </c>
      <c r="U1242">
        <v>8</v>
      </c>
    </row>
    <row r="1243" spans="1:21" x14ac:dyDescent="0.35">
      <c r="A1243">
        <v>32</v>
      </c>
      <c r="B1243" t="str" cm="1">
        <f t="array" ref="B1243">_xlfn.IFS(A1243&gt;40,"Senior",A1243&gt;30,"Adult",A1243&gt;=18,"Teenager")</f>
        <v>Adult</v>
      </c>
      <c r="C1243" t="s">
        <v>22</v>
      </c>
      <c r="D1243">
        <f t="shared" si="19"/>
        <v>0</v>
      </c>
      <c r="E1243" t="s">
        <v>19</v>
      </c>
      <c r="F1243">
        <v>4</v>
      </c>
      <c r="G1243" t="s">
        <v>24</v>
      </c>
      <c r="H1243">
        <v>1</v>
      </c>
      <c r="I1243">
        <v>3</v>
      </c>
      <c r="J1243" t="s">
        <v>21</v>
      </c>
      <c r="K1243">
        <v>3</v>
      </c>
      <c r="L1243">
        <v>9610</v>
      </c>
      <c r="M1243" t="str" cm="1">
        <f t="array" ref="M1243">_xlfn.IFS(L1243&lt;= 7000,"Low",L1243&lt;=15000,"Medium",L1243&lt;=20000,"High")</f>
        <v>Medium</v>
      </c>
      <c r="N1243" t="s">
        <v>22</v>
      </c>
      <c r="O1243">
        <v>13</v>
      </c>
      <c r="P1243">
        <v>3</v>
      </c>
      <c r="Q1243">
        <v>3</v>
      </c>
      <c r="R1243">
        <v>10</v>
      </c>
      <c r="S1243">
        <v>1</v>
      </c>
      <c r="T1243">
        <v>4</v>
      </c>
      <c r="U1243">
        <v>3</v>
      </c>
    </row>
    <row r="1244" spans="1:21" x14ac:dyDescent="0.35">
      <c r="A1244">
        <v>40</v>
      </c>
      <c r="B1244" t="str" cm="1">
        <f t="array" ref="B1244">_xlfn.IFS(A1244&gt;40,"Senior",A1244&gt;30,"Adult",A1244&gt;=18,"Teenager")</f>
        <v>Adult</v>
      </c>
      <c r="C1244" t="s">
        <v>22</v>
      </c>
      <c r="D1244">
        <f t="shared" si="19"/>
        <v>0</v>
      </c>
      <c r="E1244" t="s">
        <v>19</v>
      </c>
      <c r="F1244">
        <v>2</v>
      </c>
      <c r="G1244" t="s">
        <v>24</v>
      </c>
      <c r="H1244">
        <v>3</v>
      </c>
      <c r="I1244">
        <v>5</v>
      </c>
      <c r="J1244" t="s">
        <v>29</v>
      </c>
      <c r="K1244">
        <v>2</v>
      </c>
      <c r="L1244">
        <v>19833</v>
      </c>
      <c r="M1244" t="str" cm="1">
        <f t="array" ref="M1244">_xlfn.IFS(L1244&lt;= 7000,"Low",L1244&lt;=15000,"Medium",L1244&lt;=20000,"High")</f>
        <v>High</v>
      </c>
      <c r="N1244" t="s">
        <v>22</v>
      </c>
      <c r="O1244">
        <v>14</v>
      </c>
      <c r="P1244">
        <v>3</v>
      </c>
      <c r="Q1244">
        <v>2</v>
      </c>
      <c r="R1244">
        <v>21</v>
      </c>
      <c r="S1244">
        <v>2</v>
      </c>
      <c r="T1244">
        <v>21</v>
      </c>
      <c r="U1244">
        <v>8</v>
      </c>
    </row>
    <row r="1245" spans="1:21" x14ac:dyDescent="0.35">
      <c r="A1245">
        <v>45</v>
      </c>
      <c r="B1245" t="str" cm="1">
        <f t="array" ref="B1245">_xlfn.IFS(A1245&gt;40,"Senior",A1245&gt;30,"Adult",A1245&gt;=18,"Teenager")</f>
        <v>Senior</v>
      </c>
      <c r="C1245" t="s">
        <v>22</v>
      </c>
      <c r="D1245">
        <f t="shared" si="19"/>
        <v>0</v>
      </c>
      <c r="E1245" t="s">
        <v>32</v>
      </c>
      <c r="F1245">
        <v>3</v>
      </c>
      <c r="G1245" t="s">
        <v>20</v>
      </c>
      <c r="H1245">
        <v>1</v>
      </c>
      <c r="I1245">
        <v>3</v>
      </c>
      <c r="J1245" t="s">
        <v>32</v>
      </c>
      <c r="K1245">
        <v>3</v>
      </c>
      <c r="L1245">
        <v>9756</v>
      </c>
      <c r="M1245" t="str" cm="1">
        <f t="array" ref="M1245">_xlfn.IFS(L1245&lt;= 7000,"Low",L1245&lt;=15000,"Medium",L1245&lt;=20000,"High")</f>
        <v>Medium</v>
      </c>
      <c r="N1245" t="s">
        <v>22</v>
      </c>
      <c r="O1245">
        <v>21</v>
      </c>
      <c r="P1245">
        <v>4</v>
      </c>
      <c r="Q1245">
        <v>3</v>
      </c>
      <c r="R1245">
        <v>9</v>
      </c>
      <c r="S1245">
        <v>4</v>
      </c>
      <c r="T1245">
        <v>5</v>
      </c>
      <c r="U1245">
        <v>0</v>
      </c>
    </row>
    <row r="1246" spans="1:21" x14ac:dyDescent="0.35">
      <c r="A1246">
        <v>30</v>
      </c>
      <c r="B1246" t="str" cm="1">
        <f t="array" ref="B1246">_xlfn.IFS(A1246&gt;40,"Senior",A1246&gt;30,"Adult",A1246&gt;=18,"Teenager")</f>
        <v>Teenager</v>
      </c>
      <c r="C1246" t="s">
        <v>22</v>
      </c>
      <c r="D1246">
        <f t="shared" si="19"/>
        <v>0</v>
      </c>
      <c r="E1246" t="s">
        <v>23</v>
      </c>
      <c r="F1246">
        <v>4</v>
      </c>
      <c r="G1246" t="s">
        <v>20</v>
      </c>
      <c r="H1246">
        <v>2</v>
      </c>
      <c r="I1246">
        <v>1</v>
      </c>
      <c r="J1246" t="s">
        <v>25</v>
      </c>
      <c r="K1246">
        <v>1</v>
      </c>
      <c r="L1246">
        <v>4968</v>
      </c>
      <c r="M1246" t="str" cm="1">
        <f t="array" ref="M1246">_xlfn.IFS(L1246&lt;= 7000,"Low",L1246&lt;=15000,"Medium",L1246&lt;=20000,"High")</f>
        <v>Low</v>
      </c>
      <c r="N1246" t="s">
        <v>22</v>
      </c>
      <c r="O1246">
        <v>16</v>
      </c>
      <c r="P1246">
        <v>3</v>
      </c>
      <c r="Q1246">
        <v>4</v>
      </c>
      <c r="R1246">
        <v>10</v>
      </c>
      <c r="S1246">
        <v>3</v>
      </c>
      <c r="T1246">
        <v>9</v>
      </c>
      <c r="U1246">
        <v>7</v>
      </c>
    </row>
    <row r="1247" spans="1:21" x14ac:dyDescent="0.35">
      <c r="A1247">
        <v>24</v>
      </c>
      <c r="B1247" t="str" cm="1">
        <f t="array" ref="B1247">_xlfn.IFS(A1247&gt;40,"Senior",A1247&gt;30,"Adult",A1247&gt;=18,"Teenager")</f>
        <v>Teenager</v>
      </c>
      <c r="C1247" t="s">
        <v>22</v>
      </c>
      <c r="D1247">
        <f t="shared" si="19"/>
        <v>0</v>
      </c>
      <c r="E1247" t="s">
        <v>32</v>
      </c>
      <c r="F1247">
        <v>1</v>
      </c>
      <c r="G1247" t="s">
        <v>24</v>
      </c>
      <c r="H1247">
        <v>3</v>
      </c>
      <c r="I1247">
        <v>1</v>
      </c>
      <c r="J1247" t="s">
        <v>32</v>
      </c>
      <c r="K1247">
        <v>4</v>
      </c>
      <c r="L1247">
        <v>2145</v>
      </c>
      <c r="M1247" t="str" cm="1">
        <f t="array" ref="M1247">_xlfn.IFS(L1247&lt;= 7000,"Low",L1247&lt;=15000,"Medium",L1247&lt;=20000,"High")</f>
        <v>Low</v>
      </c>
      <c r="N1247" t="s">
        <v>22</v>
      </c>
      <c r="O1247">
        <v>14</v>
      </c>
      <c r="P1247">
        <v>3</v>
      </c>
      <c r="Q1247">
        <v>4</v>
      </c>
      <c r="R1247">
        <v>3</v>
      </c>
      <c r="S1247">
        <v>3</v>
      </c>
      <c r="T1247">
        <v>2</v>
      </c>
      <c r="U1247">
        <v>2</v>
      </c>
    </row>
    <row r="1248" spans="1:21" x14ac:dyDescent="0.35">
      <c r="A1248">
        <v>30</v>
      </c>
      <c r="B1248" t="str" cm="1">
        <f t="array" ref="B1248">_xlfn.IFS(A1248&gt;40,"Senior",A1248&gt;30,"Adult",A1248&gt;=18,"Teenager")</f>
        <v>Teenager</v>
      </c>
      <c r="C1248" t="s">
        <v>18</v>
      </c>
      <c r="D1248">
        <f t="shared" si="19"/>
        <v>1</v>
      </c>
      <c r="E1248" t="s">
        <v>32</v>
      </c>
      <c r="F1248">
        <v>3</v>
      </c>
      <c r="G1248" t="s">
        <v>20</v>
      </c>
      <c r="H1248">
        <v>2</v>
      </c>
      <c r="I1248">
        <v>1</v>
      </c>
      <c r="J1248" t="s">
        <v>32</v>
      </c>
      <c r="K1248">
        <v>4</v>
      </c>
      <c r="L1248">
        <v>2180</v>
      </c>
      <c r="M1248" t="str" cm="1">
        <f t="array" ref="M1248">_xlfn.IFS(L1248&lt;= 7000,"Low",L1248&lt;=15000,"Medium",L1248&lt;=20000,"High")</f>
        <v>Low</v>
      </c>
      <c r="N1248" t="s">
        <v>22</v>
      </c>
      <c r="O1248">
        <v>11</v>
      </c>
      <c r="P1248">
        <v>3</v>
      </c>
      <c r="Q1248">
        <v>3</v>
      </c>
      <c r="R1248">
        <v>6</v>
      </c>
      <c r="S1248">
        <v>2</v>
      </c>
      <c r="T1248">
        <v>4</v>
      </c>
      <c r="U1248">
        <v>2</v>
      </c>
    </row>
    <row r="1249" spans="1:21" x14ac:dyDescent="0.35">
      <c r="A1249">
        <v>31</v>
      </c>
      <c r="B1249" t="str" cm="1">
        <f t="array" ref="B1249">_xlfn.IFS(A1249&gt;40,"Senior",A1249&gt;30,"Adult",A1249&gt;=18,"Teenager")</f>
        <v>Adult</v>
      </c>
      <c r="C1249" t="s">
        <v>22</v>
      </c>
      <c r="D1249">
        <f t="shared" si="19"/>
        <v>0</v>
      </c>
      <c r="E1249" t="s">
        <v>19</v>
      </c>
      <c r="F1249">
        <v>1</v>
      </c>
      <c r="G1249" t="s">
        <v>24</v>
      </c>
      <c r="H1249">
        <v>3</v>
      </c>
      <c r="I1249">
        <v>2</v>
      </c>
      <c r="J1249" t="s">
        <v>21</v>
      </c>
      <c r="K1249">
        <v>3</v>
      </c>
      <c r="L1249">
        <v>8346</v>
      </c>
      <c r="M1249" t="str" cm="1">
        <f t="array" ref="M1249">_xlfn.IFS(L1249&lt;= 7000,"Low",L1249&lt;=15000,"Medium",L1249&lt;=20000,"High")</f>
        <v>Medium</v>
      </c>
      <c r="N1249" t="s">
        <v>22</v>
      </c>
      <c r="O1249">
        <v>19</v>
      </c>
      <c r="P1249">
        <v>3</v>
      </c>
      <c r="Q1249">
        <v>3</v>
      </c>
      <c r="R1249">
        <v>6</v>
      </c>
      <c r="S1249">
        <v>3</v>
      </c>
      <c r="T1249">
        <v>5</v>
      </c>
      <c r="U1249">
        <v>2</v>
      </c>
    </row>
    <row r="1250" spans="1:21" x14ac:dyDescent="0.35">
      <c r="A1250">
        <v>27</v>
      </c>
      <c r="B1250" t="str" cm="1">
        <f t="array" ref="B1250">_xlfn.IFS(A1250&gt;40,"Senior",A1250&gt;30,"Adult",A1250&gt;=18,"Teenager")</f>
        <v>Teenager</v>
      </c>
      <c r="C1250" t="s">
        <v>22</v>
      </c>
      <c r="D1250">
        <f t="shared" si="19"/>
        <v>0</v>
      </c>
      <c r="E1250" t="s">
        <v>23</v>
      </c>
      <c r="F1250">
        <v>3</v>
      </c>
      <c r="G1250" t="s">
        <v>20</v>
      </c>
      <c r="H1250">
        <v>3</v>
      </c>
      <c r="I1250">
        <v>1</v>
      </c>
      <c r="J1250" t="s">
        <v>25</v>
      </c>
      <c r="K1250">
        <v>4</v>
      </c>
      <c r="L1250">
        <v>3445</v>
      </c>
      <c r="M1250" t="str" cm="1">
        <f t="array" ref="M1250">_xlfn.IFS(L1250&lt;= 7000,"Low",L1250&lt;=15000,"Medium",L1250&lt;=20000,"High")</f>
        <v>Low</v>
      </c>
      <c r="N1250" t="s">
        <v>22</v>
      </c>
      <c r="O1250">
        <v>11</v>
      </c>
      <c r="P1250">
        <v>3</v>
      </c>
      <c r="Q1250">
        <v>3</v>
      </c>
      <c r="R1250">
        <v>6</v>
      </c>
      <c r="S1250">
        <v>2</v>
      </c>
      <c r="T1250">
        <v>6</v>
      </c>
      <c r="U1250">
        <v>2</v>
      </c>
    </row>
    <row r="1251" spans="1:21" x14ac:dyDescent="0.35">
      <c r="A1251">
        <v>29</v>
      </c>
      <c r="B1251" t="str" cm="1">
        <f t="array" ref="B1251">_xlfn.IFS(A1251&gt;40,"Senior",A1251&gt;30,"Adult",A1251&gt;=18,"Teenager")</f>
        <v>Teenager</v>
      </c>
      <c r="C1251" t="s">
        <v>18</v>
      </c>
      <c r="D1251">
        <f t="shared" si="19"/>
        <v>1</v>
      </c>
      <c r="E1251" t="s">
        <v>19</v>
      </c>
      <c r="F1251">
        <v>2</v>
      </c>
      <c r="G1251" t="s">
        <v>20</v>
      </c>
      <c r="H1251">
        <v>1</v>
      </c>
      <c r="I1251">
        <v>1</v>
      </c>
      <c r="J1251" t="s">
        <v>30</v>
      </c>
      <c r="K1251">
        <v>2</v>
      </c>
      <c r="L1251">
        <v>2760</v>
      </c>
      <c r="M1251" t="str" cm="1">
        <f t="array" ref="M1251">_xlfn.IFS(L1251&lt;= 7000,"Low",L1251&lt;=15000,"Medium",L1251&lt;=20000,"High")</f>
        <v>Low</v>
      </c>
      <c r="N1251" t="s">
        <v>22</v>
      </c>
      <c r="O1251">
        <v>13</v>
      </c>
      <c r="P1251">
        <v>3</v>
      </c>
      <c r="Q1251">
        <v>3</v>
      </c>
      <c r="R1251">
        <v>2</v>
      </c>
      <c r="S1251">
        <v>3</v>
      </c>
      <c r="T1251">
        <v>2</v>
      </c>
      <c r="U1251">
        <v>2</v>
      </c>
    </row>
    <row r="1252" spans="1:21" x14ac:dyDescent="0.35">
      <c r="A1252">
        <v>29</v>
      </c>
      <c r="B1252" t="str" cm="1">
        <f t="array" ref="B1252">_xlfn.IFS(A1252&gt;40,"Senior",A1252&gt;30,"Adult",A1252&gt;=18,"Teenager")</f>
        <v>Teenager</v>
      </c>
      <c r="C1252" t="s">
        <v>22</v>
      </c>
      <c r="D1252">
        <f t="shared" si="19"/>
        <v>0</v>
      </c>
      <c r="E1252" t="s">
        <v>23</v>
      </c>
      <c r="F1252">
        <v>4</v>
      </c>
      <c r="G1252" t="s">
        <v>24</v>
      </c>
      <c r="H1252">
        <v>4</v>
      </c>
      <c r="I1252">
        <v>2</v>
      </c>
      <c r="J1252" t="s">
        <v>28</v>
      </c>
      <c r="K1252">
        <v>3</v>
      </c>
      <c r="L1252">
        <v>6294</v>
      </c>
      <c r="M1252" t="str" cm="1">
        <f t="array" ref="M1252">_xlfn.IFS(L1252&lt;= 7000,"Low",L1252&lt;=15000,"Medium",L1252&lt;=20000,"High")</f>
        <v>Low</v>
      </c>
      <c r="N1252" t="s">
        <v>18</v>
      </c>
      <c r="O1252">
        <v>12</v>
      </c>
      <c r="P1252">
        <v>3</v>
      </c>
      <c r="Q1252">
        <v>4</v>
      </c>
      <c r="R1252">
        <v>10</v>
      </c>
      <c r="S1252">
        <v>4</v>
      </c>
      <c r="T1252">
        <v>3</v>
      </c>
      <c r="U1252">
        <v>2</v>
      </c>
    </row>
    <row r="1253" spans="1:21" x14ac:dyDescent="0.35">
      <c r="A1253">
        <v>30</v>
      </c>
      <c r="B1253" t="str" cm="1">
        <f t="array" ref="B1253">_xlfn.IFS(A1253&gt;40,"Senior",A1253&gt;30,"Adult",A1253&gt;=18,"Teenager")</f>
        <v>Teenager</v>
      </c>
      <c r="C1253" t="s">
        <v>22</v>
      </c>
      <c r="D1253">
        <f t="shared" si="19"/>
        <v>0</v>
      </c>
      <c r="E1253" t="s">
        <v>19</v>
      </c>
      <c r="F1253">
        <v>3</v>
      </c>
      <c r="G1253" t="s">
        <v>24</v>
      </c>
      <c r="H1253">
        <v>2</v>
      </c>
      <c r="I1253">
        <v>3</v>
      </c>
      <c r="J1253" t="s">
        <v>21</v>
      </c>
      <c r="K1253">
        <v>1</v>
      </c>
      <c r="L1253">
        <v>7140</v>
      </c>
      <c r="M1253" t="str" cm="1">
        <f t="array" ref="M1253">_xlfn.IFS(L1253&lt;= 7000,"Low",L1253&lt;=15000,"Medium",L1253&lt;=20000,"High")</f>
        <v>Medium</v>
      </c>
      <c r="N1253" t="s">
        <v>22</v>
      </c>
      <c r="O1253">
        <v>11</v>
      </c>
      <c r="P1253">
        <v>3</v>
      </c>
      <c r="Q1253">
        <v>1</v>
      </c>
      <c r="R1253">
        <v>12</v>
      </c>
      <c r="S1253">
        <v>3</v>
      </c>
      <c r="T1253">
        <v>7</v>
      </c>
      <c r="U1253">
        <v>7</v>
      </c>
    </row>
    <row r="1254" spans="1:21" x14ac:dyDescent="0.35">
      <c r="A1254">
        <v>34</v>
      </c>
      <c r="B1254" t="str" cm="1">
        <f t="array" ref="B1254">_xlfn.IFS(A1254&gt;40,"Senior",A1254&gt;30,"Adult",A1254&gt;=18,"Teenager")</f>
        <v>Adult</v>
      </c>
      <c r="C1254" t="s">
        <v>22</v>
      </c>
      <c r="D1254">
        <f t="shared" si="19"/>
        <v>0</v>
      </c>
      <c r="E1254" t="s">
        <v>23</v>
      </c>
      <c r="F1254">
        <v>4</v>
      </c>
      <c r="G1254" t="s">
        <v>24</v>
      </c>
      <c r="H1254">
        <v>4</v>
      </c>
      <c r="I1254">
        <v>1</v>
      </c>
      <c r="J1254" t="s">
        <v>25</v>
      </c>
      <c r="K1254">
        <v>4</v>
      </c>
      <c r="L1254">
        <v>2932</v>
      </c>
      <c r="M1254" t="str" cm="1">
        <f t="array" ref="M1254">_xlfn.IFS(L1254&lt;= 7000,"Low",L1254&lt;=15000,"Medium",L1254&lt;=20000,"High")</f>
        <v>Low</v>
      </c>
      <c r="N1254" t="s">
        <v>18</v>
      </c>
      <c r="O1254">
        <v>14</v>
      </c>
      <c r="P1254">
        <v>3</v>
      </c>
      <c r="Q1254">
        <v>1</v>
      </c>
      <c r="R1254">
        <v>6</v>
      </c>
      <c r="S1254">
        <v>3</v>
      </c>
      <c r="T1254">
        <v>5</v>
      </c>
      <c r="U1254">
        <v>0</v>
      </c>
    </row>
    <row r="1255" spans="1:21" x14ac:dyDescent="0.35">
      <c r="A1255">
        <v>33</v>
      </c>
      <c r="B1255" t="str" cm="1">
        <f t="array" ref="B1255">_xlfn.IFS(A1255&gt;40,"Senior",A1255&gt;30,"Adult",A1255&gt;=18,"Teenager")</f>
        <v>Adult</v>
      </c>
      <c r="C1255" t="s">
        <v>22</v>
      </c>
      <c r="D1255">
        <f t="shared" si="19"/>
        <v>0</v>
      </c>
      <c r="E1255" t="s">
        <v>19</v>
      </c>
      <c r="F1255">
        <v>4</v>
      </c>
      <c r="G1255" t="s">
        <v>20</v>
      </c>
      <c r="H1255">
        <v>3</v>
      </c>
      <c r="I1255">
        <v>2</v>
      </c>
      <c r="J1255" t="s">
        <v>21</v>
      </c>
      <c r="K1255">
        <v>2</v>
      </c>
      <c r="L1255">
        <v>5147</v>
      </c>
      <c r="M1255" t="str" cm="1">
        <f t="array" ref="M1255">_xlfn.IFS(L1255&lt;= 7000,"Low",L1255&lt;=15000,"Medium",L1255&lt;=20000,"High")</f>
        <v>Low</v>
      </c>
      <c r="N1255" t="s">
        <v>22</v>
      </c>
      <c r="O1255">
        <v>15</v>
      </c>
      <c r="P1255">
        <v>3</v>
      </c>
      <c r="Q1255">
        <v>4</v>
      </c>
      <c r="R1255">
        <v>13</v>
      </c>
      <c r="S1255">
        <v>2</v>
      </c>
      <c r="T1255">
        <v>11</v>
      </c>
      <c r="U1255">
        <v>7</v>
      </c>
    </row>
    <row r="1256" spans="1:21" x14ac:dyDescent="0.35">
      <c r="A1256">
        <v>49</v>
      </c>
      <c r="B1256" t="str" cm="1">
        <f t="array" ref="B1256">_xlfn.IFS(A1256&gt;40,"Senior",A1256&gt;30,"Adult",A1256&gt;=18,"Teenager")</f>
        <v>Senior</v>
      </c>
      <c r="C1256" t="s">
        <v>22</v>
      </c>
      <c r="D1256">
        <f t="shared" si="19"/>
        <v>0</v>
      </c>
      <c r="E1256" t="s">
        <v>19</v>
      </c>
      <c r="F1256">
        <v>4</v>
      </c>
      <c r="G1256" t="s">
        <v>20</v>
      </c>
      <c r="H1256">
        <v>3</v>
      </c>
      <c r="I1256">
        <v>2</v>
      </c>
      <c r="J1256" t="s">
        <v>21</v>
      </c>
      <c r="K1256">
        <v>4</v>
      </c>
      <c r="L1256">
        <v>4507</v>
      </c>
      <c r="M1256" t="str" cm="1">
        <f t="array" ref="M1256">_xlfn.IFS(L1256&lt;= 7000,"Low",L1256&lt;=15000,"Medium",L1256&lt;=20000,"High")</f>
        <v>Low</v>
      </c>
      <c r="N1256" t="s">
        <v>22</v>
      </c>
      <c r="O1256">
        <v>12</v>
      </c>
      <c r="P1256">
        <v>3</v>
      </c>
      <c r="Q1256">
        <v>3</v>
      </c>
      <c r="R1256">
        <v>8</v>
      </c>
      <c r="S1256">
        <v>4</v>
      </c>
      <c r="T1256">
        <v>5</v>
      </c>
      <c r="U1256">
        <v>1</v>
      </c>
    </row>
    <row r="1257" spans="1:21" x14ac:dyDescent="0.35">
      <c r="A1257">
        <v>33</v>
      </c>
      <c r="B1257" t="str" cm="1">
        <f t="array" ref="B1257">_xlfn.IFS(A1257&gt;40,"Senior",A1257&gt;30,"Adult",A1257&gt;=18,"Teenager")</f>
        <v>Adult</v>
      </c>
      <c r="C1257" t="s">
        <v>18</v>
      </c>
      <c r="D1257">
        <f t="shared" si="19"/>
        <v>1</v>
      </c>
      <c r="E1257" t="s">
        <v>19</v>
      </c>
      <c r="F1257">
        <v>1</v>
      </c>
      <c r="G1257" t="s">
        <v>20</v>
      </c>
      <c r="H1257">
        <v>3</v>
      </c>
      <c r="I1257">
        <v>3</v>
      </c>
      <c r="J1257" t="s">
        <v>21</v>
      </c>
      <c r="K1257">
        <v>1</v>
      </c>
      <c r="L1257">
        <v>8564</v>
      </c>
      <c r="M1257" t="str" cm="1">
        <f t="array" ref="M1257">_xlfn.IFS(L1257&lt;= 7000,"Low",L1257&lt;=15000,"Medium",L1257&lt;=20000,"High")</f>
        <v>Medium</v>
      </c>
      <c r="N1257" t="s">
        <v>18</v>
      </c>
      <c r="O1257">
        <v>20</v>
      </c>
      <c r="P1257">
        <v>4</v>
      </c>
      <c r="Q1257">
        <v>3</v>
      </c>
      <c r="R1257">
        <v>11</v>
      </c>
      <c r="S1257">
        <v>2</v>
      </c>
      <c r="T1257">
        <v>0</v>
      </c>
      <c r="U1257">
        <v>0</v>
      </c>
    </row>
    <row r="1258" spans="1:21" x14ac:dyDescent="0.35">
      <c r="A1258">
        <v>38</v>
      </c>
      <c r="B1258" t="str" cm="1">
        <f t="array" ref="B1258">_xlfn.IFS(A1258&gt;40,"Senior",A1258&gt;30,"Adult",A1258&gt;=18,"Teenager")</f>
        <v>Adult</v>
      </c>
      <c r="C1258" t="s">
        <v>22</v>
      </c>
      <c r="D1258">
        <f t="shared" si="19"/>
        <v>0</v>
      </c>
      <c r="E1258" t="s">
        <v>23</v>
      </c>
      <c r="F1258">
        <v>3</v>
      </c>
      <c r="G1258" t="s">
        <v>20</v>
      </c>
      <c r="H1258">
        <v>2</v>
      </c>
      <c r="I1258">
        <v>1</v>
      </c>
      <c r="J1258" t="s">
        <v>26</v>
      </c>
      <c r="K1258">
        <v>2</v>
      </c>
      <c r="L1258">
        <v>2468</v>
      </c>
      <c r="M1258" t="str" cm="1">
        <f t="array" ref="M1258">_xlfn.IFS(L1258&lt;= 7000,"Low",L1258&lt;=15000,"Medium",L1258&lt;=20000,"High")</f>
        <v>Low</v>
      </c>
      <c r="N1258" t="s">
        <v>22</v>
      </c>
      <c r="O1258">
        <v>14</v>
      </c>
      <c r="P1258">
        <v>3</v>
      </c>
      <c r="Q1258">
        <v>2</v>
      </c>
      <c r="R1258">
        <v>9</v>
      </c>
      <c r="S1258">
        <v>2</v>
      </c>
      <c r="T1258">
        <v>6</v>
      </c>
      <c r="U1258">
        <v>1</v>
      </c>
    </row>
    <row r="1259" spans="1:21" x14ac:dyDescent="0.35">
      <c r="A1259">
        <v>31</v>
      </c>
      <c r="B1259" t="str" cm="1">
        <f t="array" ref="B1259">_xlfn.IFS(A1259&gt;40,"Senior",A1259&gt;30,"Adult",A1259&gt;=18,"Teenager")</f>
        <v>Adult</v>
      </c>
      <c r="C1259" t="s">
        <v>18</v>
      </c>
      <c r="D1259">
        <f t="shared" si="19"/>
        <v>1</v>
      </c>
      <c r="E1259" t="s">
        <v>19</v>
      </c>
      <c r="F1259">
        <v>1</v>
      </c>
      <c r="G1259" t="s">
        <v>24</v>
      </c>
      <c r="H1259">
        <v>3</v>
      </c>
      <c r="I1259">
        <v>3</v>
      </c>
      <c r="J1259" t="s">
        <v>21</v>
      </c>
      <c r="K1259">
        <v>3</v>
      </c>
      <c r="L1259">
        <v>8161</v>
      </c>
      <c r="M1259" t="str" cm="1">
        <f t="array" ref="M1259">_xlfn.IFS(L1259&lt;= 7000,"Low",L1259&lt;=15000,"Medium",L1259&lt;=20000,"High")</f>
        <v>Medium</v>
      </c>
      <c r="N1259" t="s">
        <v>22</v>
      </c>
      <c r="O1259">
        <v>13</v>
      </c>
      <c r="P1259">
        <v>3</v>
      </c>
      <c r="Q1259">
        <v>1</v>
      </c>
      <c r="R1259">
        <v>10</v>
      </c>
      <c r="S1259">
        <v>3</v>
      </c>
      <c r="T1259">
        <v>1</v>
      </c>
      <c r="U1259">
        <v>0</v>
      </c>
    </row>
    <row r="1260" spans="1:21" x14ac:dyDescent="0.35">
      <c r="A1260">
        <v>29</v>
      </c>
      <c r="B1260" t="str" cm="1">
        <f t="array" ref="B1260">_xlfn.IFS(A1260&gt;40,"Senior",A1260&gt;30,"Adult",A1260&gt;=18,"Teenager")</f>
        <v>Teenager</v>
      </c>
      <c r="C1260" t="s">
        <v>22</v>
      </c>
      <c r="D1260">
        <f t="shared" si="19"/>
        <v>0</v>
      </c>
      <c r="E1260" t="s">
        <v>23</v>
      </c>
      <c r="F1260">
        <v>4</v>
      </c>
      <c r="G1260" t="s">
        <v>20</v>
      </c>
      <c r="H1260">
        <v>2</v>
      </c>
      <c r="I1260">
        <v>1</v>
      </c>
      <c r="J1260" t="s">
        <v>25</v>
      </c>
      <c r="K1260">
        <v>1</v>
      </c>
      <c r="L1260">
        <v>2109</v>
      </c>
      <c r="M1260" t="str" cm="1">
        <f t="array" ref="M1260">_xlfn.IFS(L1260&lt;= 7000,"Low",L1260&lt;=15000,"Medium",L1260&lt;=20000,"High")</f>
        <v>Low</v>
      </c>
      <c r="N1260" t="s">
        <v>22</v>
      </c>
      <c r="O1260">
        <v>13</v>
      </c>
      <c r="P1260">
        <v>3</v>
      </c>
      <c r="Q1260">
        <v>3</v>
      </c>
      <c r="R1260">
        <v>1</v>
      </c>
      <c r="S1260">
        <v>3</v>
      </c>
      <c r="T1260">
        <v>1</v>
      </c>
      <c r="U1260">
        <v>0</v>
      </c>
    </row>
    <row r="1261" spans="1:21" x14ac:dyDescent="0.35">
      <c r="A1261">
        <v>30</v>
      </c>
      <c r="B1261" t="str" cm="1">
        <f t="array" ref="B1261">_xlfn.IFS(A1261&gt;40,"Senior",A1261&gt;30,"Adult",A1261&gt;=18,"Teenager")</f>
        <v>Teenager</v>
      </c>
      <c r="C1261" t="s">
        <v>22</v>
      </c>
      <c r="D1261">
        <f t="shared" si="19"/>
        <v>0</v>
      </c>
      <c r="E1261" t="s">
        <v>23</v>
      </c>
      <c r="F1261">
        <v>3</v>
      </c>
      <c r="G1261" t="s">
        <v>24</v>
      </c>
      <c r="H1261">
        <v>4</v>
      </c>
      <c r="I1261">
        <v>2</v>
      </c>
      <c r="J1261" t="s">
        <v>28</v>
      </c>
      <c r="K1261">
        <v>3</v>
      </c>
      <c r="L1261">
        <v>5294</v>
      </c>
      <c r="M1261" t="str" cm="1">
        <f t="array" ref="M1261">_xlfn.IFS(L1261&lt;= 7000,"Low",L1261&lt;=15000,"Medium",L1261&lt;=20000,"High")</f>
        <v>Low</v>
      </c>
      <c r="N1261" t="s">
        <v>22</v>
      </c>
      <c r="O1261">
        <v>16</v>
      </c>
      <c r="P1261">
        <v>3</v>
      </c>
      <c r="Q1261">
        <v>3</v>
      </c>
      <c r="R1261">
        <v>10</v>
      </c>
      <c r="S1261">
        <v>3</v>
      </c>
      <c r="T1261">
        <v>7</v>
      </c>
      <c r="U1261">
        <v>0</v>
      </c>
    </row>
    <row r="1262" spans="1:21" x14ac:dyDescent="0.35">
      <c r="A1262">
        <v>32</v>
      </c>
      <c r="B1262" t="str" cm="1">
        <f t="array" ref="B1262">_xlfn.IFS(A1262&gt;40,"Senior",A1262&gt;30,"Adult",A1262&gt;=18,"Teenager")</f>
        <v>Adult</v>
      </c>
      <c r="C1262" t="s">
        <v>22</v>
      </c>
      <c r="D1262">
        <f t="shared" si="19"/>
        <v>0</v>
      </c>
      <c r="E1262" t="s">
        <v>23</v>
      </c>
      <c r="F1262">
        <v>2</v>
      </c>
      <c r="G1262" t="s">
        <v>24</v>
      </c>
      <c r="H1262">
        <v>3</v>
      </c>
      <c r="I1262">
        <v>1</v>
      </c>
      <c r="J1262" t="s">
        <v>25</v>
      </c>
      <c r="K1262">
        <v>2</v>
      </c>
      <c r="L1262">
        <v>2718</v>
      </c>
      <c r="M1262" t="str" cm="1">
        <f t="array" ref="M1262">_xlfn.IFS(L1262&lt;= 7000,"Low",L1262&lt;=15000,"Medium",L1262&lt;=20000,"High")</f>
        <v>Low</v>
      </c>
      <c r="N1262" t="s">
        <v>22</v>
      </c>
      <c r="O1262">
        <v>14</v>
      </c>
      <c r="P1262">
        <v>3</v>
      </c>
      <c r="Q1262">
        <v>2</v>
      </c>
      <c r="R1262">
        <v>12</v>
      </c>
      <c r="S1262">
        <v>3</v>
      </c>
      <c r="T1262">
        <v>7</v>
      </c>
      <c r="U1262">
        <v>7</v>
      </c>
    </row>
    <row r="1263" spans="1:21" x14ac:dyDescent="0.35">
      <c r="A1263">
        <v>38</v>
      </c>
      <c r="B1263" t="str" cm="1">
        <f t="array" ref="B1263">_xlfn.IFS(A1263&gt;40,"Senior",A1263&gt;30,"Adult",A1263&gt;=18,"Teenager")</f>
        <v>Adult</v>
      </c>
      <c r="C1263" t="s">
        <v>22</v>
      </c>
      <c r="D1263">
        <f t="shared" si="19"/>
        <v>0</v>
      </c>
      <c r="E1263" t="s">
        <v>23</v>
      </c>
      <c r="F1263">
        <v>2</v>
      </c>
      <c r="G1263" t="s">
        <v>24</v>
      </c>
      <c r="H1263">
        <v>1</v>
      </c>
      <c r="I1263">
        <v>2</v>
      </c>
      <c r="J1263" t="s">
        <v>28</v>
      </c>
      <c r="K1263">
        <v>4</v>
      </c>
      <c r="L1263">
        <v>5811</v>
      </c>
      <c r="M1263" t="str" cm="1">
        <f t="array" ref="M1263">_xlfn.IFS(L1263&lt;= 7000,"Low",L1263&lt;=15000,"Medium",L1263&lt;=20000,"High")</f>
        <v>Low</v>
      </c>
      <c r="N1263" t="s">
        <v>18</v>
      </c>
      <c r="O1263">
        <v>16</v>
      </c>
      <c r="P1263">
        <v>3</v>
      </c>
      <c r="Q1263">
        <v>3</v>
      </c>
      <c r="R1263">
        <v>15</v>
      </c>
      <c r="S1263">
        <v>3</v>
      </c>
      <c r="T1263">
        <v>1</v>
      </c>
      <c r="U1263">
        <v>0</v>
      </c>
    </row>
    <row r="1264" spans="1:21" x14ac:dyDescent="0.35">
      <c r="A1264">
        <v>43</v>
      </c>
      <c r="B1264" t="str" cm="1">
        <f t="array" ref="B1264">_xlfn.IFS(A1264&gt;40,"Senior",A1264&gt;30,"Adult",A1264&gt;=18,"Teenager")</f>
        <v>Senior</v>
      </c>
      <c r="C1264" t="s">
        <v>18</v>
      </c>
      <c r="D1264">
        <f t="shared" si="19"/>
        <v>1</v>
      </c>
      <c r="E1264" t="s">
        <v>23</v>
      </c>
      <c r="F1264">
        <v>3</v>
      </c>
      <c r="G1264" t="s">
        <v>24</v>
      </c>
      <c r="H1264">
        <v>2</v>
      </c>
      <c r="I1264">
        <v>1</v>
      </c>
      <c r="J1264" t="s">
        <v>25</v>
      </c>
      <c r="K1264">
        <v>3</v>
      </c>
      <c r="L1264">
        <v>2437</v>
      </c>
      <c r="M1264" t="str" cm="1">
        <f t="array" ref="M1264">_xlfn.IFS(L1264&lt;= 7000,"Low",L1264&lt;=15000,"Medium",L1264&lt;=20000,"High")</f>
        <v>Low</v>
      </c>
      <c r="N1264" t="s">
        <v>18</v>
      </c>
      <c r="O1264">
        <v>16</v>
      </c>
      <c r="P1264">
        <v>3</v>
      </c>
      <c r="Q1264">
        <v>4</v>
      </c>
      <c r="R1264">
        <v>6</v>
      </c>
      <c r="S1264">
        <v>3</v>
      </c>
      <c r="T1264">
        <v>1</v>
      </c>
      <c r="U1264">
        <v>0</v>
      </c>
    </row>
    <row r="1265" spans="1:21" x14ac:dyDescent="0.35">
      <c r="A1265">
        <v>42</v>
      </c>
      <c r="B1265" t="str" cm="1">
        <f t="array" ref="B1265">_xlfn.IFS(A1265&gt;40,"Senior",A1265&gt;30,"Adult",A1265&gt;=18,"Teenager")</f>
        <v>Senior</v>
      </c>
      <c r="C1265" t="s">
        <v>22</v>
      </c>
      <c r="D1265">
        <f t="shared" si="19"/>
        <v>0</v>
      </c>
      <c r="E1265" t="s">
        <v>23</v>
      </c>
      <c r="F1265">
        <v>2</v>
      </c>
      <c r="G1265" t="s">
        <v>24</v>
      </c>
      <c r="H1265">
        <v>3</v>
      </c>
      <c r="I1265">
        <v>1</v>
      </c>
      <c r="J1265" t="s">
        <v>26</v>
      </c>
      <c r="K1265">
        <v>2</v>
      </c>
      <c r="L1265">
        <v>2766</v>
      </c>
      <c r="M1265" t="str" cm="1">
        <f t="array" ref="M1265">_xlfn.IFS(L1265&lt;= 7000,"Low",L1265&lt;=15000,"Medium",L1265&lt;=20000,"High")</f>
        <v>Low</v>
      </c>
      <c r="N1265" t="s">
        <v>22</v>
      </c>
      <c r="O1265">
        <v>22</v>
      </c>
      <c r="P1265">
        <v>4</v>
      </c>
      <c r="Q1265">
        <v>2</v>
      </c>
      <c r="R1265">
        <v>7</v>
      </c>
      <c r="S1265">
        <v>2</v>
      </c>
      <c r="T1265">
        <v>5</v>
      </c>
      <c r="U1265">
        <v>3</v>
      </c>
    </row>
    <row r="1266" spans="1:21" x14ac:dyDescent="0.35">
      <c r="A1266">
        <v>55</v>
      </c>
      <c r="B1266" t="str" cm="1">
        <f t="array" ref="B1266">_xlfn.IFS(A1266&gt;40,"Senior",A1266&gt;30,"Adult",A1266&gt;=18,"Teenager")</f>
        <v>Senior</v>
      </c>
      <c r="C1266" t="s">
        <v>22</v>
      </c>
      <c r="D1266">
        <f t="shared" si="19"/>
        <v>0</v>
      </c>
      <c r="E1266" t="s">
        <v>23</v>
      </c>
      <c r="F1266">
        <v>3</v>
      </c>
      <c r="G1266" t="s">
        <v>24</v>
      </c>
      <c r="H1266">
        <v>2</v>
      </c>
      <c r="I1266">
        <v>5</v>
      </c>
      <c r="J1266" t="s">
        <v>31</v>
      </c>
      <c r="K1266">
        <v>1</v>
      </c>
      <c r="L1266">
        <v>19038</v>
      </c>
      <c r="M1266" t="str" cm="1">
        <f t="array" ref="M1266">_xlfn.IFS(L1266&lt;= 7000,"Low",L1266&lt;=15000,"Medium",L1266&lt;=20000,"High")</f>
        <v>High</v>
      </c>
      <c r="N1266" t="s">
        <v>22</v>
      </c>
      <c r="O1266">
        <v>12</v>
      </c>
      <c r="P1266">
        <v>3</v>
      </c>
      <c r="Q1266">
        <v>2</v>
      </c>
      <c r="R1266">
        <v>34</v>
      </c>
      <c r="S1266">
        <v>3</v>
      </c>
      <c r="T1266">
        <v>1</v>
      </c>
      <c r="U1266">
        <v>0</v>
      </c>
    </row>
    <row r="1267" spans="1:21" x14ac:dyDescent="0.35">
      <c r="A1267">
        <v>33</v>
      </c>
      <c r="B1267" t="str" cm="1">
        <f t="array" ref="B1267">_xlfn.IFS(A1267&gt;40,"Senior",A1267&gt;30,"Adult",A1267&gt;=18,"Teenager")</f>
        <v>Adult</v>
      </c>
      <c r="C1267" t="s">
        <v>22</v>
      </c>
      <c r="D1267">
        <f t="shared" si="19"/>
        <v>0</v>
      </c>
      <c r="E1267" t="s">
        <v>23</v>
      </c>
      <c r="F1267">
        <v>4</v>
      </c>
      <c r="G1267" t="s">
        <v>24</v>
      </c>
      <c r="H1267">
        <v>3</v>
      </c>
      <c r="I1267">
        <v>2</v>
      </c>
      <c r="J1267" t="s">
        <v>25</v>
      </c>
      <c r="K1267">
        <v>2</v>
      </c>
      <c r="L1267">
        <v>3055</v>
      </c>
      <c r="M1267" t="str" cm="1">
        <f t="array" ref="M1267">_xlfn.IFS(L1267&lt;= 7000,"Low",L1267&lt;=15000,"Medium",L1267&lt;=20000,"High")</f>
        <v>Low</v>
      </c>
      <c r="N1267" t="s">
        <v>22</v>
      </c>
      <c r="O1267">
        <v>15</v>
      </c>
      <c r="P1267">
        <v>3</v>
      </c>
      <c r="Q1267">
        <v>4</v>
      </c>
      <c r="R1267">
        <v>11</v>
      </c>
      <c r="S1267">
        <v>2</v>
      </c>
      <c r="T1267">
        <v>9</v>
      </c>
      <c r="U1267">
        <v>8</v>
      </c>
    </row>
    <row r="1268" spans="1:21" x14ac:dyDescent="0.35">
      <c r="A1268">
        <v>41</v>
      </c>
      <c r="B1268" t="str" cm="1">
        <f t="array" ref="B1268">_xlfn.IFS(A1268&gt;40,"Senior",A1268&gt;30,"Adult",A1268&gt;=18,"Teenager")</f>
        <v>Senior</v>
      </c>
      <c r="C1268" t="s">
        <v>22</v>
      </c>
      <c r="D1268">
        <f t="shared" si="19"/>
        <v>0</v>
      </c>
      <c r="E1268" t="s">
        <v>23</v>
      </c>
      <c r="F1268">
        <v>3</v>
      </c>
      <c r="G1268" t="s">
        <v>24</v>
      </c>
      <c r="H1268">
        <v>3</v>
      </c>
      <c r="I1268">
        <v>1</v>
      </c>
      <c r="J1268" t="s">
        <v>26</v>
      </c>
      <c r="K1268">
        <v>1</v>
      </c>
      <c r="L1268">
        <v>2289</v>
      </c>
      <c r="M1268" t="str" cm="1">
        <f t="array" ref="M1268">_xlfn.IFS(L1268&lt;= 7000,"Low",L1268&lt;=15000,"Medium",L1268&lt;=20000,"High")</f>
        <v>Low</v>
      </c>
      <c r="N1268" t="s">
        <v>22</v>
      </c>
      <c r="O1268">
        <v>20</v>
      </c>
      <c r="P1268">
        <v>4</v>
      </c>
      <c r="Q1268">
        <v>2</v>
      </c>
      <c r="R1268">
        <v>5</v>
      </c>
      <c r="S1268">
        <v>3</v>
      </c>
      <c r="T1268">
        <v>5</v>
      </c>
      <c r="U1268">
        <v>3</v>
      </c>
    </row>
    <row r="1269" spans="1:21" x14ac:dyDescent="0.35">
      <c r="A1269">
        <v>34</v>
      </c>
      <c r="B1269" t="str" cm="1">
        <f t="array" ref="B1269">_xlfn.IFS(A1269&gt;40,"Senior",A1269&gt;30,"Adult",A1269&gt;=18,"Teenager")</f>
        <v>Adult</v>
      </c>
      <c r="C1269" t="s">
        <v>22</v>
      </c>
      <c r="D1269">
        <f t="shared" si="19"/>
        <v>0</v>
      </c>
      <c r="E1269" t="s">
        <v>19</v>
      </c>
      <c r="F1269">
        <v>4</v>
      </c>
      <c r="G1269" t="s">
        <v>24</v>
      </c>
      <c r="H1269">
        <v>3</v>
      </c>
      <c r="I1269">
        <v>2</v>
      </c>
      <c r="J1269" t="s">
        <v>21</v>
      </c>
      <c r="K1269">
        <v>3</v>
      </c>
      <c r="L1269">
        <v>4001</v>
      </c>
      <c r="M1269" t="str" cm="1">
        <f t="array" ref="M1269">_xlfn.IFS(L1269&lt;= 7000,"Low",L1269&lt;=15000,"Medium",L1269&lt;=20000,"High")</f>
        <v>Low</v>
      </c>
      <c r="N1269" t="s">
        <v>18</v>
      </c>
      <c r="O1269">
        <v>14</v>
      </c>
      <c r="P1269">
        <v>3</v>
      </c>
      <c r="Q1269">
        <v>3</v>
      </c>
      <c r="R1269">
        <v>15</v>
      </c>
      <c r="S1269">
        <v>3</v>
      </c>
      <c r="T1269">
        <v>15</v>
      </c>
      <c r="U1269">
        <v>14</v>
      </c>
    </row>
    <row r="1270" spans="1:21" x14ac:dyDescent="0.35">
      <c r="A1270">
        <v>53</v>
      </c>
      <c r="B1270" t="str" cm="1">
        <f t="array" ref="B1270">_xlfn.IFS(A1270&gt;40,"Senior",A1270&gt;30,"Adult",A1270&gt;=18,"Teenager")</f>
        <v>Senior</v>
      </c>
      <c r="C1270" t="s">
        <v>22</v>
      </c>
      <c r="D1270">
        <f t="shared" si="19"/>
        <v>0</v>
      </c>
      <c r="E1270" t="s">
        <v>23</v>
      </c>
      <c r="F1270">
        <v>1</v>
      </c>
      <c r="G1270" t="s">
        <v>20</v>
      </c>
      <c r="H1270">
        <v>2</v>
      </c>
      <c r="I1270">
        <v>4</v>
      </c>
      <c r="J1270" t="s">
        <v>27</v>
      </c>
      <c r="K1270">
        <v>3</v>
      </c>
      <c r="L1270">
        <v>12965</v>
      </c>
      <c r="M1270" t="str" cm="1">
        <f t="array" ref="M1270">_xlfn.IFS(L1270&lt;= 7000,"Low",L1270&lt;=15000,"Medium",L1270&lt;=20000,"High")</f>
        <v>Medium</v>
      </c>
      <c r="N1270" t="s">
        <v>18</v>
      </c>
      <c r="O1270">
        <v>20</v>
      </c>
      <c r="P1270">
        <v>4</v>
      </c>
      <c r="Q1270">
        <v>4</v>
      </c>
      <c r="R1270">
        <v>27</v>
      </c>
      <c r="S1270">
        <v>2</v>
      </c>
      <c r="T1270">
        <v>3</v>
      </c>
      <c r="U1270">
        <v>2</v>
      </c>
    </row>
    <row r="1271" spans="1:21" x14ac:dyDescent="0.35">
      <c r="A1271">
        <v>43</v>
      </c>
      <c r="B1271" t="str" cm="1">
        <f t="array" ref="B1271">_xlfn.IFS(A1271&gt;40,"Senior",A1271&gt;30,"Adult",A1271&gt;=18,"Teenager")</f>
        <v>Senior</v>
      </c>
      <c r="C1271" t="s">
        <v>22</v>
      </c>
      <c r="D1271">
        <f t="shared" si="19"/>
        <v>0</v>
      </c>
      <c r="E1271" t="s">
        <v>32</v>
      </c>
      <c r="F1271">
        <v>2</v>
      </c>
      <c r="G1271" t="s">
        <v>24</v>
      </c>
      <c r="H1271">
        <v>3</v>
      </c>
      <c r="I1271">
        <v>1</v>
      </c>
      <c r="J1271" t="s">
        <v>32</v>
      </c>
      <c r="K1271">
        <v>4</v>
      </c>
      <c r="L1271">
        <v>3539</v>
      </c>
      <c r="M1271" t="str" cm="1">
        <f t="array" ref="M1271">_xlfn.IFS(L1271&lt;= 7000,"Low",L1271&lt;=15000,"Medium",L1271&lt;=20000,"High")</f>
        <v>Low</v>
      </c>
      <c r="N1271" t="s">
        <v>22</v>
      </c>
      <c r="O1271">
        <v>13</v>
      </c>
      <c r="P1271">
        <v>3</v>
      </c>
      <c r="Q1271">
        <v>2</v>
      </c>
      <c r="R1271">
        <v>10</v>
      </c>
      <c r="S1271">
        <v>3</v>
      </c>
      <c r="T1271">
        <v>9</v>
      </c>
      <c r="U1271">
        <v>7</v>
      </c>
    </row>
    <row r="1272" spans="1:21" x14ac:dyDescent="0.35">
      <c r="A1272">
        <v>34</v>
      </c>
      <c r="B1272" t="str" cm="1">
        <f t="array" ref="B1272">_xlfn.IFS(A1272&gt;40,"Senior",A1272&gt;30,"Adult",A1272&gt;=18,"Teenager")</f>
        <v>Adult</v>
      </c>
      <c r="C1272" t="s">
        <v>22</v>
      </c>
      <c r="D1272">
        <f t="shared" si="19"/>
        <v>0</v>
      </c>
      <c r="E1272" t="s">
        <v>19</v>
      </c>
      <c r="F1272">
        <v>4</v>
      </c>
      <c r="G1272" t="s">
        <v>20</v>
      </c>
      <c r="H1272">
        <v>1</v>
      </c>
      <c r="I1272">
        <v>2</v>
      </c>
      <c r="J1272" t="s">
        <v>21</v>
      </c>
      <c r="K1272">
        <v>4</v>
      </c>
      <c r="L1272">
        <v>6029</v>
      </c>
      <c r="M1272" t="str" cm="1">
        <f t="array" ref="M1272">_xlfn.IFS(L1272&lt;= 7000,"Low",L1272&lt;=15000,"Medium",L1272&lt;=20000,"High")</f>
        <v>Low</v>
      </c>
      <c r="N1272" t="s">
        <v>22</v>
      </c>
      <c r="O1272">
        <v>12</v>
      </c>
      <c r="P1272">
        <v>3</v>
      </c>
      <c r="Q1272">
        <v>1</v>
      </c>
      <c r="R1272">
        <v>6</v>
      </c>
      <c r="S1272">
        <v>3</v>
      </c>
      <c r="T1272">
        <v>2</v>
      </c>
      <c r="U1272">
        <v>2</v>
      </c>
    </row>
    <row r="1273" spans="1:21" x14ac:dyDescent="0.35">
      <c r="A1273">
        <v>21</v>
      </c>
      <c r="B1273" t="str" cm="1">
        <f t="array" ref="B1273">_xlfn.IFS(A1273&gt;40,"Senior",A1273&gt;30,"Adult",A1273&gt;=18,"Teenager")</f>
        <v>Teenager</v>
      </c>
      <c r="C1273" t="s">
        <v>18</v>
      </c>
      <c r="D1273">
        <f t="shared" si="19"/>
        <v>1</v>
      </c>
      <c r="E1273" t="s">
        <v>19</v>
      </c>
      <c r="F1273">
        <v>2</v>
      </c>
      <c r="G1273" t="s">
        <v>24</v>
      </c>
      <c r="H1273">
        <v>3</v>
      </c>
      <c r="I1273">
        <v>1</v>
      </c>
      <c r="J1273" t="s">
        <v>30</v>
      </c>
      <c r="K1273">
        <v>2</v>
      </c>
      <c r="L1273">
        <v>2679</v>
      </c>
      <c r="M1273" t="str" cm="1">
        <f t="array" ref="M1273">_xlfn.IFS(L1273&lt;= 7000,"Low",L1273&lt;=15000,"Medium",L1273&lt;=20000,"High")</f>
        <v>Low</v>
      </c>
      <c r="N1273" t="s">
        <v>22</v>
      </c>
      <c r="O1273">
        <v>13</v>
      </c>
      <c r="P1273">
        <v>3</v>
      </c>
      <c r="Q1273">
        <v>2</v>
      </c>
      <c r="R1273">
        <v>1</v>
      </c>
      <c r="S1273">
        <v>3</v>
      </c>
      <c r="T1273">
        <v>1</v>
      </c>
      <c r="U1273">
        <v>0</v>
      </c>
    </row>
    <row r="1274" spans="1:21" x14ac:dyDescent="0.35">
      <c r="A1274">
        <v>38</v>
      </c>
      <c r="B1274" t="str" cm="1">
        <f t="array" ref="B1274">_xlfn.IFS(A1274&gt;40,"Senior",A1274&gt;30,"Adult",A1274&gt;=18,"Teenager")</f>
        <v>Adult</v>
      </c>
      <c r="C1274" t="s">
        <v>22</v>
      </c>
      <c r="D1274">
        <f t="shared" si="19"/>
        <v>0</v>
      </c>
      <c r="E1274" t="s">
        <v>23</v>
      </c>
      <c r="F1274">
        <v>4</v>
      </c>
      <c r="G1274" t="s">
        <v>20</v>
      </c>
      <c r="H1274">
        <v>2</v>
      </c>
      <c r="I1274">
        <v>1</v>
      </c>
      <c r="J1274" t="s">
        <v>26</v>
      </c>
      <c r="K1274">
        <v>3</v>
      </c>
      <c r="L1274">
        <v>3702</v>
      </c>
      <c r="M1274" t="str" cm="1">
        <f t="array" ref="M1274">_xlfn.IFS(L1274&lt;= 7000,"Low",L1274&lt;=15000,"Medium",L1274&lt;=20000,"High")</f>
        <v>Low</v>
      </c>
      <c r="N1274" t="s">
        <v>22</v>
      </c>
      <c r="O1274">
        <v>11</v>
      </c>
      <c r="P1274">
        <v>3</v>
      </c>
      <c r="Q1274">
        <v>2</v>
      </c>
      <c r="R1274">
        <v>5</v>
      </c>
      <c r="S1274">
        <v>3</v>
      </c>
      <c r="T1274">
        <v>5</v>
      </c>
      <c r="U1274">
        <v>4</v>
      </c>
    </row>
    <row r="1275" spans="1:21" x14ac:dyDescent="0.35">
      <c r="A1275">
        <v>22</v>
      </c>
      <c r="B1275" t="str" cm="1">
        <f t="array" ref="B1275">_xlfn.IFS(A1275&gt;40,"Senior",A1275&gt;30,"Adult",A1275&gt;=18,"Teenager")</f>
        <v>Teenager</v>
      </c>
      <c r="C1275" t="s">
        <v>18</v>
      </c>
      <c r="D1275">
        <f t="shared" si="19"/>
        <v>1</v>
      </c>
      <c r="E1275" t="s">
        <v>23</v>
      </c>
      <c r="F1275">
        <v>3</v>
      </c>
      <c r="G1275" t="s">
        <v>20</v>
      </c>
      <c r="H1275">
        <v>3</v>
      </c>
      <c r="I1275">
        <v>1</v>
      </c>
      <c r="J1275" t="s">
        <v>26</v>
      </c>
      <c r="K1275">
        <v>1</v>
      </c>
      <c r="L1275">
        <v>2398</v>
      </c>
      <c r="M1275" t="str" cm="1">
        <f t="array" ref="M1275">_xlfn.IFS(L1275&lt;= 7000,"Low",L1275&lt;=15000,"Medium",L1275&lt;=20000,"High")</f>
        <v>Low</v>
      </c>
      <c r="N1275" t="s">
        <v>18</v>
      </c>
      <c r="O1275">
        <v>17</v>
      </c>
      <c r="P1275">
        <v>3</v>
      </c>
      <c r="Q1275">
        <v>3</v>
      </c>
      <c r="R1275">
        <v>1</v>
      </c>
      <c r="S1275">
        <v>3</v>
      </c>
      <c r="T1275">
        <v>1</v>
      </c>
      <c r="U1275">
        <v>0</v>
      </c>
    </row>
    <row r="1276" spans="1:21" x14ac:dyDescent="0.35">
      <c r="A1276">
        <v>31</v>
      </c>
      <c r="B1276" t="str" cm="1">
        <f t="array" ref="B1276">_xlfn.IFS(A1276&gt;40,"Senior",A1276&gt;30,"Adult",A1276&gt;=18,"Teenager")</f>
        <v>Adult</v>
      </c>
      <c r="C1276" t="s">
        <v>22</v>
      </c>
      <c r="D1276">
        <f t="shared" si="19"/>
        <v>0</v>
      </c>
      <c r="E1276" t="s">
        <v>19</v>
      </c>
      <c r="F1276">
        <v>1</v>
      </c>
      <c r="G1276" t="s">
        <v>20</v>
      </c>
      <c r="H1276">
        <v>2</v>
      </c>
      <c r="I1276">
        <v>2</v>
      </c>
      <c r="J1276" t="s">
        <v>21</v>
      </c>
      <c r="K1276">
        <v>4</v>
      </c>
      <c r="L1276">
        <v>5468</v>
      </c>
      <c r="M1276" t="str" cm="1">
        <f t="array" ref="M1276">_xlfn.IFS(L1276&lt;= 7000,"Low",L1276&lt;=15000,"Medium",L1276&lt;=20000,"High")</f>
        <v>Low</v>
      </c>
      <c r="N1276" t="s">
        <v>22</v>
      </c>
      <c r="O1276">
        <v>14</v>
      </c>
      <c r="P1276">
        <v>3</v>
      </c>
      <c r="Q1276">
        <v>1</v>
      </c>
      <c r="R1276">
        <v>13</v>
      </c>
      <c r="S1276">
        <v>3</v>
      </c>
      <c r="T1276">
        <v>12</v>
      </c>
      <c r="U1276">
        <v>7</v>
      </c>
    </row>
    <row r="1277" spans="1:21" x14ac:dyDescent="0.35">
      <c r="A1277">
        <v>51</v>
      </c>
      <c r="B1277" t="str" cm="1">
        <f t="array" ref="B1277">_xlfn.IFS(A1277&gt;40,"Senior",A1277&gt;30,"Adult",A1277&gt;=18,"Teenager")</f>
        <v>Senior</v>
      </c>
      <c r="C1277" t="s">
        <v>22</v>
      </c>
      <c r="D1277">
        <f t="shared" si="19"/>
        <v>0</v>
      </c>
      <c r="E1277" t="s">
        <v>23</v>
      </c>
      <c r="F1277">
        <v>1</v>
      </c>
      <c r="G1277" t="s">
        <v>20</v>
      </c>
      <c r="H1277">
        <v>3</v>
      </c>
      <c r="I1277">
        <v>3</v>
      </c>
      <c r="J1277" t="s">
        <v>29</v>
      </c>
      <c r="K1277">
        <v>3</v>
      </c>
      <c r="L1277">
        <v>13116</v>
      </c>
      <c r="M1277" t="str" cm="1">
        <f t="array" ref="M1277">_xlfn.IFS(L1277&lt;= 7000,"Low",L1277&lt;=15000,"Medium",L1277&lt;=20000,"High")</f>
        <v>Medium</v>
      </c>
      <c r="N1277" t="s">
        <v>22</v>
      </c>
      <c r="O1277">
        <v>11</v>
      </c>
      <c r="P1277">
        <v>3</v>
      </c>
      <c r="Q1277">
        <v>4</v>
      </c>
      <c r="R1277">
        <v>15</v>
      </c>
      <c r="S1277">
        <v>3</v>
      </c>
      <c r="T1277">
        <v>2</v>
      </c>
      <c r="U1277">
        <v>2</v>
      </c>
    </row>
    <row r="1278" spans="1:21" x14ac:dyDescent="0.35">
      <c r="A1278">
        <v>37</v>
      </c>
      <c r="B1278" t="str" cm="1">
        <f t="array" ref="B1278">_xlfn.IFS(A1278&gt;40,"Senior",A1278&gt;30,"Adult",A1278&gt;=18,"Teenager")</f>
        <v>Adult</v>
      </c>
      <c r="C1278" t="s">
        <v>22</v>
      </c>
      <c r="D1278">
        <f t="shared" si="19"/>
        <v>0</v>
      </c>
      <c r="E1278" t="s">
        <v>19</v>
      </c>
      <c r="F1278">
        <v>2</v>
      </c>
      <c r="G1278" t="s">
        <v>24</v>
      </c>
      <c r="H1278">
        <v>2</v>
      </c>
      <c r="I1278">
        <v>2</v>
      </c>
      <c r="J1278" t="s">
        <v>21</v>
      </c>
      <c r="K1278">
        <v>2</v>
      </c>
      <c r="L1278">
        <v>4189</v>
      </c>
      <c r="M1278" t="str" cm="1">
        <f t="array" ref="M1278">_xlfn.IFS(L1278&lt;= 7000,"Low",L1278&lt;=15000,"Medium",L1278&lt;=20000,"High")</f>
        <v>Low</v>
      </c>
      <c r="N1278" t="s">
        <v>22</v>
      </c>
      <c r="O1278">
        <v>14</v>
      </c>
      <c r="P1278">
        <v>3</v>
      </c>
      <c r="Q1278">
        <v>1</v>
      </c>
      <c r="R1278">
        <v>5</v>
      </c>
      <c r="S1278">
        <v>3</v>
      </c>
      <c r="T1278">
        <v>5</v>
      </c>
      <c r="U1278">
        <v>2</v>
      </c>
    </row>
    <row r="1279" spans="1:21" x14ac:dyDescent="0.35">
      <c r="A1279">
        <v>46</v>
      </c>
      <c r="B1279" t="str" cm="1">
        <f t="array" ref="B1279">_xlfn.IFS(A1279&gt;40,"Senior",A1279&gt;30,"Adult",A1279&gt;=18,"Teenager")</f>
        <v>Senior</v>
      </c>
      <c r="C1279" t="s">
        <v>22</v>
      </c>
      <c r="D1279">
        <f t="shared" si="19"/>
        <v>0</v>
      </c>
      <c r="E1279" t="s">
        <v>23</v>
      </c>
      <c r="F1279">
        <v>3</v>
      </c>
      <c r="G1279" t="s">
        <v>24</v>
      </c>
      <c r="H1279">
        <v>3</v>
      </c>
      <c r="I1279">
        <v>5</v>
      </c>
      <c r="J1279" t="s">
        <v>31</v>
      </c>
      <c r="K1279">
        <v>4</v>
      </c>
      <c r="L1279">
        <v>19328</v>
      </c>
      <c r="M1279" t="str" cm="1">
        <f t="array" ref="M1279">_xlfn.IFS(L1279&lt;= 7000,"Low",L1279&lt;=15000,"Medium",L1279&lt;=20000,"High")</f>
        <v>High</v>
      </c>
      <c r="N1279" t="s">
        <v>18</v>
      </c>
      <c r="O1279">
        <v>17</v>
      </c>
      <c r="P1279">
        <v>3</v>
      </c>
      <c r="Q1279">
        <v>3</v>
      </c>
      <c r="R1279">
        <v>24</v>
      </c>
      <c r="S1279">
        <v>3</v>
      </c>
      <c r="T1279">
        <v>2</v>
      </c>
      <c r="U1279">
        <v>1</v>
      </c>
    </row>
    <row r="1280" spans="1:21" x14ac:dyDescent="0.35">
      <c r="A1280">
        <v>36</v>
      </c>
      <c r="B1280" t="str" cm="1">
        <f t="array" ref="B1280">_xlfn.IFS(A1280&gt;40,"Senior",A1280&gt;30,"Adult",A1280&gt;=18,"Teenager")</f>
        <v>Adult</v>
      </c>
      <c r="C1280" t="s">
        <v>22</v>
      </c>
      <c r="D1280">
        <f t="shared" si="19"/>
        <v>0</v>
      </c>
      <c r="E1280" t="s">
        <v>23</v>
      </c>
      <c r="F1280">
        <v>4</v>
      </c>
      <c r="G1280" t="s">
        <v>24</v>
      </c>
      <c r="H1280">
        <v>3</v>
      </c>
      <c r="I1280">
        <v>3</v>
      </c>
      <c r="J1280" t="s">
        <v>28</v>
      </c>
      <c r="K1280">
        <v>1</v>
      </c>
      <c r="L1280">
        <v>8321</v>
      </c>
      <c r="M1280" t="str" cm="1">
        <f t="array" ref="M1280">_xlfn.IFS(L1280&lt;= 7000,"Low",L1280&lt;=15000,"Medium",L1280&lt;=20000,"High")</f>
        <v>Medium</v>
      </c>
      <c r="N1280" t="s">
        <v>18</v>
      </c>
      <c r="O1280">
        <v>13</v>
      </c>
      <c r="P1280">
        <v>3</v>
      </c>
      <c r="Q1280">
        <v>4</v>
      </c>
      <c r="R1280">
        <v>15</v>
      </c>
      <c r="S1280">
        <v>3</v>
      </c>
      <c r="T1280">
        <v>12</v>
      </c>
      <c r="U1280">
        <v>8</v>
      </c>
    </row>
    <row r="1281" spans="1:21" x14ac:dyDescent="0.35">
      <c r="A1281">
        <v>44</v>
      </c>
      <c r="B1281" t="str" cm="1">
        <f t="array" ref="B1281">_xlfn.IFS(A1281&gt;40,"Senior",A1281&gt;30,"Adult",A1281&gt;=18,"Teenager")</f>
        <v>Senior</v>
      </c>
      <c r="C1281" t="s">
        <v>18</v>
      </c>
      <c r="D1281">
        <f t="shared" si="19"/>
        <v>1</v>
      </c>
      <c r="E1281" t="s">
        <v>23</v>
      </c>
      <c r="F1281">
        <v>3</v>
      </c>
      <c r="G1281" t="s">
        <v>24</v>
      </c>
      <c r="H1281">
        <v>3</v>
      </c>
      <c r="I1281">
        <v>1</v>
      </c>
      <c r="J1281" t="s">
        <v>25</v>
      </c>
      <c r="K1281">
        <v>2</v>
      </c>
      <c r="L1281">
        <v>2342</v>
      </c>
      <c r="M1281" t="str" cm="1">
        <f t="array" ref="M1281">_xlfn.IFS(L1281&lt;= 7000,"Low",L1281&lt;=15000,"Medium",L1281&lt;=20000,"High")</f>
        <v>Low</v>
      </c>
      <c r="N1281" t="s">
        <v>18</v>
      </c>
      <c r="O1281">
        <v>12</v>
      </c>
      <c r="P1281">
        <v>3</v>
      </c>
      <c r="Q1281">
        <v>3</v>
      </c>
      <c r="R1281">
        <v>6</v>
      </c>
      <c r="S1281">
        <v>2</v>
      </c>
      <c r="T1281">
        <v>5</v>
      </c>
      <c r="U1281">
        <v>3</v>
      </c>
    </row>
    <row r="1282" spans="1:21" x14ac:dyDescent="0.35">
      <c r="A1282">
        <v>37</v>
      </c>
      <c r="B1282" t="str" cm="1">
        <f t="array" ref="B1282">_xlfn.IFS(A1282&gt;40,"Senior",A1282&gt;30,"Adult",A1282&gt;=18,"Teenager")</f>
        <v>Adult</v>
      </c>
      <c r="C1282" t="s">
        <v>22</v>
      </c>
      <c r="D1282">
        <f t="shared" si="19"/>
        <v>0</v>
      </c>
      <c r="E1282" t="s">
        <v>32</v>
      </c>
      <c r="F1282">
        <v>3</v>
      </c>
      <c r="G1282" t="s">
        <v>24</v>
      </c>
      <c r="H1282">
        <v>3</v>
      </c>
      <c r="I1282">
        <v>2</v>
      </c>
      <c r="J1282" t="s">
        <v>32</v>
      </c>
      <c r="K1282">
        <v>2</v>
      </c>
      <c r="L1282">
        <v>4071</v>
      </c>
      <c r="M1282" t="str" cm="1">
        <f t="array" ref="M1282">_xlfn.IFS(L1282&lt;= 7000,"Low",L1282&lt;=15000,"Medium",L1282&lt;=20000,"High")</f>
        <v>Low</v>
      </c>
      <c r="N1282" t="s">
        <v>22</v>
      </c>
      <c r="O1282">
        <v>13</v>
      </c>
      <c r="P1282">
        <v>3</v>
      </c>
      <c r="Q1282">
        <v>3</v>
      </c>
      <c r="R1282">
        <v>19</v>
      </c>
      <c r="S1282">
        <v>2</v>
      </c>
      <c r="T1282">
        <v>10</v>
      </c>
      <c r="U1282">
        <v>0</v>
      </c>
    </row>
    <row r="1283" spans="1:21" x14ac:dyDescent="0.35">
      <c r="A1283">
        <v>35</v>
      </c>
      <c r="B1283" t="str" cm="1">
        <f t="array" ref="B1283">_xlfn.IFS(A1283&gt;40,"Senior",A1283&gt;30,"Adult",A1283&gt;=18,"Teenager")</f>
        <v>Adult</v>
      </c>
      <c r="C1283" t="s">
        <v>18</v>
      </c>
      <c r="D1283">
        <f t="shared" ref="D1283:D1346" si="20">IF(C1283="Yes",1,0)</f>
        <v>1</v>
      </c>
      <c r="E1283" t="s">
        <v>19</v>
      </c>
      <c r="F1283">
        <v>3</v>
      </c>
      <c r="G1283" t="s">
        <v>24</v>
      </c>
      <c r="H1283">
        <v>3</v>
      </c>
      <c r="I1283">
        <v>2</v>
      </c>
      <c r="J1283" t="s">
        <v>21</v>
      </c>
      <c r="K1283">
        <v>4</v>
      </c>
      <c r="L1283">
        <v>5813</v>
      </c>
      <c r="M1283" t="str" cm="1">
        <f t="array" ref="M1283">_xlfn.IFS(L1283&lt;= 7000,"Low",L1283&lt;=15000,"Medium",L1283&lt;=20000,"High")</f>
        <v>Low</v>
      </c>
      <c r="N1283" t="s">
        <v>18</v>
      </c>
      <c r="O1283">
        <v>18</v>
      </c>
      <c r="P1283">
        <v>3</v>
      </c>
      <c r="Q1283">
        <v>4</v>
      </c>
      <c r="R1283">
        <v>10</v>
      </c>
      <c r="S1283">
        <v>3</v>
      </c>
      <c r="T1283">
        <v>10</v>
      </c>
      <c r="U1283">
        <v>7</v>
      </c>
    </row>
    <row r="1284" spans="1:21" x14ac:dyDescent="0.35">
      <c r="A1284">
        <v>33</v>
      </c>
      <c r="B1284" t="str" cm="1">
        <f t="array" ref="B1284">_xlfn.IFS(A1284&gt;40,"Senior",A1284&gt;30,"Adult",A1284&gt;=18,"Teenager")</f>
        <v>Adult</v>
      </c>
      <c r="C1284" t="s">
        <v>22</v>
      </c>
      <c r="D1284">
        <f t="shared" si="20"/>
        <v>0</v>
      </c>
      <c r="E1284" t="s">
        <v>23</v>
      </c>
      <c r="F1284">
        <v>4</v>
      </c>
      <c r="G1284" t="s">
        <v>24</v>
      </c>
      <c r="H1284">
        <v>4</v>
      </c>
      <c r="I1284">
        <v>1</v>
      </c>
      <c r="J1284" t="s">
        <v>25</v>
      </c>
      <c r="K1284">
        <v>1</v>
      </c>
      <c r="L1284">
        <v>3143</v>
      </c>
      <c r="M1284" t="str" cm="1">
        <f t="array" ref="M1284">_xlfn.IFS(L1284&lt;= 7000,"Low",L1284&lt;=15000,"Medium",L1284&lt;=20000,"High")</f>
        <v>Low</v>
      </c>
      <c r="N1284" t="s">
        <v>22</v>
      </c>
      <c r="O1284">
        <v>19</v>
      </c>
      <c r="P1284">
        <v>3</v>
      </c>
      <c r="Q1284">
        <v>2</v>
      </c>
      <c r="R1284">
        <v>14</v>
      </c>
      <c r="S1284">
        <v>3</v>
      </c>
      <c r="T1284">
        <v>10</v>
      </c>
      <c r="U1284">
        <v>8</v>
      </c>
    </row>
    <row r="1285" spans="1:21" x14ac:dyDescent="0.35">
      <c r="A1285">
        <v>28</v>
      </c>
      <c r="B1285" t="str" cm="1">
        <f t="array" ref="B1285">_xlfn.IFS(A1285&gt;40,"Senior",A1285&gt;30,"Adult",A1285&gt;=18,"Teenager")</f>
        <v>Teenager</v>
      </c>
      <c r="C1285" t="s">
        <v>22</v>
      </c>
      <c r="D1285">
        <f t="shared" si="20"/>
        <v>0</v>
      </c>
      <c r="E1285" t="s">
        <v>23</v>
      </c>
      <c r="F1285">
        <v>3</v>
      </c>
      <c r="G1285" t="s">
        <v>24</v>
      </c>
      <c r="H1285">
        <v>3</v>
      </c>
      <c r="I1285">
        <v>1</v>
      </c>
      <c r="J1285" t="s">
        <v>25</v>
      </c>
      <c r="K1285">
        <v>4</v>
      </c>
      <c r="L1285">
        <v>2044</v>
      </c>
      <c r="M1285" t="str" cm="1">
        <f t="array" ref="M1285">_xlfn.IFS(L1285&lt;= 7000,"Low",L1285&lt;=15000,"Medium",L1285&lt;=20000,"High")</f>
        <v>Low</v>
      </c>
      <c r="N1285" t="s">
        <v>22</v>
      </c>
      <c r="O1285">
        <v>11</v>
      </c>
      <c r="P1285">
        <v>3</v>
      </c>
      <c r="Q1285">
        <v>3</v>
      </c>
      <c r="R1285">
        <v>5</v>
      </c>
      <c r="S1285">
        <v>4</v>
      </c>
      <c r="T1285">
        <v>5</v>
      </c>
      <c r="U1285">
        <v>3</v>
      </c>
    </row>
    <row r="1286" spans="1:21" x14ac:dyDescent="0.35">
      <c r="A1286">
        <v>39</v>
      </c>
      <c r="B1286" t="str" cm="1">
        <f t="array" ref="B1286">_xlfn.IFS(A1286&gt;40,"Senior",A1286&gt;30,"Adult",A1286&gt;=18,"Teenager")</f>
        <v>Adult</v>
      </c>
      <c r="C1286" t="s">
        <v>22</v>
      </c>
      <c r="D1286">
        <f t="shared" si="20"/>
        <v>0</v>
      </c>
      <c r="E1286" t="s">
        <v>23</v>
      </c>
      <c r="F1286">
        <v>3</v>
      </c>
      <c r="G1286" t="s">
        <v>24</v>
      </c>
      <c r="H1286">
        <v>3</v>
      </c>
      <c r="I1286">
        <v>3</v>
      </c>
      <c r="J1286" t="s">
        <v>31</v>
      </c>
      <c r="K1286">
        <v>3</v>
      </c>
      <c r="L1286">
        <v>13464</v>
      </c>
      <c r="M1286" t="str" cm="1">
        <f t="array" ref="M1286">_xlfn.IFS(L1286&lt;= 7000,"Low",L1286&lt;=15000,"Medium",L1286&lt;=20000,"High")</f>
        <v>Medium</v>
      </c>
      <c r="N1286" t="s">
        <v>22</v>
      </c>
      <c r="O1286">
        <v>21</v>
      </c>
      <c r="P1286">
        <v>4</v>
      </c>
      <c r="Q1286">
        <v>3</v>
      </c>
      <c r="R1286">
        <v>9</v>
      </c>
      <c r="S1286">
        <v>3</v>
      </c>
      <c r="T1286">
        <v>4</v>
      </c>
      <c r="U1286">
        <v>3</v>
      </c>
    </row>
    <row r="1287" spans="1:21" x14ac:dyDescent="0.35">
      <c r="A1287">
        <v>46</v>
      </c>
      <c r="B1287" t="str" cm="1">
        <f t="array" ref="B1287">_xlfn.IFS(A1287&gt;40,"Senior",A1287&gt;30,"Adult",A1287&gt;=18,"Teenager")</f>
        <v>Senior</v>
      </c>
      <c r="C1287" t="s">
        <v>22</v>
      </c>
      <c r="D1287">
        <f t="shared" si="20"/>
        <v>0</v>
      </c>
      <c r="E1287" t="s">
        <v>19</v>
      </c>
      <c r="F1287">
        <v>2</v>
      </c>
      <c r="G1287" t="s">
        <v>24</v>
      </c>
      <c r="H1287">
        <v>2</v>
      </c>
      <c r="I1287">
        <v>2</v>
      </c>
      <c r="J1287" t="s">
        <v>21</v>
      </c>
      <c r="K1287">
        <v>2</v>
      </c>
      <c r="L1287">
        <v>7991</v>
      </c>
      <c r="M1287" t="str" cm="1">
        <f t="array" ref="M1287">_xlfn.IFS(L1287&lt;= 7000,"Low",L1287&lt;=15000,"Medium",L1287&lt;=20000,"High")</f>
        <v>Medium</v>
      </c>
      <c r="N1287" t="s">
        <v>22</v>
      </c>
      <c r="O1287">
        <v>15</v>
      </c>
      <c r="P1287">
        <v>3</v>
      </c>
      <c r="Q1287">
        <v>3</v>
      </c>
      <c r="R1287">
        <v>6</v>
      </c>
      <c r="S1287">
        <v>3</v>
      </c>
      <c r="T1287">
        <v>2</v>
      </c>
      <c r="U1287">
        <v>2</v>
      </c>
    </row>
    <row r="1288" spans="1:21" x14ac:dyDescent="0.35">
      <c r="A1288">
        <v>40</v>
      </c>
      <c r="B1288" t="str" cm="1">
        <f t="array" ref="B1288">_xlfn.IFS(A1288&gt;40,"Senior",A1288&gt;30,"Adult",A1288&gt;=18,"Teenager")</f>
        <v>Adult</v>
      </c>
      <c r="C1288" t="s">
        <v>22</v>
      </c>
      <c r="D1288">
        <f t="shared" si="20"/>
        <v>0</v>
      </c>
      <c r="E1288" t="s">
        <v>23</v>
      </c>
      <c r="F1288">
        <v>3</v>
      </c>
      <c r="G1288" t="s">
        <v>20</v>
      </c>
      <c r="H1288">
        <v>3</v>
      </c>
      <c r="I1288">
        <v>1</v>
      </c>
      <c r="J1288" t="s">
        <v>26</v>
      </c>
      <c r="K1288">
        <v>1</v>
      </c>
      <c r="L1288">
        <v>3377</v>
      </c>
      <c r="M1288" t="str" cm="1">
        <f t="array" ref="M1288">_xlfn.IFS(L1288&lt;= 7000,"Low",L1288&lt;=15000,"Medium",L1288&lt;=20000,"High")</f>
        <v>Low</v>
      </c>
      <c r="N1288" t="s">
        <v>22</v>
      </c>
      <c r="O1288">
        <v>17</v>
      </c>
      <c r="P1288">
        <v>3</v>
      </c>
      <c r="Q1288">
        <v>4</v>
      </c>
      <c r="R1288">
        <v>7</v>
      </c>
      <c r="S1288">
        <v>2</v>
      </c>
      <c r="T1288">
        <v>4</v>
      </c>
      <c r="U1288">
        <v>3</v>
      </c>
    </row>
    <row r="1289" spans="1:21" x14ac:dyDescent="0.35">
      <c r="A1289">
        <v>42</v>
      </c>
      <c r="B1289" t="str" cm="1">
        <f t="array" ref="B1289">_xlfn.IFS(A1289&gt;40,"Senior",A1289&gt;30,"Adult",A1289&gt;=18,"Teenager")</f>
        <v>Senior</v>
      </c>
      <c r="C1289" t="s">
        <v>22</v>
      </c>
      <c r="D1289">
        <f t="shared" si="20"/>
        <v>0</v>
      </c>
      <c r="E1289" t="s">
        <v>23</v>
      </c>
      <c r="F1289">
        <v>2</v>
      </c>
      <c r="G1289" t="s">
        <v>24</v>
      </c>
      <c r="H1289">
        <v>4</v>
      </c>
      <c r="I1289">
        <v>2</v>
      </c>
      <c r="J1289" t="s">
        <v>28</v>
      </c>
      <c r="K1289">
        <v>1</v>
      </c>
      <c r="L1289">
        <v>5538</v>
      </c>
      <c r="M1289" t="str" cm="1">
        <f t="array" ref="M1289">_xlfn.IFS(L1289&lt;= 7000,"Low",L1289&lt;=15000,"Medium",L1289&lt;=20000,"High")</f>
        <v>Low</v>
      </c>
      <c r="N1289" t="s">
        <v>22</v>
      </c>
      <c r="O1289">
        <v>18</v>
      </c>
      <c r="P1289">
        <v>3</v>
      </c>
      <c r="Q1289">
        <v>3</v>
      </c>
      <c r="R1289">
        <v>10</v>
      </c>
      <c r="S1289">
        <v>2</v>
      </c>
      <c r="T1289">
        <v>0</v>
      </c>
      <c r="U1289">
        <v>0</v>
      </c>
    </row>
    <row r="1290" spans="1:21" x14ac:dyDescent="0.35">
      <c r="A1290">
        <v>35</v>
      </c>
      <c r="B1290" t="str" cm="1">
        <f t="array" ref="B1290">_xlfn.IFS(A1290&gt;40,"Senior",A1290&gt;30,"Adult",A1290&gt;=18,"Teenager")</f>
        <v>Adult</v>
      </c>
      <c r="C1290" t="s">
        <v>22</v>
      </c>
      <c r="D1290">
        <f t="shared" si="20"/>
        <v>0</v>
      </c>
      <c r="E1290" t="s">
        <v>23</v>
      </c>
      <c r="F1290">
        <v>2</v>
      </c>
      <c r="G1290" t="s">
        <v>24</v>
      </c>
      <c r="H1290">
        <v>3</v>
      </c>
      <c r="I1290">
        <v>2</v>
      </c>
      <c r="J1290" t="s">
        <v>27</v>
      </c>
      <c r="K1290">
        <v>4</v>
      </c>
      <c r="L1290">
        <v>5762</v>
      </c>
      <c r="M1290" t="str" cm="1">
        <f t="array" ref="M1290">_xlfn.IFS(L1290&lt;= 7000,"Low",L1290&lt;=15000,"Medium",L1290&lt;=20000,"High")</f>
        <v>Low</v>
      </c>
      <c r="N1290" t="s">
        <v>22</v>
      </c>
      <c r="O1290">
        <v>14</v>
      </c>
      <c r="P1290">
        <v>3</v>
      </c>
      <c r="Q1290">
        <v>3</v>
      </c>
      <c r="R1290">
        <v>15</v>
      </c>
      <c r="S1290">
        <v>3</v>
      </c>
      <c r="T1290">
        <v>7</v>
      </c>
      <c r="U1290">
        <v>7</v>
      </c>
    </row>
    <row r="1291" spans="1:21" x14ac:dyDescent="0.35">
      <c r="A1291">
        <v>38</v>
      </c>
      <c r="B1291" t="str" cm="1">
        <f t="array" ref="B1291">_xlfn.IFS(A1291&gt;40,"Senior",A1291&gt;30,"Adult",A1291&gt;=18,"Teenager")</f>
        <v>Adult</v>
      </c>
      <c r="C1291" t="s">
        <v>22</v>
      </c>
      <c r="D1291">
        <f t="shared" si="20"/>
        <v>0</v>
      </c>
      <c r="E1291" t="s">
        <v>32</v>
      </c>
      <c r="F1291">
        <v>1</v>
      </c>
      <c r="G1291" t="s">
        <v>24</v>
      </c>
      <c r="H1291">
        <v>3</v>
      </c>
      <c r="I1291">
        <v>1</v>
      </c>
      <c r="J1291" t="s">
        <v>32</v>
      </c>
      <c r="K1291">
        <v>2</v>
      </c>
      <c r="L1291">
        <v>2592</v>
      </c>
      <c r="M1291" t="str" cm="1">
        <f t="array" ref="M1291">_xlfn.IFS(L1291&lt;= 7000,"Low",L1291&lt;=15000,"Medium",L1291&lt;=20000,"High")</f>
        <v>Low</v>
      </c>
      <c r="N1291" t="s">
        <v>22</v>
      </c>
      <c r="O1291">
        <v>13</v>
      </c>
      <c r="P1291">
        <v>3</v>
      </c>
      <c r="Q1291">
        <v>4</v>
      </c>
      <c r="R1291">
        <v>13</v>
      </c>
      <c r="S1291">
        <v>3</v>
      </c>
      <c r="T1291">
        <v>11</v>
      </c>
      <c r="U1291">
        <v>10</v>
      </c>
    </row>
    <row r="1292" spans="1:21" x14ac:dyDescent="0.35">
      <c r="A1292">
        <v>34</v>
      </c>
      <c r="B1292" t="str" cm="1">
        <f t="array" ref="B1292">_xlfn.IFS(A1292&gt;40,"Senior",A1292&gt;30,"Adult",A1292&gt;=18,"Teenager")</f>
        <v>Adult</v>
      </c>
      <c r="C1292" t="s">
        <v>18</v>
      </c>
      <c r="D1292">
        <f t="shared" si="20"/>
        <v>1</v>
      </c>
      <c r="E1292" t="s">
        <v>23</v>
      </c>
      <c r="F1292">
        <v>4</v>
      </c>
      <c r="G1292" t="s">
        <v>24</v>
      </c>
      <c r="H1292">
        <v>3</v>
      </c>
      <c r="I1292">
        <v>2</v>
      </c>
      <c r="J1292" t="s">
        <v>26</v>
      </c>
      <c r="K1292">
        <v>1</v>
      </c>
      <c r="L1292">
        <v>5346</v>
      </c>
      <c r="M1292" t="str" cm="1">
        <f t="array" ref="M1292">_xlfn.IFS(L1292&lt;= 7000,"Low",L1292&lt;=15000,"Medium",L1292&lt;=20000,"High")</f>
        <v>Low</v>
      </c>
      <c r="N1292" t="s">
        <v>22</v>
      </c>
      <c r="O1292">
        <v>17</v>
      </c>
      <c r="P1292">
        <v>3</v>
      </c>
      <c r="Q1292">
        <v>3</v>
      </c>
      <c r="R1292">
        <v>11</v>
      </c>
      <c r="S1292">
        <v>2</v>
      </c>
      <c r="T1292">
        <v>7</v>
      </c>
      <c r="U1292">
        <v>1</v>
      </c>
    </row>
    <row r="1293" spans="1:21" x14ac:dyDescent="0.35">
      <c r="A1293">
        <v>37</v>
      </c>
      <c r="B1293" t="str" cm="1">
        <f t="array" ref="B1293">_xlfn.IFS(A1293&gt;40,"Senior",A1293&gt;30,"Adult",A1293&gt;=18,"Teenager")</f>
        <v>Adult</v>
      </c>
      <c r="C1293" t="s">
        <v>18</v>
      </c>
      <c r="D1293">
        <f t="shared" si="20"/>
        <v>1</v>
      </c>
      <c r="E1293" t="s">
        <v>23</v>
      </c>
      <c r="F1293">
        <v>4</v>
      </c>
      <c r="G1293" t="s">
        <v>24</v>
      </c>
      <c r="H1293">
        <v>3</v>
      </c>
      <c r="I1293">
        <v>2</v>
      </c>
      <c r="J1293" t="s">
        <v>27</v>
      </c>
      <c r="K1293">
        <v>1</v>
      </c>
      <c r="L1293">
        <v>4213</v>
      </c>
      <c r="M1293" t="str" cm="1">
        <f t="array" ref="M1293">_xlfn.IFS(L1293&lt;= 7000,"Low",L1293&lt;=15000,"Medium",L1293&lt;=20000,"High")</f>
        <v>Low</v>
      </c>
      <c r="N1293" t="s">
        <v>22</v>
      </c>
      <c r="O1293">
        <v>15</v>
      </c>
      <c r="P1293">
        <v>3</v>
      </c>
      <c r="Q1293">
        <v>2</v>
      </c>
      <c r="R1293">
        <v>10</v>
      </c>
      <c r="S1293">
        <v>1</v>
      </c>
      <c r="T1293">
        <v>10</v>
      </c>
      <c r="U1293">
        <v>3</v>
      </c>
    </row>
    <row r="1294" spans="1:21" x14ac:dyDescent="0.35">
      <c r="A1294">
        <v>39</v>
      </c>
      <c r="B1294" t="str" cm="1">
        <f t="array" ref="B1294">_xlfn.IFS(A1294&gt;40,"Senior",A1294&gt;30,"Adult",A1294&gt;=18,"Teenager")</f>
        <v>Adult</v>
      </c>
      <c r="C1294" t="s">
        <v>22</v>
      </c>
      <c r="D1294">
        <f t="shared" si="20"/>
        <v>0</v>
      </c>
      <c r="E1294" t="s">
        <v>19</v>
      </c>
      <c r="F1294">
        <v>3</v>
      </c>
      <c r="G1294" t="s">
        <v>24</v>
      </c>
      <c r="H1294">
        <v>3</v>
      </c>
      <c r="I1294">
        <v>2</v>
      </c>
      <c r="J1294" t="s">
        <v>21</v>
      </c>
      <c r="K1294">
        <v>4</v>
      </c>
      <c r="L1294">
        <v>4127</v>
      </c>
      <c r="M1294" t="str" cm="1">
        <f t="array" ref="M1294">_xlfn.IFS(L1294&lt;= 7000,"Low",L1294&lt;=15000,"Medium",L1294&lt;=20000,"High")</f>
        <v>Low</v>
      </c>
      <c r="N1294" t="s">
        <v>22</v>
      </c>
      <c r="O1294">
        <v>18</v>
      </c>
      <c r="P1294">
        <v>3</v>
      </c>
      <c r="Q1294">
        <v>4</v>
      </c>
      <c r="R1294">
        <v>7</v>
      </c>
      <c r="S1294">
        <v>3</v>
      </c>
      <c r="T1294">
        <v>2</v>
      </c>
      <c r="U1294">
        <v>1</v>
      </c>
    </row>
    <row r="1295" spans="1:21" x14ac:dyDescent="0.35">
      <c r="A1295">
        <v>43</v>
      </c>
      <c r="B1295" t="str" cm="1">
        <f t="array" ref="B1295">_xlfn.IFS(A1295&gt;40,"Senior",A1295&gt;30,"Adult",A1295&gt;=18,"Teenager")</f>
        <v>Senior</v>
      </c>
      <c r="C1295" t="s">
        <v>22</v>
      </c>
      <c r="D1295">
        <f t="shared" si="20"/>
        <v>0</v>
      </c>
      <c r="E1295" t="s">
        <v>23</v>
      </c>
      <c r="F1295">
        <v>1</v>
      </c>
      <c r="G1295" t="s">
        <v>24</v>
      </c>
      <c r="H1295">
        <v>3</v>
      </c>
      <c r="I1295">
        <v>1</v>
      </c>
      <c r="J1295" t="s">
        <v>25</v>
      </c>
      <c r="K1295">
        <v>3</v>
      </c>
      <c r="L1295">
        <v>2438</v>
      </c>
      <c r="M1295" t="str" cm="1">
        <f t="array" ref="M1295">_xlfn.IFS(L1295&lt;= 7000,"Low",L1295&lt;=15000,"Medium",L1295&lt;=20000,"High")</f>
        <v>Low</v>
      </c>
      <c r="N1295" t="s">
        <v>22</v>
      </c>
      <c r="O1295">
        <v>13</v>
      </c>
      <c r="P1295">
        <v>3</v>
      </c>
      <c r="Q1295">
        <v>3</v>
      </c>
      <c r="R1295">
        <v>7</v>
      </c>
      <c r="S1295">
        <v>2</v>
      </c>
      <c r="T1295">
        <v>3</v>
      </c>
      <c r="U1295">
        <v>2</v>
      </c>
    </row>
    <row r="1296" spans="1:21" x14ac:dyDescent="0.35">
      <c r="A1296">
        <v>41</v>
      </c>
      <c r="B1296" t="str" cm="1">
        <f t="array" ref="B1296">_xlfn.IFS(A1296&gt;40,"Senior",A1296&gt;30,"Adult",A1296&gt;=18,"Teenager")</f>
        <v>Senior</v>
      </c>
      <c r="C1296" t="s">
        <v>22</v>
      </c>
      <c r="D1296">
        <f t="shared" si="20"/>
        <v>0</v>
      </c>
      <c r="E1296" t="s">
        <v>23</v>
      </c>
      <c r="F1296">
        <v>2</v>
      </c>
      <c r="G1296" t="s">
        <v>24</v>
      </c>
      <c r="H1296">
        <v>4</v>
      </c>
      <c r="I1296">
        <v>2</v>
      </c>
      <c r="J1296" t="s">
        <v>28</v>
      </c>
      <c r="K1296">
        <v>2</v>
      </c>
      <c r="L1296">
        <v>6870</v>
      </c>
      <c r="M1296" t="str" cm="1">
        <f t="array" ref="M1296">_xlfn.IFS(L1296&lt;= 7000,"Low",L1296&lt;=15000,"Medium",L1296&lt;=20000,"High")</f>
        <v>Low</v>
      </c>
      <c r="N1296" t="s">
        <v>22</v>
      </c>
      <c r="O1296">
        <v>12</v>
      </c>
      <c r="P1296">
        <v>3</v>
      </c>
      <c r="Q1296">
        <v>1</v>
      </c>
      <c r="R1296">
        <v>11</v>
      </c>
      <c r="S1296">
        <v>1</v>
      </c>
      <c r="T1296">
        <v>3</v>
      </c>
      <c r="U1296">
        <v>2</v>
      </c>
    </row>
    <row r="1297" spans="1:21" x14ac:dyDescent="0.35">
      <c r="A1297">
        <v>41</v>
      </c>
      <c r="B1297" t="str" cm="1">
        <f t="array" ref="B1297">_xlfn.IFS(A1297&gt;40,"Senior",A1297&gt;30,"Adult",A1297&gt;=18,"Teenager")</f>
        <v>Senior</v>
      </c>
      <c r="C1297" t="s">
        <v>22</v>
      </c>
      <c r="D1297">
        <f t="shared" si="20"/>
        <v>0</v>
      </c>
      <c r="E1297" t="s">
        <v>19</v>
      </c>
      <c r="F1297">
        <v>3</v>
      </c>
      <c r="G1297" t="s">
        <v>20</v>
      </c>
      <c r="H1297">
        <v>3</v>
      </c>
      <c r="I1297">
        <v>3</v>
      </c>
      <c r="J1297" t="s">
        <v>21</v>
      </c>
      <c r="K1297">
        <v>3</v>
      </c>
      <c r="L1297">
        <v>10447</v>
      </c>
      <c r="M1297" t="str" cm="1">
        <f t="array" ref="M1297">_xlfn.IFS(L1297&lt;= 7000,"Low",L1297&lt;=15000,"Medium",L1297&lt;=20000,"High")</f>
        <v>Medium</v>
      </c>
      <c r="N1297" t="s">
        <v>18</v>
      </c>
      <c r="O1297">
        <v>13</v>
      </c>
      <c r="P1297">
        <v>3</v>
      </c>
      <c r="Q1297">
        <v>4</v>
      </c>
      <c r="R1297">
        <v>23</v>
      </c>
      <c r="S1297">
        <v>4</v>
      </c>
      <c r="T1297">
        <v>22</v>
      </c>
      <c r="U1297">
        <v>14</v>
      </c>
    </row>
    <row r="1298" spans="1:21" x14ac:dyDescent="0.35">
      <c r="A1298">
        <v>30</v>
      </c>
      <c r="B1298" t="str" cm="1">
        <f t="array" ref="B1298">_xlfn.IFS(A1298&gt;40,"Senior",A1298&gt;30,"Adult",A1298&gt;=18,"Teenager")</f>
        <v>Teenager</v>
      </c>
      <c r="C1298" t="s">
        <v>22</v>
      </c>
      <c r="D1298">
        <f t="shared" si="20"/>
        <v>0</v>
      </c>
      <c r="E1298" t="s">
        <v>23</v>
      </c>
      <c r="F1298">
        <v>1</v>
      </c>
      <c r="G1298" t="s">
        <v>20</v>
      </c>
      <c r="H1298">
        <v>3</v>
      </c>
      <c r="I1298">
        <v>3</v>
      </c>
      <c r="J1298" t="s">
        <v>27</v>
      </c>
      <c r="K1298">
        <v>3</v>
      </c>
      <c r="L1298">
        <v>9667</v>
      </c>
      <c r="M1298" t="str" cm="1">
        <f t="array" ref="M1298">_xlfn.IFS(L1298&lt;= 7000,"Low",L1298&lt;=15000,"Medium",L1298&lt;=20000,"High")</f>
        <v>Medium</v>
      </c>
      <c r="N1298" t="s">
        <v>22</v>
      </c>
      <c r="O1298">
        <v>14</v>
      </c>
      <c r="P1298">
        <v>3</v>
      </c>
      <c r="Q1298">
        <v>2</v>
      </c>
      <c r="R1298">
        <v>9</v>
      </c>
      <c r="S1298">
        <v>3</v>
      </c>
      <c r="T1298">
        <v>7</v>
      </c>
      <c r="U1298">
        <v>7</v>
      </c>
    </row>
    <row r="1299" spans="1:21" x14ac:dyDescent="0.35">
      <c r="A1299">
        <v>26</v>
      </c>
      <c r="B1299" t="str" cm="1">
        <f t="array" ref="B1299">_xlfn.IFS(A1299&gt;40,"Senior",A1299&gt;30,"Adult",A1299&gt;=18,"Teenager")</f>
        <v>Teenager</v>
      </c>
      <c r="C1299" t="s">
        <v>18</v>
      </c>
      <c r="D1299">
        <f t="shared" si="20"/>
        <v>1</v>
      </c>
      <c r="E1299" t="s">
        <v>32</v>
      </c>
      <c r="F1299">
        <v>4</v>
      </c>
      <c r="G1299" t="s">
        <v>20</v>
      </c>
      <c r="H1299">
        <v>3</v>
      </c>
      <c r="I1299">
        <v>1</v>
      </c>
      <c r="J1299" t="s">
        <v>32</v>
      </c>
      <c r="K1299">
        <v>2</v>
      </c>
      <c r="L1299">
        <v>2148</v>
      </c>
      <c r="M1299" t="str" cm="1">
        <f t="array" ref="M1299">_xlfn.IFS(L1299&lt;= 7000,"Low",L1299&lt;=15000,"Medium",L1299&lt;=20000,"High")</f>
        <v>Low</v>
      </c>
      <c r="N1299" t="s">
        <v>18</v>
      </c>
      <c r="O1299">
        <v>11</v>
      </c>
      <c r="P1299">
        <v>3</v>
      </c>
      <c r="Q1299">
        <v>3</v>
      </c>
      <c r="R1299">
        <v>6</v>
      </c>
      <c r="S1299">
        <v>3</v>
      </c>
      <c r="T1299">
        <v>5</v>
      </c>
      <c r="U1299">
        <v>1</v>
      </c>
    </row>
    <row r="1300" spans="1:21" x14ac:dyDescent="0.35">
      <c r="A1300">
        <v>46</v>
      </c>
      <c r="B1300" t="str" cm="1">
        <f t="array" ref="B1300">_xlfn.IFS(A1300&gt;40,"Senior",A1300&gt;30,"Adult",A1300&gt;=18,"Teenager")</f>
        <v>Senior</v>
      </c>
      <c r="C1300" t="s">
        <v>18</v>
      </c>
      <c r="D1300">
        <f t="shared" si="20"/>
        <v>1</v>
      </c>
      <c r="E1300" t="s">
        <v>23</v>
      </c>
      <c r="F1300">
        <v>4</v>
      </c>
      <c r="G1300" t="s">
        <v>20</v>
      </c>
      <c r="H1300">
        <v>3</v>
      </c>
      <c r="I1300">
        <v>2</v>
      </c>
      <c r="J1300" t="s">
        <v>28</v>
      </c>
      <c r="K1300">
        <v>2</v>
      </c>
      <c r="L1300">
        <v>8926</v>
      </c>
      <c r="M1300" t="str" cm="1">
        <f t="array" ref="M1300">_xlfn.IFS(L1300&lt;= 7000,"Low",L1300&lt;=15000,"Medium",L1300&lt;=20000,"High")</f>
        <v>Medium</v>
      </c>
      <c r="N1300" t="s">
        <v>22</v>
      </c>
      <c r="O1300">
        <v>22</v>
      </c>
      <c r="P1300">
        <v>4</v>
      </c>
      <c r="Q1300">
        <v>4</v>
      </c>
      <c r="R1300">
        <v>13</v>
      </c>
      <c r="S1300">
        <v>4</v>
      </c>
      <c r="T1300">
        <v>9</v>
      </c>
      <c r="U1300">
        <v>7</v>
      </c>
    </row>
    <row r="1301" spans="1:21" x14ac:dyDescent="0.35">
      <c r="A1301">
        <v>40</v>
      </c>
      <c r="B1301" t="str" cm="1">
        <f t="array" ref="B1301">_xlfn.IFS(A1301&gt;40,"Senior",A1301&gt;30,"Adult",A1301&gt;=18,"Teenager")</f>
        <v>Adult</v>
      </c>
      <c r="C1301" t="s">
        <v>22</v>
      </c>
      <c r="D1301">
        <f t="shared" si="20"/>
        <v>0</v>
      </c>
      <c r="E1301" t="s">
        <v>23</v>
      </c>
      <c r="F1301">
        <v>3</v>
      </c>
      <c r="G1301" t="s">
        <v>20</v>
      </c>
      <c r="H1301">
        <v>3</v>
      </c>
      <c r="I1301">
        <v>2</v>
      </c>
      <c r="J1301" t="s">
        <v>28</v>
      </c>
      <c r="K1301">
        <v>4</v>
      </c>
      <c r="L1301">
        <v>6513</v>
      </c>
      <c r="M1301" t="str" cm="1">
        <f t="array" ref="M1301">_xlfn.IFS(L1301&lt;= 7000,"Low",L1301&lt;=15000,"Medium",L1301&lt;=20000,"High")</f>
        <v>Low</v>
      </c>
      <c r="N1301" t="s">
        <v>22</v>
      </c>
      <c r="O1301">
        <v>17</v>
      </c>
      <c r="P1301">
        <v>3</v>
      </c>
      <c r="Q1301">
        <v>4</v>
      </c>
      <c r="R1301">
        <v>12</v>
      </c>
      <c r="S1301">
        <v>3</v>
      </c>
      <c r="T1301">
        <v>5</v>
      </c>
      <c r="U1301">
        <v>3</v>
      </c>
    </row>
    <row r="1302" spans="1:21" x14ac:dyDescent="0.35">
      <c r="A1302">
        <v>34</v>
      </c>
      <c r="B1302" t="str" cm="1">
        <f t="array" ref="B1302">_xlfn.IFS(A1302&gt;40,"Senior",A1302&gt;30,"Adult",A1302&gt;=18,"Teenager")</f>
        <v>Adult</v>
      </c>
      <c r="C1302" t="s">
        <v>22</v>
      </c>
      <c r="D1302">
        <f t="shared" si="20"/>
        <v>0</v>
      </c>
      <c r="E1302" t="s">
        <v>19</v>
      </c>
      <c r="F1302">
        <v>2</v>
      </c>
      <c r="G1302" t="s">
        <v>24</v>
      </c>
      <c r="H1302">
        <v>4</v>
      </c>
      <c r="I1302">
        <v>2</v>
      </c>
      <c r="J1302" t="s">
        <v>21</v>
      </c>
      <c r="K1302">
        <v>3</v>
      </c>
      <c r="L1302">
        <v>6799</v>
      </c>
      <c r="M1302" t="str" cm="1">
        <f t="array" ref="M1302">_xlfn.IFS(L1302&lt;= 7000,"Low",L1302&lt;=15000,"Medium",L1302&lt;=20000,"High")</f>
        <v>Low</v>
      </c>
      <c r="N1302" t="s">
        <v>22</v>
      </c>
      <c r="O1302">
        <v>21</v>
      </c>
      <c r="P1302">
        <v>4</v>
      </c>
      <c r="Q1302">
        <v>3</v>
      </c>
      <c r="R1302">
        <v>10</v>
      </c>
      <c r="S1302">
        <v>3</v>
      </c>
      <c r="T1302">
        <v>10</v>
      </c>
      <c r="U1302">
        <v>8</v>
      </c>
    </row>
    <row r="1303" spans="1:21" x14ac:dyDescent="0.35">
      <c r="A1303">
        <v>58</v>
      </c>
      <c r="B1303" t="str" cm="1">
        <f t="array" ref="B1303">_xlfn.IFS(A1303&gt;40,"Senior",A1303&gt;30,"Adult",A1303&gt;=18,"Teenager")</f>
        <v>Senior</v>
      </c>
      <c r="C1303" t="s">
        <v>22</v>
      </c>
      <c r="D1303">
        <f t="shared" si="20"/>
        <v>0</v>
      </c>
      <c r="E1303" t="s">
        <v>19</v>
      </c>
      <c r="F1303">
        <v>2</v>
      </c>
      <c r="G1303" t="s">
        <v>24</v>
      </c>
      <c r="H1303">
        <v>3</v>
      </c>
      <c r="I1303">
        <v>4</v>
      </c>
      <c r="J1303" t="s">
        <v>29</v>
      </c>
      <c r="K1303">
        <v>2</v>
      </c>
      <c r="L1303">
        <v>16291</v>
      </c>
      <c r="M1303" t="str" cm="1">
        <f t="array" ref="M1303">_xlfn.IFS(L1303&lt;= 7000,"Low",L1303&lt;=15000,"Medium",L1303&lt;=20000,"High")</f>
        <v>High</v>
      </c>
      <c r="N1303" t="s">
        <v>22</v>
      </c>
      <c r="O1303">
        <v>22</v>
      </c>
      <c r="P1303">
        <v>4</v>
      </c>
      <c r="Q1303">
        <v>4</v>
      </c>
      <c r="R1303">
        <v>37</v>
      </c>
      <c r="S1303">
        <v>2</v>
      </c>
      <c r="T1303">
        <v>16</v>
      </c>
      <c r="U1303">
        <v>9</v>
      </c>
    </row>
    <row r="1304" spans="1:21" x14ac:dyDescent="0.35">
      <c r="A1304">
        <v>35</v>
      </c>
      <c r="B1304" t="str" cm="1">
        <f t="array" ref="B1304">_xlfn.IFS(A1304&gt;40,"Senior",A1304&gt;30,"Adult",A1304&gt;=18,"Teenager")</f>
        <v>Adult</v>
      </c>
      <c r="C1304" t="s">
        <v>22</v>
      </c>
      <c r="D1304">
        <f t="shared" si="20"/>
        <v>0</v>
      </c>
      <c r="E1304" t="s">
        <v>23</v>
      </c>
      <c r="F1304">
        <v>2</v>
      </c>
      <c r="G1304" t="s">
        <v>24</v>
      </c>
      <c r="H1304">
        <v>1</v>
      </c>
      <c r="I1304">
        <v>1</v>
      </c>
      <c r="J1304" t="s">
        <v>26</v>
      </c>
      <c r="K1304">
        <v>3</v>
      </c>
      <c r="L1304">
        <v>2705</v>
      </c>
      <c r="M1304" t="str" cm="1">
        <f t="array" ref="M1304">_xlfn.IFS(L1304&lt;= 7000,"Low",L1304&lt;=15000,"Medium",L1304&lt;=20000,"High")</f>
        <v>Low</v>
      </c>
      <c r="N1304" t="s">
        <v>22</v>
      </c>
      <c r="O1304">
        <v>16</v>
      </c>
      <c r="P1304">
        <v>3</v>
      </c>
      <c r="Q1304">
        <v>2</v>
      </c>
      <c r="R1304">
        <v>6</v>
      </c>
      <c r="S1304">
        <v>4</v>
      </c>
      <c r="T1304">
        <v>5</v>
      </c>
      <c r="U1304">
        <v>4</v>
      </c>
    </row>
    <row r="1305" spans="1:21" x14ac:dyDescent="0.35">
      <c r="A1305">
        <v>47</v>
      </c>
      <c r="B1305" t="str" cm="1">
        <f t="array" ref="B1305">_xlfn.IFS(A1305&gt;40,"Senior",A1305&gt;30,"Adult",A1305&gt;=18,"Teenager")</f>
        <v>Senior</v>
      </c>
      <c r="C1305" t="s">
        <v>22</v>
      </c>
      <c r="D1305">
        <f t="shared" si="20"/>
        <v>0</v>
      </c>
      <c r="E1305" t="s">
        <v>23</v>
      </c>
      <c r="F1305">
        <v>3</v>
      </c>
      <c r="G1305" t="s">
        <v>20</v>
      </c>
      <c r="H1305">
        <v>2</v>
      </c>
      <c r="I1305">
        <v>3</v>
      </c>
      <c r="J1305" t="s">
        <v>27</v>
      </c>
      <c r="K1305">
        <v>2</v>
      </c>
      <c r="L1305">
        <v>10333</v>
      </c>
      <c r="M1305" t="str" cm="1">
        <f t="array" ref="M1305">_xlfn.IFS(L1305&lt;= 7000,"Low",L1305&lt;=15000,"Medium",L1305&lt;=20000,"High")</f>
        <v>Medium</v>
      </c>
      <c r="N1305" t="s">
        <v>18</v>
      </c>
      <c r="O1305">
        <v>12</v>
      </c>
      <c r="P1305">
        <v>3</v>
      </c>
      <c r="Q1305">
        <v>3</v>
      </c>
      <c r="R1305">
        <v>28</v>
      </c>
      <c r="S1305">
        <v>3</v>
      </c>
      <c r="T1305">
        <v>22</v>
      </c>
      <c r="U1305">
        <v>11</v>
      </c>
    </row>
    <row r="1306" spans="1:21" x14ac:dyDescent="0.35">
      <c r="A1306">
        <v>40</v>
      </c>
      <c r="B1306" t="str" cm="1">
        <f t="array" ref="B1306">_xlfn.IFS(A1306&gt;40,"Senior",A1306&gt;30,"Adult",A1306&gt;=18,"Teenager")</f>
        <v>Adult</v>
      </c>
      <c r="C1306" t="s">
        <v>22</v>
      </c>
      <c r="D1306">
        <f t="shared" si="20"/>
        <v>0</v>
      </c>
      <c r="E1306" t="s">
        <v>23</v>
      </c>
      <c r="F1306">
        <v>2</v>
      </c>
      <c r="G1306" t="s">
        <v>20</v>
      </c>
      <c r="H1306">
        <v>3</v>
      </c>
      <c r="I1306">
        <v>2</v>
      </c>
      <c r="J1306" t="s">
        <v>28</v>
      </c>
      <c r="K1306">
        <v>1</v>
      </c>
      <c r="L1306">
        <v>4448</v>
      </c>
      <c r="M1306" t="str" cm="1">
        <f t="array" ref="M1306">_xlfn.IFS(L1306&lt;= 7000,"Low",L1306&lt;=15000,"Medium",L1306&lt;=20000,"High")</f>
        <v>Low</v>
      </c>
      <c r="N1306" t="s">
        <v>22</v>
      </c>
      <c r="O1306">
        <v>12</v>
      </c>
      <c r="P1306">
        <v>3</v>
      </c>
      <c r="Q1306">
        <v>2</v>
      </c>
      <c r="R1306">
        <v>15</v>
      </c>
      <c r="S1306">
        <v>3</v>
      </c>
      <c r="T1306">
        <v>7</v>
      </c>
      <c r="U1306">
        <v>4</v>
      </c>
    </row>
    <row r="1307" spans="1:21" x14ac:dyDescent="0.35">
      <c r="A1307">
        <v>54</v>
      </c>
      <c r="B1307" t="str" cm="1">
        <f t="array" ref="B1307">_xlfn.IFS(A1307&gt;40,"Senior",A1307&gt;30,"Adult",A1307&gt;=18,"Teenager")</f>
        <v>Senior</v>
      </c>
      <c r="C1307" t="s">
        <v>22</v>
      </c>
      <c r="D1307">
        <f t="shared" si="20"/>
        <v>0</v>
      </c>
      <c r="E1307" t="s">
        <v>23</v>
      </c>
      <c r="F1307">
        <v>4</v>
      </c>
      <c r="G1307" t="s">
        <v>20</v>
      </c>
      <c r="H1307">
        <v>3</v>
      </c>
      <c r="I1307">
        <v>2</v>
      </c>
      <c r="J1307" t="s">
        <v>25</v>
      </c>
      <c r="K1307">
        <v>4</v>
      </c>
      <c r="L1307">
        <v>6854</v>
      </c>
      <c r="M1307" t="str" cm="1">
        <f t="array" ref="M1307">_xlfn.IFS(L1307&lt;= 7000,"Low",L1307&lt;=15000,"Medium",L1307&lt;=20000,"High")</f>
        <v>Low</v>
      </c>
      <c r="N1307" t="s">
        <v>22</v>
      </c>
      <c r="O1307">
        <v>15</v>
      </c>
      <c r="P1307">
        <v>3</v>
      </c>
      <c r="Q1307">
        <v>2</v>
      </c>
      <c r="R1307">
        <v>14</v>
      </c>
      <c r="S1307">
        <v>2</v>
      </c>
      <c r="T1307">
        <v>7</v>
      </c>
      <c r="U1307">
        <v>1</v>
      </c>
    </row>
    <row r="1308" spans="1:21" x14ac:dyDescent="0.35">
      <c r="A1308">
        <v>31</v>
      </c>
      <c r="B1308" t="str" cm="1">
        <f t="array" ref="B1308">_xlfn.IFS(A1308&gt;40,"Senior",A1308&gt;30,"Adult",A1308&gt;=18,"Teenager")</f>
        <v>Adult</v>
      </c>
      <c r="C1308" t="s">
        <v>22</v>
      </c>
      <c r="D1308">
        <f t="shared" si="20"/>
        <v>0</v>
      </c>
      <c r="E1308" t="s">
        <v>19</v>
      </c>
      <c r="F1308">
        <v>1</v>
      </c>
      <c r="G1308" t="s">
        <v>20</v>
      </c>
      <c r="H1308">
        <v>3</v>
      </c>
      <c r="I1308">
        <v>3</v>
      </c>
      <c r="J1308" t="s">
        <v>21</v>
      </c>
      <c r="K1308">
        <v>1</v>
      </c>
      <c r="L1308">
        <v>9637</v>
      </c>
      <c r="M1308" t="str" cm="1">
        <f t="array" ref="M1308">_xlfn.IFS(L1308&lt;= 7000,"Low",L1308&lt;=15000,"Medium",L1308&lt;=20000,"High")</f>
        <v>Medium</v>
      </c>
      <c r="N1308" t="s">
        <v>22</v>
      </c>
      <c r="O1308">
        <v>14</v>
      </c>
      <c r="P1308">
        <v>3</v>
      </c>
      <c r="Q1308">
        <v>4</v>
      </c>
      <c r="R1308">
        <v>9</v>
      </c>
      <c r="S1308">
        <v>3</v>
      </c>
      <c r="T1308">
        <v>3</v>
      </c>
      <c r="U1308">
        <v>2</v>
      </c>
    </row>
    <row r="1309" spans="1:21" x14ac:dyDescent="0.35">
      <c r="A1309">
        <v>28</v>
      </c>
      <c r="B1309" t="str" cm="1">
        <f t="array" ref="B1309">_xlfn.IFS(A1309&gt;40,"Senior",A1309&gt;30,"Adult",A1309&gt;=18,"Teenager")</f>
        <v>Teenager</v>
      </c>
      <c r="C1309" t="s">
        <v>22</v>
      </c>
      <c r="D1309">
        <f t="shared" si="20"/>
        <v>0</v>
      </c>
      <c r="E1309" t="s">
        <v>23</v>
      </c>
      <c r="F1309">
        <v>3</v>
      </c>
      <c r="G1309" t="s">
        <v>20</v>
      </c>
      <c r="H1309">
        <v>3</v>
      </c>
      <c r="I1309">
        <v>1</v>
      </c>
      <c r="J1309" t="s">
        <v>25</v>
      </c>
      <c r="K1309">
        <v>1</v>
      </c>
      <c r="L1309">
        <v>3591</v>
      </c>
      <c r="M1309" t="str" cm="1">
        <f t="array" ref="M1309">_xlfn.IFS(L1309&lt;= 7000,"Low",L1309&lt;=15000,"Medium",L1309&lt;=20000,"High")</f>
        <v>Low</v>
      </c>
      <c r="N1309" t="s">
        <v>22</v>
      </c>
      <c r="O1309">
        <v>25</v>
      </c>
      <c r="P1309">
        <v>4</v>
      </c>
      <c r="Q1309">
        <v>3</v>
      </c>
      <c r="R1309">
        <v>3</v>
      </c>
      <c r="S1309">
        <v>3</v>
      </c>
      <c r="T1309">
        <v>3</v>
      </c>
      <c r="U1309">
        <v>2</v>
      </c>
    </row>
    <row r="1310" spans="1:21" x14ac:dyDescent="0.35">
      <c r="A1310">
        <v>38</v>
      </c>
      <c r="B1310" t="str" cm="1">
        <f t="array" ref="B1310">_xlfn.IFS(A1310&gt;40,"Senior",A1310&gt;30,"Adult",A1310&gt;=18,"Teenager")</f>
        <v>Adult</v>
      </c>
      <c r="C1310" t="s">
        <v>22</v>
      </c>
      <c r="D1310">
        <f t="shared" si="20"/>
        <v>0</v>
      </c>
      <c r="E1310" t="s">
        <v>19</v>
      </c>
      <c r="F1310">
        <v>2</v>
      </c>
      <c r="G1310" t="s">
        <v>20</v>
      </c>
      <c r="H1310">
        <v>1</v>
      </c>
      <c r="I1310">
        <v>2</v>
      </c>
      <c r="J1310" t="s">
        <v>30</v>
      </c>
      <c r="K1310">
        <v>4</v>
      </c>
      <c r="L1310">
        <v>5405</v>
      </c>
      <c r="M1310" t="str" cm="1">
        <f t="array" ref="M1310">_xlfn.IFS(L1310&lt;= 7000,"Low",L1310&lt;=15000,"Medium",L1310&lt;=20000,"High")</f>
        <v>Low</v>
      </c>
      <c r="N1310" t="s">
        <v>18</v>
      </c>
      <c r="O1310">
        <v>20</v>
      </c>
      <c r="P1310">
        <v>4</v>
      </c>
      <c r="Q1310">
        <v>1</v>
      </c>
      <c r="R1310">
        <v>20</v>
      </c>
      <c r="S1310">
        <v>2</v>
      </c>
      <c r="T1310">
        <v>4</v>
      </c>
      <c r="U1310">
        <v>2</v>
      </c>
    </row>
    <row r="1311" spans="1:21" x14ac:dyDescent="0.35">
      <c r="A1311">
        <v>26</v>
      </c>
      <c r="B1311" t="str" cm="1">
        <f t="array" ref="B1311">_xlfn.IFS(A1311&gt;40,"Senior",A1311&gt;30,"Adult",A1311&gt;=18,"Teenager")</f>
        <v>Teenager</v>
      </c>
      <c r="C1311" t="s">
        <v>22</v>
      </c>
      <c r="D1311">
        <f t="shared" si="20"/>
        <v>0</v>
      </c>
      <c r="E1311" t="s">
        <v>19</v>
      </c>
      <c r="F1311">
        <v>3</v>
      </c>
      <c r="G1311" t="s">
        <v>24</v>
      </c>
      <c r="H1311">
        <v>3</v>
      </c>
      <c r="I1311">
        <v>2</v>
      </c>
      <c r="J1311" t="s">
        <v>21</v>
      </c>
      <c r="K1311">
        <v>4</v>
      </c>
      <c r="L1311">
        <v>4684</v>
      </c>
      <c r="M1311" t="str" cm="1">
        <f t="array" ref="M1311">_xlfn.IFS(L1311&lt;= 7000,"Low",L1311&lt;=15000,"Medium",L1311&lt;=20000,"High")</f>
        <v>Low</v>
      </c>
      <c r="N1311" t="s">
        <v>22</v>
      </c>
      <c r="O1311">
        <v>13</v>
      </c>
      <c r="P1311">
        <v>3</v>
      </c>
      <c r="Q1311">
        <v>1</v>
      </c>
      <c r="R1311">
        <v>5</v>
      </c>
      <c r="S1311">
        <v>3</v>
      </c>
      <c r="T1311">
        <v>5</v>
      </c>
      <c r="U1311">
        <v>3</v>
      </c>
    </row>
    <row r="1312" spans="1:21" x14ac:dyDescent="0.35">
      <c r="A1312">
        <v>58</v>
      </c>
      <c r="B1312" t="str" cm="1">
        <f t="array" ref="B1312">_xlfn.IFS(A1312&gt;40,"Senior",A1312&gt;30,"Adult",A1312&gt;=18,"Teenager")</f>
        <v>Senior</v>
      </c>
      <c r="C1312" t="s">
        <v>22</v>
      </c>
      <c r="D1312">
        <f t="shared" si="20"/>
        <v>0</v>
      </c>
      <c r="E1312" t="s">
        <v>23</v>
      </c>
      <c r="F1312">
        <v>1</v>
      </c>
      <c r="G1312" t="s">
        <v>24</v>
      </c>
      <c r="H1312">
        <v>3</v>
      </c>
      <c r="I1312">
        <v>4</v>
      </c>
      <c r="J1312" t="s">
        <v>31</v>
      </c>
      <c r="K1312">
        <v>3</v>
      </c>
      <c r="L1312">
        <v>15787</v>
      </c>
      <c r="M1312" t="str" cm="1">
        <f t="array" ref="M1312">_xlfn.IFS(L1312&lt;= 7000,"Low",L1312&lt;=15000,"Medium",L1312&lt;=20000,"High")</f>
        <v>High</v>
      </c>
      <c r="N1312" t="s">
        <v>18</v>
      </c>
      <c r="O1312">
        <v>14</v>
      </c>
      <c r="P1312">
        <v>3</v>
      </c>
      <c r="Q1312">
        <v>2</v>
      </c>
      <c r="R1312">
        <v>23</v>
      </c>
      <c r="S1312">
        <v>3</v>
      </c>
      <c r="T1312">
        <v>2</v>
      </c>
      <c r="U1312">
        <v>2</v>
      </c>
    </row>
    <row r="1313" spans="1:21" x14ac:dyDescent="0.35">
      <c r="A1313">
        <v>18</v>
      </c>
      <c r="B1313" t="str" cm="1">
        <f t="array" ref="B1313">_xlfn.IFS(A1313&gt;40,"Senior",A1313&gt;30,"Adult",A1313&gt;=18,"Teenager")</f>
        <v>Teenager</v>
      </c>
      <c r="C1313" t="s">
        <v>22</v>
      </c>
      <c r="D1313">
        <f t="shared" si="20"/>
        <v>0</v>
      </c>
      <c r="E1313" t="s">
        <v>23</v>
      </c>
      <c r="F1313">
        <v>2</v>
      </c>
      <c r="G1313" t="s">
        <v>20</v>
      </c>
      <c r="H1313">
        <v>3</v>
      </c>
      <c r="I1313">
        <v>1</v>
      </c>
      <c r="J1313" t="s">
        <v>25</v>
      </c>
      <c r="K1313">
        <v>3</v>
      </c>
      <c r="L1313">
        <v>1514</v>
      </c>
      <c r="M1313" t="str" cm="1">
        <f t="array" ref="M1313">_xlfn.IFS(L1313&lt;= 7000,"Low",L1313&lt;=15000,"Medium",L1313&lt;=20000,"High")</f>
        <v>Low</v>
      </c>
      <c r="N1313" t="s">
        <v>22</v>
      </c>
      <c r="O1313">
        <v>16</v>
      </c>
      <c r="P1313">
        <v>3</v>
      </c>
      <c r="Q1313">
        <v>3</v>
      </c>
      <c r="R1313">
        <v>0</v>
      </c>
      <c r="S1313">
        <v>1</v>
      </c>
      <c r="T1313">
        <v>0</v>
      </c>
      <c r="U1313">
        <v>0</v>
      </c>
    </row>
    <row r="1314" spans="1:21" x14ac:dyDescent="0.35">
      <c r="A1314">
        <v>31</v>
      </c>
      <c r="B1314" t="str" cm="1">
        <f t="array" ref="B1314">_xlfn.IFS(A1314&gt;40,"Senior",A1314&gt;30,"Adult",A1314&gt;=18,"Teenager")</f>
        <v>Adult</v>
      </c>
      <c r="C1314" t="s">
        <v>18</v>
      </c>
      <c r="D1314">
        <f t="shared" si="20"/>
        <v>1</v>
      </c>
      <c r="E1314" t="s">
        <v>32</v>
      </c>
      <c r="F1314">
        <v>4</v>
      </c>
      <c r="G1314" t="s">
        <v>24</v>
      </c>
      <c r="H1314">
        <v>4</v>
      </c>
      <c r="I1314">
        <v>1</v>
      </c>
      <c r="J1314" t="s">
        <v>32</v>
      </c>
      <c r="K1314">
        <v>1</v>
      </c>
      <c r="L1314">
        <v>2956</v>
      </c>
      <c r="M1314" t="str" cm="1">
        <f t="array" ref="M1314">_xlfn.IFS(L1314&lt;= 7000,"Low",L1314&lt;=15000,"Medium",L1314&lt;=20000,"High")</f>
        <v>Low</v>
      </c>
      <c r="N1314" t="s">
        <v>22</v>
      </c>
      <c r="O1314">
        <v>17</v>
      </c>
      <c r="P1314">
        <v>3</v>
      </c>
      <c r="Q1314">
        <v>3</v>
      </c>
      <c r="R1314">
        <v>2</v>
      </c>
      <c r="S1314">
        <v>3</v>
      </c>
      <c r="T1314">
        <v>1</v>
      </c>
      <c r="U1314">
        <v>0</v>
      </c>
    </row>
    <row r="1315" spans="1:21" x14ac:dyDescent="0.35">
      <c r="A1315">
        <v>29</v>
      </c>
      <c r="B1315" t="str" cm="1">
        <f t="array" ref="B1315">_xlfn.IFS(A1315&gt;40,"Senior",A1315&gt;30,"Adult",A1315&gt;=18,"Teenager")</f>
        <v>Teenager</v>
      </c>
      <c r="C1315" t="s">
        <v>18</v>
      </c>
      <c r="D1315">
        <f t="shared" si="20"/>
        <v>1</v>
      </c>
      <c r="E1315" t="s">
        <v>32</v>
      </c>
      <c r="F1315">
        <v>1</v>
      </c>
      <c r="G1315" t="s">
        <v>24</v>
      </c>
      <c r="H1315">
        <v>2</v>
      </c>
      <c r="I1315">
        <v>1</v>
      </c>
      <c r="J1315" t="s">
        <v>32</v>
      </c>
      <c r="K1315">
        <v>1</v>
      </c>
      <c r="L1315">
        <v>2335</v>
      </c>
      <c r="M1315" t="str" cm="1">
        <f t="array" ref="M1315">_xlfn.IFS(L1315&lt;= 7000,"Low",L1315&lt;=15000,"Medium",L1315&lt;=20000,"High")</f>
        <v>Low</v>
      </c>
      <c r="N1315" t="s">
        <v>18</v>
      </c>
      <c r="O1315">
        <v>15</v>
      </c>
      <c r="P1315">
        <v>3</v>
      </c>
      <c r="Q1315">
        <v>4</v>
      </c>
      <c r="R1315">
        <v>4</v>
      </c>
      <c r="S1315">
        <v>3</v>
      </c>
      <c r="T1315">
        <v>2</v>
      </c>
      <c r="U1315">
        <v>2</v>
      </c>
    </row>
    <row r="1316" spans="1:21" x14ac:dyDescent="0.35">
      <c r="A1316">
        <v>45</v>
      </c>
      <c r="B1316" t="str" cm="1">
        <f t="array" ref="B1316">_xlfn.IFS(A1316&gt;40,"Senior",A1316&gt;30,"Adult",A1316&gt;=18,"Teenager")</f>
        <v>Senior</v>
      </c>
      <c r="C1316" t="s">
        <v>22</v>
      </c>
      <c r="D1316">
        <f t="shared" si="20"/>
        <v>0</v>
      </c>
      <c r="E1316" t="s">
        <v>19</v>
      </c>
      <c r="F1316">
        <v>3</v>
      </c>
      <c r="G1316" t="s">
        <v>20</v>
      </c>
      <c r="H1316">
        <v>3</v>
      </c>
      <c r="I1316">
        <v>2</v>
      </c>
      <c r="J1316" t="s">
        <v>21</v>
      </c>
      <c r="K1316">
        <v>3</v>
      </c>
      <c r="L1316">
        <v>5154</v>
      </c>
      <c r="M1316" t="str" cm="1">
        <f t="array" ref="M1316">_xlfn.IFS(L1316&lt;= 7000,"Low",L1316&lt;=15000,"Medium",L1316&lt;=20000,"High")</f>
        <v>Low</v>
      </c>
      <c r="N1316" t="s">
        <v>22</v>
      </c>
      <c r="O1316">
        <v>22</v>
      </c>
      <c r="P1316">
        <v>4</v>
      </c>
      <c r="Q1316">
        <v>2</v>
      </c>
      <c r="R1316">
        <v>10</v>
      </c>
      <c r="S1316">
        <v>4</v>
      </c>
      <c r="T1316">
        <v>8</v>
      </c>
      <c r="U1316">
        <v>7</v>
      </c>
    </row>
    <row r="1317" spans="1:21" x14ac:dyDescent="0.35">
      <c r="A1317">
        <v>36</v>
      </c>
      <c r="B1317" t="str" cm="1">
        <f t="array" ref="B1317">_xlfn.IFS(A1317&gt;40,"Senior",A1317&gt;30,"Adult",A1317&gt;=18,"Teenager")</f>
        <v>Adult</v>
      </c>
      <c r="C1317" t="s">
        <v>22</v>
      </c>
      <c r="D1317">
        <f t="shared" si="20"/>
        <v>0</v>
      </c>
      <c r="E1317" t="s">
        <v>23</v>
      </c>
      <c r="F1317">
        <v>4</v>
      </c>
      <c r="G1317" t="s">
        <v>20</v>
      </c>
      <c r="H1317">
        <v>3</v>
      </c>
      <c r="I1317">
        <v>2</v>
      </c>
      <c r="J1317" t="s">
        <v>25</v>
      </c>
      <c r="K1317">
        <v>2</v>
      </c>
      <c r="L1317">
        <v>6962</v>
      </c>
      <c r="M1317" t="str" cm="1">
        <f t="array" ref="M1317">_xlfn.IFS(L1317&lt;= 7000,"Low",L1317&lt;=15000,"Medium",L1317&lt;=20000,"High")</f>
        <v>Low</v>
      </c>
      <c r="N1317" t="s">
        <v>18</v>
      </c>
      <c r="O1317">
        <v>22</v>
      </c>
      <c r="P1317">
        <v>4</v>
      </c>
      <c r="Q1317">
        <v>4</v>
      </c>
      <c r="R1317">
        <v>15</v>
      </c>
      <c r="S1317">
        <v>3</v>
      </c>
      <c r="T1317">
        <v>1</v>
      </c>
      <c r="U1317">
        <v>0</v>
      </c>
    </row>
    <row r="1318" spans="1:21" x14ac:dyDescent="0.35">
      <c r="A1318">
        <v>43</v>
      </c>
      <c r="B1318" t="str" cm="1">
        <f t="array" ref="B1318">_xlfn.IFS(A1318&gt;40,"Senior",A1318&gt;30,"Adult",A1318&gt;=18,"Teenager")</f>
        <v>Senior</v>
      </c>
      <c r="C1318" t="s">
        <v>22</v>
      </c>
      <c r="D1318">
        <f t="shared" si="20"/>
        <v>0</v>
      </c>
      <c r="E1318" t="s">
        <v>19</v>
      </c>
      <c r="F1318">
        <v>1</v>
      </c>
      <c r="G1318" t="s">
        <v>24</v>
      </c>
      <c r="H1318">
        <v>3</v>
      </c>
      <c r="I1318">
        <v>2</v>
      </c>
      <c r="J1318" t="s">
        <v>21</v>
      </c>
      <c r="K1318">
        <v>4</v>
      </c>
      <c r="L1318">
        <v>5675</v>
      </c>
      <c r="M1318" t="str" cm="1">
        <f t="array" ref="M1318">_xlfn.IFS(L1318&lt;= 7000,"Low",L1318&lt;=15000,"Medium",L1318&lt;=20000,"High")</f>
        <v>Low</v>
      </c>
      <c r="N1318" t="s">
        <v>22</v>
      </c>
      <c r="O1318">
        <v>20</v>
      </c>
      <c r="P1318">
        <v>4</v>
      </c>
      <c r="Q1318">
        <v>3</v>
      </c>
      <c r="R1318">
        <v>7</v>
      </c>
      <c r="S1318">
        <v>3</v>
      </c>
      <c r="T1318">
        <v>7</v>
      </c>
      <c r="U1318">
        <v>7</v>
      </c>
    </row>
    <row r="1319" spans="1:21" x14ac:dyDescent="0.35">
      <c r="A1319">
        <v>27</v>
      </c>
      <c r="B1319" t="str" cm="1">
        <f t="array" ref="B1319">_xlfn.IFS(A1319&gt;40,"Senior",A1319&gt;30,"Adult",A1319&gt;=18,"Teenager")</f>
        <v>Teenager</v>
      </c>
      <c r="C1319" t="s">
        <v>22</v>
      </c>
      <c r="D1319">
        <f t="shared" si="20"/>
        <v>0</v>
      </c>
      <c r="E1319" t="s">
        <v>23</v>
      </c>
      <c r="F1319">
        <v>4</v>
      </c>
      <c r="G1319" t="s">
        <v>20</v>
      </c>
      <c r="H1319">
        <v>3</v>
      </c>
      <c r="I1319">
        <v>1</v>
      </c>
      <c r="J1319" t="s">
        <v>26</v>
      </c>
      <c r="K1319">
        <v>4</v>
      </c>
      <c r="L1319">
        <v>2379</v>
      </c>
      <c r="M1319" t="str" cm="1">
        <f t="array" ref="M1319">_xlfn.IFS(L1319&lt;= 7000,"Low",L1319&lt;=15000,"Medium",L1319&lt;=20000,"High")</f>
        <v>Low</v>
      </c>
      <c r="N1319" t="s">
        <v>18</v>
      </c>
      <c r="O1319">
        <v>14</v>
      </c>
      <c r="P1319">
        <v>3</v>
      </c>
      <c r="Q1319">
        <v>3</v>
      </c>
      <c r="R1319">
        <v>6</v>
      </c>
      <c r="S1319">
        <v>2</v>
      </c>
      <c r="T1319">
        <v>5</v>
      </c>
      <c r="U1319">
        <v>4</v>
      </c>
    </row>
    <row r="1320" spans="1:21" x14ac:dyDescent="0.35">
      <c r="A1320">
        <v>29</v>
      </c>
      <c r="B1320" t="str" cm="1">
        <f t="array" ref="B1320">_xlfn.IFS(A1320&gt;40,"Senior",A1320&gt;30,"Adult",A1320&gt;=18,"Teenager")</f>
        <v>Teenager</v>
      </c>
      <c r="C1320" t="s">
        <v>22</v>
      </c>
      <c r="D1320">
        <f t="shared" si="20"/>
        <v>0</v>
      </c>
      <c r="E1320" t="s">
        <v>23</v>
      </c>
      <c r="F1320">
        <v>4</v>
      </c>
      <c r="G1320" t="s">
        <v>24</v>
      </c>
      <c r="H1320">
        <v>3</v>
      </c>
      <c r="I1320">
        <v>1</v>
      </c>
      <c r="J1320" t="s">
        <v>26</v>
      </c>
      <c r="K1320">
        <v>4</v>
      </c>
      <c r="L1320">
        <v>3812</v>
      </c>
      <c r="M1320" t="str" cm="1">
        <f t="array" ref="M1320">_xlfn.IFS(L1320&lt;= 7000,"Low",L1320&lt;=15000,"Medium",L1320&lt;=20000,"High")</f>
        <v>Low</v>
      </c>
      <c r="N1320" t="s">
        <v>22</v>
      </c>
      <c r="O1320">
        <v>13</v>
      </c>
      <c r="P1320">
        <v>3</v>
      </c>
      <c r="Q1320">
        <v>2</v>
      </c>
      <c r="R1320">
        <v>11</v>
      </c>
      <c r="S1320">
        <v>4</v>
      </c>
      <c r="T1320">
        <v>11</v>
      </c>
      <c r="U1320">
        <v>8</v>
      </c>
    </row>
    <row r="1321" spans="1:21" x14ac:dyDescent="0.35">
      <c r="A1321">
        <v>32</v>
      </c>
      <c r="B1321" t="str" cm="1">
        <f t="array" ref="B1321">_xlfn.IFS(A1321&gt;40,"Senior",A1321&gt;30,"Adult",A1321&gt;=18,"Teenager")</f>
        <v>Adult</v>
      </c>
      <c r="C1321" t="s">
        <v>22</v>
      </c>
      <c r="D1321">
        <f t="shared" si="20"/>
        <v>0</v>
      </c>
      <c r="E1321" t="s">
        <v>19</v>
      </c>
      <c r="F1321">
        <v>4</v>
      </c>
      <c r="G1321" t="s">
        <v>24</v>
      </c>
      <c r="H1321">
        <v>3</v>
      </c>
      <c r="I1321">
        <v>2</v>
      </c>
      <c r="J1321" t="s">
        <v>21</v>
      </c>
      <c r="K1321">
        <v>4</v>
      </c>
      <c r="L1321">
        <v>4648</v>
      </c>
      <c r="M1321" t="str" cm="1">
        <f t="array" ref="M1321">_xlfn.IFS(L1321&lt;= 7000,"Low",L1321&lt;=15000,"Medium",L1321&lt;=20000,"High")</f>
        <v>Low</v>
      </c>
      <c r="N1321" t="s">
        <v>22</v>
      </c>
      <c r="O1321">
        <v>13</v>
      </c>
      <c r="P1321">
        <v>3</v>
      </c>
      <c r="Q1321">
        <v>3</v>
      </c>
      <c r="R1321">
        <v>4</v>
      </c>
      <c r="S1321">
        <v>4</v>
      </c>
      <c r="T1321">
        <v>0</v>
      </c>
      <c r="U1321">
        <v>0</v>
      </c>
    </row>
    <row r="1322" spans="1:21" x14ac:dyDescent="0.35">
      <c r="A1322">
        <v>42</v>
      </c>
      <c r="B1322" t="str" cm="1">
        <f t="array" ref="B1322">_xlfn.IFS(A1322&gt;40,"Senior",A1322&gt;30,"Adult",A1322&gt;=18,"Teenager")</f>
        <v>Senior</v>
      </c>
      <c r="C1322" t="s">
        <v>22</v>
      </c>
      <c r="D1322">
        <f t="shared" si="20"/>
        <v>0</v>
      </c>
      <c r="E1322" t="s">
        <v>23</v>
      </c>
      <c r="F1322">
        <v>3</v>
      </c>
      <c r="G1322" t="s">
        <v>24</v>
      </c>
      <c r="H1322">
        <v>3</v>
      </c>
      <c r="I1322">
        <v>1</v>
      </c>
      <c r="J1322" t="s">
        <v>25</v>
      </c>
      <c r="K1322">
        <v>3</v>
      </c>
      <c r="L1322">
        <v>2936</v>
      </c>
      <c r="M1322" t="str" cm="1">
        <f t="array" ref="M1322">_xlfn.IFS(L1322&lt;= 7000,"Low",L1322&lt;=15000,"Medium",L1322&lt;=20000,"High")</f>
        <v>Low</v>
      </c>
      <c r="N1322" t="s">
        <v>22</v>
      </c>
      <c r="O1322">
        <v>22</v>
      </c>
      <c r="P1322">
        <v>4</v>
      </c>
      <c r="Q1322">
        <v>2</v>
      </c>
      <c r="R1322">
        <v>10</v>
      </c>
      <c r="S1322">
        <v>2</v>
      </c>
      <c r="T1322">
        <v>6</v>
      </c>
      <c r="U1322">
        <v>3</v>
      </c>
    </row>
    <row r="1323" spans="1:21" x14ac:dyDescent="0.35">
      <c r="A1323">
        <v>47</v>
      </c>
      <c r="B1323" t="str" cm="1">
        <f t="array" ref="B1323">_xlfn.IFS(A1323&gt;40,"Senior",A1323&gt;30,"Adult",A1323&gt;=18,"Teenager")</f>
        <v>Senior</v>
      </c>
      <c r="C1323" t="s">
        <v>22</v>
      </c>
      <c r="D1323">
        <f t="shared" si="20"/>
        <v>0</v>
      </c>
      <c r="E1323" t="s">
        <v>23</v>
      </c>
      <c r="F1323">
        <v>2</v>
      </c>
      <c r="G1323" t="s">
        <v>20</v>
      </c>
      <c r="H1323">
        <v>3</v>
      </c>
      <c r="I1323">
        <v>1</v>
      </c>
      <c r="J1323" t="s">
        <v>26</v>
      </c>
      <c r="K1323">
        <v>3</v>
      </c>
      <c r="L1323">
        <v>2105</v>
      </c>
      <c r="M1323" t="str" cm="1">
        <f t="array" ref="M1323">_xlfn.IFS(L1323&lt;= 7000,"Low",L1323&lt;=15000,"Medium",L1323&lt;=20000,"High")</f>
        <v>Low</v>
      </c>
      <c r="N1323" t="s">
        <v>22</v>
      </c>
      <c r="O1323">
        <v>12</v>
      </c>
      <c r="P1323">
        <v>3</v>
      </c>
      <c r="Q1323">
        <v>3</v>
      </c>
      <c r="R1323">
        <v>7</v>
      </c>
      <c r="S1323">
        <v>3</v>
      </c>
      <c r="T1323">
        <v>2</v>
      </c>
      <c r="U1323">
        <v>2</v>
      </c>
    </row>
    <row r="1324" spans="1:21" x14ac:dyDescent="0.35">
      <c r="A1324">
        <v>46</v>
      </c>
      <c r="B1324" t="str" cm="1">
        <f t="array" ref="B1324">_xlfn.IFS(A1324&gt;40,"Senior",A1324&gt;30,"Adult",A1324&gt;=18,"Teenager")</f>
        <v>Senior</v>
      </c>
      <c r="C1324" t="s">
        <v>22</v>
      </c>
      <c r="D1324">
        <f t="shared" si="20"/>
        <v>0</v>
      </c>
      <c r="E1324" t="s">
        <v>23</v>
      </c>
      <c r="F1324">
        <v>4</v>
      </c>
      <c r="G1324" t="s">
        <v>24</v>
      </c>
      <c r="H1324">
        <v>3</v>
      </c>
      <c r="I1324">
        <v>3</v>
      </c>
      <c r="J1324" t="s">
        <v>27</v>
      </c>
      <c r="K1324">
        <v>4</v>
      </c>
      <c r="L1324">
        <v>8578</v>
      </c>
      <c r="M1324" t="str" cm="1">
        <f t="array" ref="M1324">_xlfn.IFS(L1324&lt;= 7000,"Low",L1324&lt;=15000,"Medium",L1324&lt;=20000,"High")</f>
        <v>Medium</v>
      </c>
      <c r="N1324" t="s">
        <v>22</v>
      </c>
      <c r="O1324">
        <v>14</v>
      </c>
      <c r="P1324">
        <v>3</v>
      </c>
      <c r="Q1324">
        <v>3</v>
      </c>
      <c r="R1324">
        <v>12</v>
      </c>
      <c r="S1324">
        <v>2</v>
      </c>
      <c r="T1324">
        <v>9</v>
      </c>
      <c r="U1324">
        <v>8</v>
      </c>
    </row>
    <row r="1325" spans="1:21" x14ac:dyDescent="0.35">
      <c r="A1325">
        <v>28</v>
      </c>
      <c r="B1325" t="str" cm="1">
        <f t="array" ref="B1325">_xlfn.IFS(A1325&gt;40,"Senior",A1325&gt;30,"Adult",A1325&gt;=18,"Teenager")</f>
        <v>Teenager</v>
      </c>
      <c r="C1325" t="s">
        <v>22</v>
      </c>
      <c r="D1325">
        <f t="shared" si="20"/>
        <v>0</v>
      </c>
      <c r="E1325" t="s">
        <v>32</v>
      </c>
      <c r="F1325">
        <v>3</v>
      </c>
      <c r="G1325" t="s">
        <v>24</v>
      </c>
      <c r="H1325">
        <v>3</v>
      </c>
      <c r="I1325">
        <v>1</v>
      </c>
      <c r="J1325" t="s">
        <v>32</v>
      </c>
      <c r="K1325">
        <v>4</v>
      </c>
      <c r="L1325">
        <v>2706</v>
      </c>
      <c r="M1325" t="str" cm="1">
        <f t="array" ref="M1325">_xlfn.IFS(L1325&lt;= 7000,"Low",L1325&lt;=15000,"Medium",L1325&lt;=20000,"High")</f>
        <v>Low</v>
      </c>
      <c r="N1325" t="s">
        <v>22</v>
      </c>
      <c r="O1325">
        <v>15</v>
      </c>
      <c r="P1325">
        <v>3</v>
      </c>
      <c r="Q1325">
        <v>2</v>
      </c>
      <c r="R1325">
        <v>3</v>
      </c>
      <c r="S1325">
        <v>3</v>
      </c>
      <c r="T1325">
        <v>3</v>
      </c>
      <c r="U1325">
        <v>2</v>
      </c>
    </row>
    <row r="1326" spans="1:21" x14ac:dyDescent="0.35">
      <c r="A1326">
        <v>29</v>
      </c>
      <c r="B1326" t="str" cm="1">
        <f t="array" ref="B1326">_xlfn.IFS(A1326&gt;40,"Senior",A1326&gt;30,"Adult",A1326&gt;=18,"Teenager")</f>
        <v>Teenager</v>
      </c>
      <c r="C1326" t="s">
        <v>22</v>
      </c>
      <c r="D1326">
        <f t="shared" si="20"/>
        <v>0</v>
      </c>
      <c r="E1326" t="s">
        <v>23</v>
      </c>
      <c r="F1326">
        <v>4</v>
      </c>
      <c r="G1326" t="s">
        <v>24</v>
      </c>
      <c r="H1326">
        <v>1</v>
      </c>
      <c r="I1326">
        <v>2</v>
      </c>
      <c r="J1326" t="s">
        <v>28</v>
      </c>
      <c r="K1326">
        <v>3</v>
      </c>
      <c r="L1326">
        <v>6384</v>
      </c>
      <c r="M1326" t="str" cm="1">
        <f t="array" ref="M1326">_xlfn.IFS(L1326&lt;= 7000,"Low",L1326&lt;=15000,"Medium",L1326&lt;=20000,"High")</f>
        <v>Low</v>
      </c>
      <c r="N1326" t="s">
        <v>22</v>
      </c>
      <c r="O1326">
        <v>17</v>
      </c>
      <c r="P1326">
        <v>3</v>
      </c>
      <c r="Q1326">
        <v>4</v>
      </c>
      <c r="R1326">
        <v>11</v>
      </c>
      <c r="S1326">
        <v>3</v>
      </c>
      <c r="T1326">
        <v>7</v>
      </c>
      <c r="U1326">
        <v>0</v>
      </c>
    </row>
    <row r="1327" spans="1:21" x14ac:dyDescent="0.35">
      <c r="A1327">
        <v>42</v>
      </c>
      <c r="B1327" t="str" cm="1">
        <f t="array" ref="B1327">_xlfn.IFS(A1327&gt;40,"Senior",A1327&gt;30,"Adult",A1327&gt;=18,"Teenager")</f>
        <v>Senior</v>
      </c>
      <c r="C1327" t="s">
        <v>22</v>
      </c>
      <c r="D1327">
        <f t="shared" si="20"/>
        <v>0</v>
      </c>
      <c r="E1327" t="s">
        <v>23</v>
      </c>
      <c r="F1327">
        <v>4</v>
      </c>
      <c r="G1327" t="s">
        <v>24</v>
      </c>
      <c r="H1327">
        <v>3</v>
      </c>
      <c r="I1327">
        <v>1</v>
      </c>
      <c r="J1327" t="s">
        <v>26</v>
      </c>
      <c r="K1327">
        <v>3</v>
      </c>
      <c r="L1327">
        <v>3968</v>
      </c>
      <c r="M1327" t="str" cm="1">
        <f t="array" ref="M1327">_xlfn.IFS(L1327&lt;= 7000,"Low",L1327&lt;=15000,"Medium",L1327&lt;=20000,"High")</f>
        <v>Low</v>
      </c>
      <c r="N1327" t="s">
        <v>22</v>
      </c>
      <c r="O1327">
        <v>13</v>
      </c>
      <c r="P1327">
        <v>3</v>
      </c>
      <c r="Q1327">
        <v>4</v>
      </c>
      <c r="R1327">
        <v>8</v>
      </c>
      <c r="S1327">
        <v>3</v>
      </c>
      <c r="T1327">
        <v>0</v>
      </c>
      <c r="U1327">
        <v>0</v>
      </c>
    </row>
    <row r="1328" spans="1:21" x14ac:dyDescent="0.35">
      <c r="A1328">
        <v>32</v>
      </c>
      <c r="B1328" t="str" cm="1">
        <f t="array" ref="B1328">_xlfn.IFS(A1328&gt;40,"Senior",A1328&gt;30,"Adult",A1328&gt;=18,"Teenager")</f>
        <v>Adult</v>
      </c>
      <c r="C1328" t="s">
        <v>18</v>
      </c>
      <c r="D1328">
        <f t="shared" si="20"/>
        <v>1</v>
      </c>
      <c r="E1328" t="s">
        <v>19</v>
      </c>
      <c r="F1328">
        <v>3</v>
      </c>
      <c r="G1328" t="s">
        <v>24</v>
      </c>
      <c r="H1328">
        <v>2</v>
      </c>
      <c r="I1328">
        <v>2</v>
      </c>
      <c r="J1328" t="s">
        <v>21</v>
      </c>
      <c r="K1328">
        <v>2</v>
      </c>
      <c r="L1328">
        <v>9907</v>
      </c>
      <c r="M1328" t="str" cm="1">
        <f t="array" ref="M1328">_xlfn.IFS(L1328&lt;= 7000,"Low",L1328&lt;=15000,"Medium",L1328&lt;=20000,"High")</f>
        <v>Medium</v>
      </c>
      <c r="N1328" t="s">
        <v>18</v>
      </c>
      <c r="O1328">
        <v>12</v>
      </c>
      <c r="P1328">
        <v>3</v>
      </c>
      <c r="Q1328">
        <v>3</v>
      </c>
      <c r="R1328">
        <v>7</v>
      </c>
      <c r="S1328">
        <v>2</v>
      </c>
      <c r="T1328">
        <v>2</v>
      </c>
      <c r="U1328">
        <v>2</v>
      </c>
    </row>
    <row r="1329" spans="1:21" x14ac:dyDescent="0.35">
      <c r="A1329">
        <v>46</v>
      </c>
      <c r="B1329" t="str" cm="1">
        <f t="array" ref="B1329">_xlfn.IFS(A1329&gt;40,"Senior",A1329&gt;30,"Adult",A1329&gt;=18,"Teenager")</f>
        <v>Senior</v>
      </c>
      <c r="C1329" t="s">
        <v>22</v>
      </c>
      <c r="D1329">
        <f t="shared" si="20"/>
        <v>0</v>
      </c>
      <c r="E1329" t="s">
        <v>19</v>
      </c>
      <c r="F1329">
        <v>1</v>
      </c>
      <c r="G1329" t="s">
        <v>20</v>
      </c>
      <c r="H1329">
        <v>4</v>
      </c>
      <c r="I1329">
        <v>4</v>
      </c>
      <c r="J1329" t="s">
        <v>21</v>
      </c>
      <c r="K1329">
        <v>1</v>
      </c>
      <c r="L1329">
        <v>13225</v>
      </c>
      <c r="M1329" t="str" cm="1">
        <f t="array" ref="M1329">_xlfn.IFS(L1329&lt;= 7000,"Low",L1329&lt;=15000,"Medium",L1329&lt;=20000,"High")</f>
        <v>Medium</v>
      </c>
      <c r="N1329" t="s">
        <v>22</v>
      </c>
      <c r="O1329">
        <v>12</v>
      </c>
      <c r="P1329">
        <v>3</v>
      </c>
      <c r="Q1329">
        <v>4</v>
      </c>
      <c r="R1329">
        <v>25</v>
      </c>
      <c r="S1329">
        <v>3</v>
      </c>
      <c r="T1329">
        <v>19</v>
      </c>
      <c r="U1329">
        <v>17</v>
      </c>
    </row>
    <row r="1330" spans="1:21" x14ac:dyDescent="0.35">
      <c r="A1330">
        <v>27</v>
      </c>
      <c r="B1330" t="str" cm="1">
        <f t="array" ref="B1330">_xlfn.IFS(A1330&gt;40,"Senior",A1330&gt;30,"Adult",A1330&gt;=18,"Teenager")</f>
        <v>Teenager</v>
      </c>
      <c r="C1330" t="s">
        <v>22</v>
      </c>
      <c r="D1330">
        <f t="shared" si="20"/>
        <v>0</v>
      </c>
      <c r="E1330" t="s">
        <v>19</v>
      </c>
      <c r="F1330">
        <v>2</v>
      </c>
      <c r="G1330" t="s">
        <v>20</v>
      </c>
      <c r="H1330">
        <v>2</v>
      </c>
      <c r="I1330">
        <v>2</v>
      </c>
      <c r="J1330" t="s">
        <v>30</v>
      </c>
      <c r="K1330">
        <v>3</v>
      </c>
      <c r="L1330">
        <v>3540</v>
      </c>
      <c r="M1330" t="str" cm="1">
        <f t="array" ref="M1330">_xlfn.IFS(L1330&lt;= 7000,"Low",L1330&lt;=15000,"Medium",L1330&lt;=20000,"High")</f>
        <v>Low</v>
      </c>
      <c r="N1330" t="s">
        <v>22</v>
      </c>
      <c r="O1330">
        <v>21</v>
      </c>
      <c r="P1330">
        <v>4</v>
      </c>
      <c r="Q1330">
        <v>4</v>
      </c>
      <c r="R1330">
        <v>9</v>
      </c>
      <c r="S1330">
        <v>3</v>
      </c>
      <c r="T1330">
        <v>9</v>
      </c>
      <c r="U1330">
        <v>8</v>
      </c>
    </row>
    <row r="1331" spans="1:21" x14ac:dyDescent="0.35">
      <c r="A1331">
        <v>29</v>
      </c>
      <c r="B1331" t="str" cm="1">
        <f t="array" ref="B1331">_xlfn.IFS(A1331&gt;40,"Senior",A1331&gt;30,"Adult",A1331&gt;=18,"Teenager")</f>
        <v>Teenager</v>
      </c>
      <c r="C1331" t="s">
        <v>22</v>
      </c>
      <c r="D1331">
        <f t="shared" si="20"/>
        <v>0</v>
      </c>
      <c r="E1331" t="s">
        <v>32</v>
      </c>
      <c r="F1331">
        <v>4</v>
      </c>
      <c r="G1331" t="s">
        <v>24</v>
      </c>
      <c r="H1331">
        <v>2</v>
      </c>
      <c r="I1331">
        <v>1</v>
      </c>
      <c r="J1331" t="s">
        <v>32</v>
      </c>
      <c r="K1331">
        <v>2</v>
      </c>
      <c r="L1331">
        <v>2804</v>
      </c>
      <c r="M1331" t="str" cm="1">
        <f t="array" ref="M1331">_xlfn.IFS(L1331&lt;= 7000,"Low",L1331&lt;=15000,"Medium",L1331&lt;=20000,"High")</f>
        <v>Low</v>
      </c>
      <c r="N1331" t="s">
        <v>22</v>
      </c>
      <c r="O1331">
        <v>11</v>
      </c>
      <c r="P1331">
        <v>3</v>
      </c>
      <c r="Q1331">
        <v>4</v>
      </c>
      <c r="R1331">
        <v>1</v>
      </c>
      <c r="S1331">
        <v>3</v>
      </c>
      <c r="T1331">
        <v>1</v>
      </c>
      <c r="U1331">
        <v>0</v>
      </c>
    </row>
    <row r="1332" spans="1:21" x14ac:dyDescent="0.35">
      <c r="A1332">
        <v>43</v>
      </c>
      <c r="B1332" t="str" cm="1">
        <f t="array" ref="B1332">_xlfn.IFS(A1332&gt;40,"Senior",A1332&gt;30,"Adult",A1332&gt;=18,"Teenager")</f>
        <v>Senior</v>
      </c>
      <c r="C1332" t="s">
        <v>22</v>
      </c>
      <c r="D1332">
        <f t="shared" si="20"/>
        <v>0</v>
      </c>
      <c r="E1332" t="s">
        <v>23</v>
      </c>
      <c r="F1332">
        <v>1</v>
      </c>
      <c r="G1332" t="s">
        <v>20</v>
      </c>
      <c r="H1332">
        <v>2</v>
      </c>
      <c r="I1332">
        <v>5</v>
      </c>
      <c r="J1332" t="s">
        <v>29</v>
      </c>
      <c r="K1332">
        <v>3</v>
      </c>
      <c r="L1332">
        <v>19392</v>
      </c>
      <c r="M1332" t="str" cm="1">
        <f t="array" ref="M1332">_xlfn.IFS(L1332&lt;= 7000,"Low",L1332&lt;=15000,"Medium",L1332&lt;=20000,"High")</f>
        <v>High</v>
      </c>
      <c r="N1332" t="s">
        <v>22</v>
      </c>
      <c r="O1332">
        <v>13</v>
      </c>
      <c r="P1332">
        <v>3</v>
      </c>
      <c r="Q1332">
        <v>4</v>
      </c>
      <c r="R1332">
        <v>21</v>
      </c>
      <c r="S1332">
        <v>3</v>
      </c>
      <c r="T1332">
        <v>16</v>
      </c>
      <c r="U1332">
        <v>12</v>
      </c>
    </row>
    <row r="1333" spans="1:21" x14ac:dyDescent="0.35">
      <c r="A1333">
        <v>48</v>
      </c>
      <c r="B1333" t="str" cm="1">
        <f t="array" ref="B1333">_xlfn.IFS(A1333&gt;40,"Senior",A1333&gt;30,"Adult",A1333&gt;=18,"Teenager")</f>
        <v>Senior</v>
      </c>
      <c r="C1333" t="s">
        <v>22</v>
      </c>
      <c r="D1333">
        <f t="shared" si="20"/>
        <v>0</v>
      </c>
      <c r="E1333" t="s">
        <v>23</v>
      </c>
      <c r="F1333">
        <v>4</v>
      </c>
      <c r="G1333" t="s">
        <v>24</v>
      </c>
      <c r="H1333">
        <v>2</v>
      </c>
      <c r="I1333">
        <v>5</v>
      </c>
      <c r="J1333" t="s">
        <v>31</v>
      </c>
      <c r="K1333">
        <v>2</v>
      </c>
      <c r="L1333">
        <v>19665</v>
      </c>
      <c r="M1333" t="str" cm="1">
        <f t="array" ref="M1333">_xlfn.IFS(L1333&lt;= 7000,"Low",L1333&lt;=15000,"Medium",L1333&lt;=20000,"High")</f>
        <v>High</v>
      </c>
      <c r="N1333" t="s">
        <v>22</v>
      </c>
      <c r="O1333">
        <v>12</v>
      </c>
      <c r="P1333">
        <v>3</v>
      </c>
      <c r="Q1333">
        <v>4</v>
      </c>
      <c r="R1333">
        <v>29</v>
      </c>
      <c r="S1333">
        <v>3</v>
      </c>
      <c r="T1333">
        <v>22</v>
      </c>
      <c r="U1333">
        <v>10</v>
      </c>
    </row>
    <row r="1334" spans="1:21" x14ac:dyDescent="0.35">
      <c r="A1334">
        <v>29</v>
      </c>
      <c r="B1334" t="str" cm="1">
        <f t="array" ref="B1334">_xlfn.IFS(A1334&gt;40,"Senior",A1334&gt;30,"Adult",A1334&gt;=18,"Teenager")</f>
        <v>Teenager</v>
      </c>
      <c r="C1334" t="s">
        <v>18</v>
      </c>
      <c r="D1334">
        <f t="shared" si="20"/>
        <v>1</v>
      </c>
      <c r="E1334" t="s">
        <v>23</v>
      </c>
      <c r="F1334">
        <v>4</v>
      </c>
      <c r="G1334" t="s">
        <v>24</v>
      </c>
      <c r="H1334">
        <v>2</v>
      </c>
      <c r="I1334">
        <v>1</v>
      </c>
      <c r="J1334" t="s">
        <v>25</v>
      </c>
      <c r="K1334">
        <v>4</v>
      </c>
      <c r="L1334">
        <v>2439</v>
      </c>
      <c r="M1334" t="str" cm="1">
        <f t="array" ref="M1334">_xlfn.IFS(L1334&lt;= 7000,"Low",L1334&lt;=15000,"Medium",L1334&lt;=20000,"High")</f>
        <v>Low</v>
      </c>
      <c r="N1334" t="s">
        <v>18</v>
      </c>
      <c r="O1334">
        <v>24</v>
      </c>
      <c r="P1334">
        <v>4</v>
      </c>
      <c r="Q1334">
        <v>2</v>
      </c>
      <c r="R1334">
        <v>1</v>
      </c>
      <c r="S1334">
        <v>2</v>
      </c>
      <c r="T1334">
        <v>1</v>
      </c>
      <c r="U1334">
        <v>0</v>
      </c>
    </row>
    <row r="1335" spans="1:21" x14ac:dyDescent="0.35">
      <c r="A1335">
        <v>46</v>
      </c>
      <c r="B1335" t="str" cm="1">
        <f t="array" ref="B1335">_xlfn.IFS(A1335&gt;40,"Senior",A1335&gt;30,"Adult",A1335&gt;=18,"Teenager")</f>
        <v>Senior</v>
      </c>
      <c r="C1335" t="s">
        <v>18</v>
      </c>
      <c r="D1335">
        <f t="shared" si="20"/>
        <v>1</v>
      </c>
      <c r="E1335" t="s">
        <v>19</v>
      </c>
      <c r="F1335">
        <v>3</v>
      </c>
      <c r="G1335" t="s">
        <v>20</v>
      </c>
      <c r="H1335">
        <v>3</v>
      </c>
      <c r="I1335">
        <v>3</v>
      </c>
      <c r="J1335" t="s">
        <v>21</v>
      </c>
      <c r="K1335">
        <v>2</v>
      </c>
      <c r="L1335">
        <v>7314</v>
      </c>
      <c r="M1335" t="str" cm="1">
        <f t="array" ref="M1335">_xlfn.IFS(L1335&lt;= 7000,"Low",L1335&lt;=15000,"Medium",L1335&lt;=20000,"High")</f>
        <v>Medium</v>
      </c>
      <c r="N1335" t="s">
        <v>22</v>
      </c>
      <c r="O1335">
        <v>21</v>
      </c>
      <c r="P1335">
        <v>4</v>
      </c>
      <c r="Q1335">
        <v>3</v>
      </c>
      <c r="R1335">
        <v>14</v>
      </c>
      <c r="S1335">
        <v>3</v>
      </c>
      <c r="T1335">
        <v>8</v>
      </c>
      <c r="U1335">
        <v>7</v>
      </c>
    </row>
    <row r="1336" spans="1:21" x14ac:dyDescent="0.35">
      <c r="A1336">
        <v>27</v>
      </c>
      <c r="B1336" t="str" cm="1">
        <f t="array" ref="B1336">_xlfn.IFS(A1336&gt;40,"Senior",A1336&gt;30,"Adult",A1336&gt;=18,"Teenager")</f>
        <v>Teenager</v>
      </c>
      <c r="C1336" t="s">
        <v>22</v>
      </c>
      <c r="D1336">
        <f t="shared" si="20"/>
        <v>0</v>
      </c>
      <c r="E1336" t="s">
        <v>23</v>
      </c>
      <c r="F1336">
        <v>4</v>
      </c>
      <c r="G1336" t="s">
        <v>20</v>
      </c>
      <c r="H1336">
        <v>2</v>
      </c>
      <c r="I1336">
        <v>1</v>
      </c>
      <c r="J1336" t="s">
        <v>25</v>
      </c>
      <c r="K1336">
        <v>1</v>
      </c>
      <c r="L1336">
        <v>4774</v>
      </c>
      <c r="M1336" t="str" cm="1">
        <f t="array" ref="M1336">_xlfn.IFS(L1336&lt;= 7000,"Low",L1336&lt;=15000,"Medium",L1336&lt;=20000,"High")</f>
        <v>Low</v>
      </c>
      <c r="N1336" t="s">
        <v>22</v>
      </c>
      <c r="O1336">
        <v>19</v>
      </c>
      <c r="P1336">
        <v>3</v>
      </c>
      <c r="Q1336">
        <v>4</v>
      </c>
      <c r="R1336">
        <v>8</v>
      </c>
      <c r="S1336">
        <v>2</v>
      </c>
      <c r="T1336">
        <v>7</v>
      </c>
      <c r="U1336">
        <v>6</v>
      </c>
    </row>
    <row r="1337" spans="1:21" x14ac:dyDescent="0.35">
      <c r="A1337">
        <v>39</v>
      </c>
      <c r="B1337" t="str" cm="1">
        <f t="array" ref="B1337">_xlfn.IFS(A1337&gt;40,"Senior",A1337&gt;30,"Adult",A1337&gt;=18,"Teenager")</f>
        <v>Adult</v>
      </c>
      <c r="C1337" t="s">
        <v>22</v>
      </c>
      <c r="D1337">
        <f t="shared" si="20"/>
        <v>0</v>
      </c>
      <c r="E1337" t="s">
        <v>23</v>
      </c>
      <c r="F1337">
        <v>4</v>
      </c>
      <c r="G1337" t="s">
        <v>24</v>
      </c>
      <c r="H1337">
        <v>3</v>
      </c>
      <c r="I1337">
        <v>2</v>
      </c>
      <c r="J1337" t="s">
        <v>25</v>
      </c>
      <c r="K1337">
        <v>4</v>
      </c>
      <c r="L1337">
        <v>3902</v>
      </c>
      <c r="M1337" t="str" cm="1">
        <f t="array" ref="M1337">_xlfn.IFS(L1337&lt;= 7000,"Low",L1337&lt;=15000,"Medium",L1337&lt;=20000,"High")</f>
        <v>Low</v>
      </c>
      <c r="N1337" t="s">
        <v>22</v>
      </c>
      <c r="O1337">
        <v>14</v>
      </c>
      <c r="P1337">
        <v>3</v>
      </c>
      <c r="Q1337">
        <v>2</v>
      </c>
      <c r="R1337">
        <v>7</v>
      </c>
      <c r="S1337">
        <v>3</v>
      </c>
      <c r="T1337">
        <v>2</v>
      </c>
      <c r="U1337">
        <v>2</v>
      </c>
    </row>
    <row r="1338" spans="1:21" x14ac:dyDescent="0.35">
      <c r="A1338">
        <v>55</v>
      </c>
      <c r="B1338" t="str" cm="1">
        <f t="array" ref="B1338">_xlfn.IFS(A1338&gt;40,"Senior",A1338&gt;30,"Adult",A1338&gt;=18,"Teenager")</f>
        <v>Senior</v>
      </c>
      <c r="C1338" t="s">
        <v>22</v>
      </c>
      <c r="D1338">
        <f t="shared" si="20"/>
        <v>0</v>
      </c>
      <c r="E1338" t="s">
        <v>23</v>
      </c>
      <c r="F1338">
        <v>2</v>
      </c>
      <c r="G1338" t="s">
        <v>24</v>
      </c>
      <c r="H1338">
        <v>2</v>
      </c>
      <c r="I1338">
        <v>1</v>
      </c>
      <c r="J1338" t="s">
        <v>25</v>
      </c>
      <c r="K1338">
        <v>4</v>
      </c>
      <c r="L1338">
        <v>2662</v>
      </c>
      <c r="M1338" t="str" cm="1">
        <f t="array" ref="M1338">_xlfn.IFS(L1338&lt;= 7000,"Low",L1338&lt;=15000,"Medium",L1338&lt;=20000,"High")</f>
        <v>Low</v>
      </c>
      <c r="N1338" t="s">
        <v>22</v>
      </c>
      <c r="O1338">
        <v>20</v>
      </c>
      <c r="P1338">
        <v>4</v>
      </c>
      <c r="Q1338">
        <v>2</v>
      </c>
      <c r="R1338">
        <v>19</v>
      </c>
      <c r="S1338">
        <v>4</v>
      </c>
      <c r="T1338">
        <v>5</v>
      </c>
      <c r="U1338">
        <v>2</v>
      </c>
    </row>
    <row r="1339" spans="1:21" x14ac:dyDescent="0.35">
      <c r="A1339">
        <v>28</v>
      </c>
      <c r="B1339" t="str" cm="1">
        <f t="array" ref="B1339">_xlfn.IFS(A1339&gt;40,"Senior",A1339&gt;30,"Adult",A1339&gt;=18,"Teenager")</f>
        <v>Teenager</v>
      </c>
      <c r="C1339" t="s">
        <v>22</v>
      </c>
      <c r="D1339">
        <f t="shared" si="20"/>
        <v>0</v>
      </c>
      <c r="E1339" t="s">
        <v>19</v>
      </c>
      <c r="F1339">
        <v>2</v>
      </c>
      <c r="G1339" t="s">
        <v>20</v>
      </c>
      <c r="H1339">
        <v>3</v>
      </c>
      <c r="I1339">
        <v>1</v>
      </c>
      <c r="J1339" t="s">
        <v>30</v>
      </c>
      <c r="K1339">
        <v>2</v>
      </c>
      <c r="L1339">
        <v>2856</v>
      </c>
      <c r="M1339" t="str" cm="1">
        <f t="array" ref="M1339">_xlfn.IFS(L1339&lt;= 7000,"Low",L1339&lt;=15000,"Medium",L1339&lt;=20000,"High")</f>
        <v>Low</v>
      </c>
      <c r="N1339" t="s">
        <v>22</v>
      </c>
      <c r="O1339">
        <v>19</v>
      </c>
      <c r="P1339">
        <v>3</v>
      </c>
      <c r="Q1339">
        <v>4</v>
      </c>
      <c r="R1339">
        <v>1</v>
      </c>
      <c r="S1339">
        <v>3</v>
      </c>
      <c r="T1339">
        <v>1</v>
      </c>
      <c r="U1339">
        <v>0</v>
      </c>
    </row>
    <row r="1340" spans="1:21" x14ac:dyDescent="0.35">
      <c r="A1340">
        <v>30</v>
      </c>
      <c r="B1340" t="str" cm="1">
        <f t="array" ref="B1340">_xlfn.IFS(A1340&gt;40,"Senior",A1340&gt;30,"Adult",A1340&gt;=18,"Teenager")</f>
        <v>Teenager</v>
      </c>
      <c r="C1340" t="s">
        <v>18</v>
      </c>
      <c r="D1340">
        <f t="shared" si="20"/>
        <v>1</v>
      </c>
      <c r="E1340" t="s">
        <v>19</v>
      </c>
      <c r="F1340">
        <v>2</v>
      </c>
      <c r="G1340" t="s">
        <v>24</v>
      </c>
      <c r="H1340">
        <v>3</v>
      </c>
      <c r="I1340">
        <v>1</v>
      </c>
      <c r="J1340" t="s">
        <v>30</v>
      </c>
      <c r="K1340">
        <v>4</v>
      </c>
      <c r="L1340">
        <v>1081</v>
      </c>
      <c r="M1340" t="str" cm="1">
        <f t="array" ref="M1340">_xlfn.IFS(L1340&lt;= 7000,"Low",L1340&lt;=15000,"Medium",L1340&lt;=20000,"High")</f>
        <v>Low</v>
      </c>
      <c r="N1340" t="s">
        <v>22</v>
      </c>
      <c r="O1340">
        <v>13</v>
      </c>
      <c r="P1340">
        <v>3</v>
      </c>
      <c r="Q1340">
        <v>3</v>
      </c>
      <c r="R1340">
        <v>1</v>
      </c>
      <c r="S1340">
        <v>2</v>
      </c>
      <c r="T1340">
        <v>1</v>
      </c>
      <c r="U1340">
        <v>0</v>
      </c>
    </row>
    <row r="1341" spans="1:21" x14ac:dyDescent="0.35">
      <c r="A1341">
        <v>22</v>
      </c>
      <c r="B1341" t="str" cm="1">
        <f t="array" ref="B1341">_xlfn.IFS(A1341&gt;40,"Senior",A1341&gt;30,"Adult",A1341&gt;=18,"Teenager")</f>
        <v>Teenager</v>
      </c>
      <c r="C1341" t="s">
        <v>18</v>
      </c>
      <c r="D1341">
        <f t="shared" si="20"/>
        <v>1</v>
      </c>
      <c r="E1341" t="s">
        <v>23</v>
      </c>
      <c r="F1341">
        <v>4</v>
      </c>
      <c r="G1341" t="s">
        <v>24</v>
      </c>
      <c r="H1341">
        <v>3</v>
      </c>
      <c r="I1341">
        <v>1</v>
      </c>
      <c r="J1341" t="s">
        <v>25</v>
      </c>
      <c r="K1341">
        <v>2</v>
      </c>
      <c r="L1341">
        <v>2472</v>
      </c>
      <c r="M1341" t="str" cm="1">
        <f t="array" ref="M1341">_xlfn.IFS(L1341&lt;= 7000,"Low",L1341&lt;=15000,"Medium",L1341&lt;=20000,"High")</f>
        <v>Low</v>
      </c>
      <c r="N1341" t="s">
        <v>18</v>
      </c>
      <c r="O1341">
        <v>23</v>
      </c>
      <c r="P1341">
        <v>4</v>
      </c>
      <c r="Q1341">
        <v>1</v>
      </c>
      <c r="R1341">
        <v>1</v>
      </c>
      <c r="S1341">
        <v>3</v>
      </c>
      <c r="T1341">
        <v>1</v>
      </c>
      <c r="U1341">
        <v>0</v>
      </c>
    </row>
    <row r="1342" spans="1:21" x14ac:dyDescent="0.35">
      <c r="A1342">
        <v>36</v>
      </c>
      <c r="B1342" t="str" cm="1">
        <f t="array" ref="B1342">_xlfn.IFS(A1342&gt;40,"Senior",A1342&gt;30,"Adult",A1342&gt;=18,"Teenager")</f>
        <v>Adult</v>
      </c>
      <c r="C1342" t="s">
        <v>22</v>
      </c>
      <c r="D1342">
        <f t="shared" si="20"/>
        <v>0</v>
      </c>
      <c r="E1342" t="s">
        <v>19</v>
      </c>
      <c r="F1342">
        <v>2</v>
      </c>
      <c r="G1342" t="s">
        <v>20</v>
      </c>
      <c r="H1342">
        <v>2</v>
      </c>
      <c r="I1342">
        <v>2</v>
      </c>
      <c r="J1342" t="s">
        <v>21</v>
      </c>
      <c r="K1342">
        <v>3</v>
      </c>
      <c r="L1342">
        <v>5673</v>
      </c>
      <c r="M1342" t="str" cm="1">
        <f t="array" ref="M1342">_xlfn.IFS(L1342&lt;= 7000,"Low",L1342&lt;=15000,"Medium",L1342&lt;=20000,"High")</f>
        <v>Low</v>
      </c>
      <c r="N1342" t="s">
        <v>18</v>
      </c>
      <c r="O1342">
        <v>13</v>
      </c>
      <c r="P1342">
        <v>3</v>
      </c>
      <c r="Q1342">
        <v>1</v>
      </c>
      <c r="R1342">
        <v>10</v>
      </c>
      <c r="S1342">
        <v>3</v>
      </c>
      <c r="T1342">
        <v>10</v>
      </c>
      <c r="U1342">
        <v>9</v>
      </c>
    </row>
    <row r="1343" spans="1:21" x14ac:dyDescent="0.35">
      <c r="A1343">
        <v>31</v>
      </c>
      <c r="B1343" t="str" cm="1">
        <f t="array" ref="B1343">_xlfn.IFS(A1343&gt;40,"Senior",A1343&gt;30,"Adult",A1343&gt;=18,"Teenager")</f>
        <v>Adult</v>
      </c>
      <c r="C1343" t="s">
        <v>22</v>
      </c>
      <c r="D1343">
        <f t="shared" si="20"/>
        <v>0</v>
      </c>
      <c r="E1343" t="s">
        <v>23</v>
      </c>
      <c r="F1343">
        <v>2</v>
      </c>
      <c r="G1343" t="s">
        <v>24</v>
      </c>
      <c r="H1343">
        <v>3</v>
      </c>
      <c r="I1343">
        <v>2</v>
      </c>
      <c r="J1343" t="s">
        <v>26</v>
      </c>
      <c r="K1343">
        <v>3</v>
      </c>
      <c r="L1343">
        <v>4197</v>
      </c>
      <c r="M1343" t="str" cm="1">
        <f t="array" ref="M1343">_xlfn.IFS(L1343&lt;= 7000,"Low",L1343&lt;=15000,"Medium",L1343&lt;=20000,"High")</f>
        <v>Low</v>
      </c>
      <c r="N1343" t="s">
        <v>22</v>
      </c>
      <c r="O1343">
        <v>11</v>
      </c>
      <c r="P1343">
        <v>3</v>
      </c>
      <c r="Q1343">
        <v>1</v>
      </c>
      <c r="R1343">
        <v>10</v>
      </c>
      <c r="S1343">
        <v>3</v>
      </c>
      <c r="T1343">
        <v>10</v>
      </c>
      <c r="U1343">
        <v>8</v>
      </c>
    </row>
    <row r="1344" spans="1:21" x14ac:dyDescent="0.35">
      <c r="A1344">
        <v>34</v>
      </c>
      <c r="B1344" t="str" cm="1">
        <f t="array" ref="B1344">_xlfn.IFS(A1344&gt;40,"Senior",A1344&gt;30,"Adult",A1344&gt;=18,"Teenager")</f>
        <v>Adult</v>
      </c>
      <c r="C1344" t="s">
        <v>22</v>
      </c>
      <c r="D1344">
        <f t="shared" si="20"/>
        <v>0</v>
      </c>
      <c r="E1344" t="s">
        <v>19</v>
      </c>
      <c r="F1344">
        <v>3</v>
      </c>
      <c r="G1344" t="s">
        <v>24</v>
      </c>
      <c r="H1344">
        <v>3</v>
      </c>
      <c r="I1344">
        <v>3</v>
      </c>
      <c r="J1344" t="s">
        <v>21</v>
      </c>
      <c r="K1344">
        <v>4</v>
      </c>
      <c r="L1344">
        <v>9713</v>
      </c>
      <c r="M1344" t="str" cm="1">
        <f t="array" ref="M1344">_xlfn.IFS(L1344&lt;= 7000,"Low",L1344&lt;=15000,"Medium",L1344&lt;=20000,"High")</f>
        <v>Medium</v>
      </c>
      <c r="N1344" t="s">
        <v>18</v>
      </c>
      <c r="O1344">
        <v>13</v>
      </c>
      <c r="P1344">
        <v>3</v>
      </c>
      <c r="Q1344">
        <v>4</v>
      </c>
      <c r="R1344">
        <v>9</v>
      </c>
      <c r="S1344">
        <v>3</v>
      </c>
      <c r="T1344">
        <v>5</v>
      </c>
      <c r="U1344">
        <v>3</v>
      </c>
    </row>
    <row r="1345" spans="1:21" x14ac:dyDescent="0.35">
      <c r="A1345">
        <v>29</v>
      </c>
      <c r="B1345" t="str" cm="1">
        <f t="array" ref="B1345">_xlfn.IFS(A1345&gt;40,"Senior",A1345&gt;30,"Adult",A1345&gt;=18,"Teenager")</f>
        <v>Teenager</v>
      </c>
      <c r="C1345" t="s">
        <v>22</v>
      </c>
      <c r="D1345">
        <f t="shared" si="20"/>
        <v>0</v>
      </c>
      <c r="E1345" t="s">
        <v>23</v>
      </c>
      <c r="F1345">
        <v>4</v>
      </c>
      <c r="G1345" t="s">
        <v>24</v>
      </c>
      <c r="H1345">
        <v>3</v>
      </c>
      <c r="I1345">
        <v>1</v>
      </c>
      <c r="J1345" t="s">
        <v>26</v>
      </c>
      <c r="K1345">
        <v>1</v>
      </c>
      <c r="L1345">
        <v>2062</v>
      </c>
      <c r="M1345" t="str" cm="1">
        <f t="array" ref="M1345">_xlfn.IFS(L1345&lt;= 7000,"Low",L1345&lt;=15000,"Medium",L1345&lt;=20000,"High")</f>
        <v>Low</v>
      </c>
      <c r="N1345" t="s">
        <v>22</v>
      </c>
      <c r="O1345">
        <v>14</v>
      </c>
      <c r="P1345">
        <v>3</v>
      </c>
      <c r="Q1345">
        <v>2</v>
      </c>
      <c r="R1345">
        <v>11</v>
      </c>
      <c r="S1345">
        <v>3</v>
      </c>
      <c r="T1345">
        <v>3</v>
      </c>
      <c r="U1345">
        <v>2</v>
      </c>
    </row>
    <row r="1346" spans="1:21" x14ac:dyDescent="0.35">
      <c r="A1346">
        <v>37</v>
      </c>
      <c r="B1346" t="str" cm="1">
        <f t="array" ref="B1346">_xlfn.IFS(A1346&gt;40,"Senior",A1346&gt;30,"Adult",A1346&gt;=18,"Teenager")</f>
        <v>Adult</v>
      </c>
      <c r="C1346" t="s">
        <v>22</v>
      </c>
      <c r="D1346">
        <f t="shared" si="20"/>
        <v>0</v>
      </c>
      <c r="E1346" t="s">
        <v>23</v>
      </c>
      <c r="F1346">
        <v>4</v>
      </c>
      <c r="G1346" t="s">
        <v>24</v>
      </c>
      <c r="H1346">
        <v>3</v>
      </c>
      <c r="I1346">
        <v>2</v>
      </c>
      <c r="J1346" t="s">
        <v>25</v>
      </c>
      <c r="K1346">
        <v>1</v>
      </c>
      <c r="L1346">
        <v>4284</v>
      </c>
      <c r="M1346" t="str" cm="1">
        <f t="array" ref="M1346">_xlfn.IFS(L1346&lt;= 7000,"Low",L1346&lt;=15000,"Medium",L1346&lt;=20000,"High")</f>
        <v>Low</v>
      </c>
      <c r="N1346" t="s">
        <v>18</v>
      </c>
      <c r="O1346">
        <v>22</v>
      </c>
      <c r="P1346">
        <v>4</v>
      </c>
      <c r="Q1346">
        <v>3</v>
      </c>
      <c r="R1346">
        <v>16</v>
      </c>
      <c r="S1346">
        <v>3</v>
      </c>
      <c r="T1346">
        <v>5</v>
      </c>
      <c r="U1346">
        <v>3</v>
      </c>
    </row>
    <row r="1347" spans="1:21" x14ac:dyDescent="0.35">
      <c r="A1347">
        <v>35</v>
      </c>
      <c r="B1347" t="str" cm="1">
        <f t="array" ref="B1347">_xlfn.IFS(A1347&gt;40,"Senior",A1347&gt;30,"Adult",A1347&gt;=18,"Teenager")</f>
        <v>Adult</v>
      </c>
      <c r="C1347" t="s">
        <v>22</v>
      </c>
      <c r="D1347">
        <f t="shared" ref="D1347:D1410" si="21">IF(C1347="Yes",1,0)</f>
        <v>0</v>
      </c>
      <c r="E1347" t="s">
        <v>23</v>
      </c>
      <c r="F1347">
        <v>4</v>
      </c>
      <c r="G1347" t="s">
        <v>20</v>
      </c>
      <c r="H1347">
        <v>2</v>
      </c>
      <c r="I1347">
        <v>2</v>
      </c>
      <c r="J1347" t="s">
        <v>27</v>
      </c>
      <c r="K1347">
        <v>2</v>
      </c>
      <c r="L1347">
        <v>4788</v>
      </c>
      <c r="M1347" t="str" cm="1">
        <f t="array" ref="M1347">_xlfn.IFS(L1347&lt;= 7000,"Low",L1347&lt;=15000,"Medium",L1347&lt;=20000,"High")</f>
        <v>Low</v>
      </c>
      <c r="N1347" t="s">
        <v>18</v>
      </c>
      <c r="O1347">
        <v>11</v>
      </c>
      <c r="P1347">
        <v>3</v>
      </c>
      <c r="Q1347">
        <v>4</v>
      </c>
      <c r="R1347">
        <v>4</v>
      </c>
      <c r="S1347">
        <v>3</v>
      </c>
      <c r="T1347">
        <v>3</v>
      </c>
      <c r="U1347">
        <v>2</v>
      </c>
    </row>
    <row r="1348" spans="1:21" x14ac:dyDescent="0.35">
      <c r="A1348">
        <v>45</v>
      </c>
      <c r="B1348" t="str" cm="1">
        <f t="array" ref="B1348">_xlfn.IFS(A1348&gt;40,"Senior",A1348&gt;30,"Adult",A1348&gt;=18,"Teenager")</f>
        <v>Senior</v>
      </c>
      <c r="C1348" t="s">
        <v>22</v>
      </c>
      <c r="D1348">
        <f t="shared" si="21"/>
        <v>0</v>
      </c>
      <c r="E1348" t="s">
        <v>23</v>
      </c>
      <c r="F1348">
        <v>2</v>
      </c>
      <c r="G1348" t="s">
        <v>20</v>
      </c>
      <c r="H1348">
        <v>2</v>
      </c>
      <c r="I1348">
        <v>2</v>
      </c>
      <c r="J1348" t="s">
        <v>27</v>
      </c>
      <c r="K1348">
        <v>4</v>
      </c>
      <c r="L1348">
        <v>5906</v>
      </c>
      <c r="M1348" t="str" cm="1">
        <f t="array" ref="M1348">_xlfn.IFS(L1348&lt;= 7000,"Low",L1348&lt;=15000,"Medium",L1348&lt;=20000,"High")</f>
        <v>Low</v>
      </c>
      <c r="N1348" t="s">
        <v>22</v>
      </c>
      <c r="O1348">
        <v>13</v>
      </c>
      <c r="P1348">
        <v>3</v>
      </c>
      <c r="Q1348">
        <v>4</v>
      </c>
      <c r="R1348">
        <v>10</v>
      </c>
      <c r="S1348">
        <v>2</v>
      </c>
      <c r="T1348">
        <v>9</v>
      </c>
      <c r="U1348">
        <v>8</v>
      </c>
    </row>
    <row r="1349" spans="1:21" x14ac:dyDescent="0.35">
      <c r="A1349">
        <v>36</v>
      </c>
      <c r="B1349" t="str" cm="1">
        <f t="array" ref="B1349">_xlfn.IFS(A1349&gt;40,"Senior",A1349&gt;30,"Adult",A1349&gt;=18,"Teenager")</f>
        <v>Adult</v>
      </c>
      <c r="C1349" t="s">
        <v>22</v>
      </c>
      <c r="D1349">
        <f t="shared" si="21"/>
        <v>0</v>
      </c>
      <c r="E1349" t="s">
        <v>32</v>
      </c>
      <c r="F1349">
        <v>2</v>
      </c>
      <c r="G1349" t="s">
        <v>24</v>
      </c>
      <c r="H1349">
        <v>2</v>
      </c>
      <c r="I1349">
        <v>2</v>
      </c>
      <c r="J1349" t="s">
        <v>32</v>
      </c>
      <c r="K1349">
        <v>4</v>
      </c>
      <c r="L1349">
        <v>3886</v>
      </c>
      <c r="M1349" t="str" cm="1">
        <f t="array" ref="M1349">_xlfn.IFS(L1349&lt;= 7000,"Low",L1349&lt;=15000,"Medium",L1349&lt;=20000,"High")</f>
        <v>Low</v>
      </c>
      <c r="N1349" t="s">
        <v>22</v>
      </c>
      <c r="O1349">
        <v>21</v>
      </c>
      <c r="P1349">
        <v>4</v>
      </c>
      <c r="Q1349">
        <v>4</v>
      </c>
      <c r="R1349">
        <v>10</v>
      </c>
      <c r="S1349">
        <v>2</v>
      </c>
      <c r="T1349">
        <v>10</v>
      </c>
      <c r="U1349">
        <v>1</v>
      </c>
    </row>
    <row r="1350" spans="1:21" x14ac:dyDescent="0.35">
      <c r="A1350">
        <v>40</v>
      </c>
      <c r="B1350" t="str" cm="1">
        <f t="array" ref="B1350">_xlfn.IFS(A1350&gt;40,"Senior",A1350&gt;30,"Adult",A1350&gt;=18,"Teenager")</f>
        <v>Adult</v>
      </c>
      <c r="C1350" t="s">
        <v>22</v>
      </c>
      <c r="D1350">
        <f t="shared" si="21"/>
        <v>0</v>
      </c>
      <c r="E1350" t="s">
        <v>23</v>
      </c>
      <c r="F1350">
        <v>1</v>
      </c>
      <c r="G1350" t="s">
        <v>24</v>
      </c>
      <c r="H1350">
        <v>3</v>
      </c>
      <c r="I1350">
        <v>4</v>
      </c>
      <c r="J1350" t="s">
        <v>29</v>
      </c>
      <c r="K1350">
        <v>1</v>
      </c>
      <c r="L1350">
        <v>16823</v>
      </c>
      <c r="M1350" t="str" cm="1">
        <f t="array" ref="M1350">_xlfn.IFS(L1350&lt;= 7000,"Low",L1350&lt;=15000,"Medium",L1350&lt;=20000,"High")</f>
        <v>High</v>
      </c>
      <c r="N1350" t="s">
        <v>22</v>
      </c>
      <c r="O1350">
        <v>11</v>
      </c>
      <c r="P1350">
        <v>3</v>
      </c>
      <c r="Q1350">
        <v>1</v>
      </c>
      <c r="R1350">
        <v>22</v>
      </c>
      <c r="S1350">
        <v>3</v>
      </c>
      <c r="T1350">
        <v>19</v>
      </c>
      <c r="U1350">
        <v>7</v>
      </c>
    </row>
    <row r="1351" spans="1:21" x14ac:dyDescent="0.35">
      <c r="A1351">
        <v>26</v>
      </c>
      <c r="B1351" t="str" cm="1">
        <f t="array" ref="B1351">_xlfn.IFS(A1351&gt;40,"Senior",A1351&gt;30,"Adult",A1351&gt;=18,"Teenager")</f>
        <v>Teenager</v>
      </c>
      <c r="C1351" t="s">
        <v>22</v>
      </c>
      <c r="D1351">
        <f t="shared" si="21"/>
        <v>0</v>
      </c>
      <c r="E1351" t="s">
        <v>23</v>
      </c>
      <c r="F1351">
        <v>2</v>
      </c>
      <c r="G1351" t="s">
        <v>20</v>
      </c>
      <c r="H1351">
        <v>2</v>
      </c>
      <c r="I1351">
        <v>1</v>
      </c>
      <c r="J1351" t="s">
        <v>25</v>
      </c>
      <c r="K1351">
        <v>3</v>
      </c>
      <c r="L1351">
        <v>2933</v>
      </c>
      <c r="M1351" t="str" cm="1">
        <f t="array" ref="M1351">_xlfn.IFS(L1351&lt;= 7000,"Low",L1351&lt;=15000,"Medium",L1351&lt;=20000,"High")</f>
        <v>Low</v>
      </c>
      <c r="N1351" t="s">
        <v>18</v>
      </c>
      <c r="O1351">
        <v>13</v>
      </c>
      <c r="P1351">
        <v>3</v>
      </c>
      <c r="Q1351">
        <v>3</v>
      </c>
      <c r="R1351">
        <v>1</v>
      </c>
      <c r="S1351">
        <v>2</v>
      </c>
      <c r="T1351">
        <v>1</v>
      </c>
      <c r="U1351">
        <v>0</v>
      </c>
    </row>
    <row r="1352" spans="1:21" x14ac:dyDescent="0.35">
      <c r="A1352">
        <v>27</v>
      </c>
      <c r="B1352" t="str" cm="1">
        <f t="array" ref="B1352">_xlfn.IFS(A1352&gt;40,"Senior",A1352&gt;30,"Adult",A1352&gt;=18,"Teenager")</f>
        <v>Teenager</v>
      </c>
      <c r="C1352" t="s">
        <v>22</v>
      </c>
      <c r="D1352">
        <f t="shared" si="21"/>
        <v>0</v>
      </c>
      <c r="E1352" t="s">
        <v>19</v>
      </c>
      <c r="F1352">
        <v>1</v>
      </c>
      <c r="G1352" t="s">
        <v>20</v>
      </c>
      <c r="H1352">
        <v>4</v>
      </c>
      <c r="I1352">
        <v>2</v>
      </c>
      <c r="J1352" t="s">
        <v>21</v>
      </c>
      <c r="K1352">
        <v>3</v>
      </c>
      <c r="L1352">
        <v>6500</v>
      </c>
      <c r="M1352" t="str" cm="1">
        <f t="array" ref="M1352">_xlfn.IFS(L1352&lt;= 7000,"Low",L1352&lt;=15000,"Medium",L1352&lt;=20000,"High")</f>
        <v>Low</v>
      </c>
      <c r="N1352" t="s">
        <v>22</v>
      </c>
      <c r="O1352">
        <v>14</v>
      </c>
      <c r="P1352">
        <v>3</v>
      </c>
      <c r="Q1352">
        <v>2</v>
      </c>
      <c r="R1352">
        <v>9</v>
      </c>
      <c r="S1352">
        <v>2</v>
      </c>
      <c r="T1352">
        <v>8</v>
      </c>
      <c r="U1352">
        <v>7</v>
      </c>
    </row>
    <row r="1353" spans="1:21" x14ac:dyDescent="0.35">
      <c r="A1353">
        <v>48</v>
      </c>
      <c r="B1353" t="str" cm="1">
        <f t="array" ref="B1353">_xlfn.IFS(A1353&gt;40,"Senior",A1353&gt;30,"Adult",A1353&gt;=18,"Teenager")</f>
        <v>Senior</v>
      </c>
      <c r="C1353" t="s">
        <v>22</v>
      </c>
      <c r="D1353">
        <f t="shared" si="21"/>
        <v>0</v>
      </c>
      <c r="E1353" t="s">
        <v>23</v>
      </c>
      <c r="F1353">
        <v>4</v>
      </c>
      <c r="G1353" t="s">
        <v>20</v>
      </c>
      <c r="H1353">
        <v>3</v>
      </c>
      <c r="I1353">
        <v>4</v>
      </c>
      <c r="J1353" t="s">
        <v>29</v>
      </c>
      <c r="K1353">
        <v>4</v>
      </c>
      <c r="L1353">
        <v>17174</v>
      </c>
      <c r="M1353" t="str" cm="1">
        <f t="array" ref="M1353">_xlfn.IFS(L1353&lt;= 7000,"Low",L1353&lt;=15000,"Medium",L1353&lt;=20000,"High")</f>
        <v>High</v>
      </c>
      <c r="N1353" t="s">
        <v>22</v>
      </c>
      <c r="O1353">
        <v>11</v>
      </c>
      <c r="P1353">
        <v>3</v>
      </c>
      <c r="Q1353">
        <v>2</v>
      </c>
      <c r="R1353">
        <v>24</v>
      </c>
      <c r="S1353">
        <v>3</v>
      </c>
      <c r="T1353">
        <v>22</v>
      </c>
      <c r="U1353">
        <v>17</v>
      </c>
    </row>
    <row r="1354" spans="1:21" x14ac:dyDescent="0.35">
      <c r="A1354">
        <v>44</v>
      </c>
      <c r="B1354" t="str" cm="1">
        <f t="array" ref="B1354">_xlfn.IFS(A1354&gt;40,"Senior",A1354&gt;30,"Adult",A1354&gt;=18,"Teenager")</f>
        <v>Senior</v>
      </c>
      <c r="C1354" t="s">
        <v>22</v>
      </c>
      <c r="D1354">
        <f t="shared" si="21"/>
        <v>0</v>
      </c>
      <c r="E1354" t="s">
        <v>23</v>
      </c>
      <c r="F1354">
        <v>2</v>
      </c>
      <c r="G1354" t="s">
        <v>24</v>
      </c>
      <c r="H1354">
        <v>4</v>
      </c>
      <c r="I1354">
        <v>2</v>
      </c>
      <c r="J1354" t="s">
        <v>28</v>
      </c>
      <c r="K1354">
        <v>1</v>
      </c>
      <c r="L1354">
        <v>5033</v>
      </c>
      <c r="M1354" t="str" cm="1">
        <f t="array" ref="M1354">_xlfn.IFS(L1354&lt;= 7000,"Low",L1354&lt;=15000,"Medium",L1354&lt;=20000,"High")</f>
        <v>Low</v>
      </c>
      <c r="N1354" t="s">
        <v>22</v>
      </c>
      <c r="O1354">
        <v>15</v>
      </c>
      <c r="P1354">
        <v>3</v>
      </c>
      <c r="Q1354">
        <v>4</v>
      </c>
      <c r="R1354">
        <v>10</v>
      </c>
      <c r="S1354">
        <v>3</v>
      </c>
      <c r="T1354">
        <v>2</v>
      </c>
      <c r="U1354">
        <v>0</v>
      </c>
    </row>
    <row r="1355" spans="1:21" x14ac:dyDescent="0.35">
      <c r="A1355">
        <v>34</v>
      </c>
      <c r="B1355" t="str" cm="1">
        <f t="array" ref="B1355">_xlfn.IFS(A1355&gt;40,"Senior",A1355&gt;30,"Adult",A1355&gt;=18,"Teenager")</f>
        <v>Adult</v>
      </c>
      <c r="C1355" t="s">
        <v>18</v>
      </c>
      <c r="D1355">
        <f t="shared" si="21"/>
        <v>1</v>
      </c>
      <c r="E1355" t="s">
        <v>23</v>
      </c>
      <c r="F1355">
        <v>4</v>
      </c>
      <c r="G1355" t="s">
        <v>24</v>
      </c>
      <c r="H1355">
        <v>1</v>
      </c>
      <c r="I1355">
        <v>1</v>
      </c>
      <c r="J1355" t="s">
        <v>25</v>
      </c>
      <c r="K1355">
        <v>1</v>
      </c>
      <c r="L1355">
        <v>2307</v>
      </c>
      <c r="M1355" t="str" cm="1">
        <f t="array" ref="M1355">_xlfn.IFS(L1355&lt;= 7000,"Low",L1355&lt;=15000,"Medium",L1355&lt;=20000,"High")</f>
        <v>Low</v>
      </c>
      <c r="N1355" t="s">
        <v>18</v>
      </c>
      <c r="O1355">
        <v>23</v>
      </c>
      <c r="P1355">
        <v>4</v>
      </c>
      <c r="Q1355">
        <v>2</v>
      </c>
      <c r="R1355">
        <v>5</v>
      </c>
      <c r="S1355">
        <v>3</v>
      </c>
      <c r="T1355">
        <v>5</v>
      </c>
      <c r="U1355">
        <v>2</v>
      </c>
    </row>
    <row r="1356" spans="1:21" x14ac:dyDescent="0.35">
      <c r="A1356">
        <v>56</v>
      </c>
      <c r="B1356" t="str" cm="1">
        <f t="array" ref="B1356">_xlfn.IFS(A1356&gt;40,"Senior",A1356&gt;30,"Adult",A1356&gt;=18,"Teenager")</f>
        <v>Senior</v>
      </c>
      <c r="C1356" t="s">
        <v>18</v>
      </c>
      <c r="D1356">
        <f t="shared" si="21"/>
        <v>1</v>
      </c>
      <c r="E1356" t="s">
        <v>23</v>
      </c>
      <c r="F1356">
        <v>1</v>
      </c>
      <c r="G1356" t="s">
        <v>24</v>
      </c>
      <c r="H1356">
        <v>3</v>
      </c>
      <c r="I1356">
        <v>1</v>
      </c>
      <c r="J1356" t="s">
        <v>26</v>
      </c>
      <c r="K1356">
        <v>4</v>
      </c>
      <c r="L1356">
        <v>2587</v>
      </c>
      <c r="M1356" t="str" cm="1">
        <f t="array" ref="M1356">_xlfn.IFS(L1356&lt;= 7000,"Low",L1356&lt;=15000,"Medium",L1356&lt;=20000,"High")</f>
        <v>Low</v>
      </c>
      <c r="N1356" t="s">
        <v>22</v>
      </c>
      <c r="O1356">
        <v>16</v>
      </c>
      <c r="P1356">
        <v>3</v>
      </c>
      <c r="Q1356">
        <v>4</v>
      </c>
      <c r="R1356">
        <v>5</v>
      </c>
      <c r="S1356">
        <v>3</v>
      </c>
      <c r="T1356">
        <v>4</v>
      </c>
      <c r="U1356">
        <v>2</v>
      </c>
    </row>
    <row r="1357" spans="1:21" x14ac:dyDescent="0.35">
      <c r="A1357">
        <v>36</v>
      </c>
      <c r="B1357" t="str" cm="1">
        <f t="array" ref="B1357">_xlfn.IFS(A1357&gt;40,"Senior",A1357&gt;30,"Adult",A1357&gt;=18,"Teenager")</f>
        <v>Adult</v>
      </c>
      <c r="C1357" t="s">
        <v>22</v>
      </c>
      <c r="D1357">
        <f t="shared" si="21"/>
        <v>0</v>
      </c>
      <c r="E1357" t="s">
        <v>19</v>
      </c>
      <c r="F1357">
        <v>3</v>
      </c>
      <c r="G1357" t="s">
        <v>24</v>
      </c>
      <c r="H1357">
        <v>2</v>
      </c>
      <c r="I1357">
        <v>2</v>
      </c>
      <c r="J1357" t="s">
        <v>21</v>
      </c>
      <c r="K1357">
        <v>2</v>
      </c>
      <c r="L1357">
        <v>5507</v>
      </c>
      <c r="M1357" t="str" cm="1">
        <f t="array" ref="M1357">_xlfn.IFS(L1357&lt;= 7000,"Low",L1357&lt;=15000,"Medium",L1357&lt;=20000,"High")</f>
        <v>Low</v>
      </c>
      <c r="N1357" t="s">
        <v>22</v>
      </c>
      <c r="O1357">
        <v>16</v>
      </c>
      <c r="P1357">
        <v>3</v>
      </c>
      <c r="Q1357">
        <v>3</v>
      </c>
      <c r="R1357">
        <v>12</v>
      </c>
      <c r="S1357">
        <v>1</v>
      </c>
      <c r="T1357">
        <v>4</v>
      </c>
      <c r="U1357">
        <v>2</v>
      </c>
    </row>
    <row r="1358" spans="1:21" x14ac:dyDescent="0.35">
      <c r="A1358">
        <v>41</v>
      </c>
      <c r="B1358" t="str" cm="1">
        <f t="array" ref="B1358">_xlfn.IFS(A1358&gt;40,"Senior",A1358&gt;30,"Adult",A1358&gt;=18,"Teenager")</f>
        <v>Senior</v>
      </c>
      <c r="C1358" t="s">
        <v>22</v>
      </c>
      <c r="D1358">
        <f t="shared" si="21"/>
        <v>0</v>
      </c>
      <c r="E1358" t="s">
        <v>19</v>
      </c>
      <c r="F1358">
        <v>3</v>
      </c>
      <c r="G1358" t="s">
        <v>20</v>
      </c>
      <c r="H1358">
        <v>3</v>
      </c>
      <c r="I1358">
        <v>2</v>
      </c>
      <c r="J1358" t="s">
        <v>21</v>
      </c>
      <c r="K1358">
        <v>2</v>
      </c>
      <c r="L1358">
        <v>4393</v>
      </c>
      <c r="M1358" t="str" cm="1">
        <f t="array" ref="M1358">_xlfn.IFS(L1358&lt;= 7000,"Low",L1358&lt;=15000,"Medium",L1358&lt;=20000,"High")</f>
        <v>Low</v>
      </c>
      <c r="N1358" t="s">
        <v>22</v>
      </c>
      <c r="O1358">
        <v>21</v>
      </c>
      <c r="P1358">
        <v>4</v>
      </c>
      <c r="Q1358">
        <v>3</v>
      </c>
      <c r="R1358">
        <v>14</v>
      </c>
      <c r="S1358">
        <v>3</v>
      </c>
      <c r="T1358">
        <v>5</v>
      </c>
      <c r="U1358">
        <v>4</v>
      </c>
    </row>
    <row r="1359" spans="1:21" x14ac:dyDescent="0.35">
      <c r="A1359">
        <v>42</v>
      </c>
      <c r="B1359" t="str" cm="1">
        <f t="array" ref="B1359">_xlfn.IFS(A1359&gt;40,"Senior",A1359&gt;30,"Adult",A1359&gt;=18,"Teenager")</f>
        <v>Senior</v>
      </c>
      <c r="C1359" t="s">
        <v>22</v>
      </c>
      <c r="D1359">
        <f t="shared" si="21"/>
        <v>0</v>
      </c>
      <c r="E1359" t="s">
        <v>23</v>
      </c>
      <c r="F1359">
        <v>3</v>
      </c>
      <c r="G1359" t="s">
        <v>24</v>
      </c>
      <c r="H1359">
        <v>3</v>
      </c>
      <c r="I1359">
        <v>3</v>
      </c>
      <c r="J1359" t="s">
        <v>31</v>
      </c>
      <c r="K1359">
        <v>1</v>
      </c>
      <c r="L1359">
        <v>13348</v>
      </c>
      <c r="M1359" t="str" cm="1">
        <f t="array" ref="M1359">_xlfn.IFS(L1359&lt;= 7000,"Low",L1359&lt;=15000,"Medium",L1359&lt;=20000,"High")</f>
        <v>Medium</v>
      </c>
      <c r="N1359" t="s">
        <v>22</v>
      </c>
      <c r="O1359">
        <v>13</v>
      </c>
      <c r="P1359">
        <v>3</v>
      </c>
      <c r="Q1359">
        <v>2</v>
      </c>
      <c r="R1359">
        <v>18</v>
      </c>
      <c r="S1359">
        <v>4</v>
      </c>
      <c r="T1359">
        <v>13</v>
      </c>
      <c r="U1359">
        <v>7</v>
      </c>
    </row>
    <row r="1360" spans="1:21" x14ac:dyDescent="0.35">
      <c r="A1360">
        <v>31</v>
      </c>
      <c r="B1360" t="str" cm="1">
        <f t="array" ref="B1360">_xlfn.IFS(A1360&gt;40,"Senior",A1360&gt;30,"Adult",A1360&gt;=18,"Teenager")</f>
        <v>Adult</v>
      </c>
      <c r="C1360" t="s">
        <v>22</v>
      </c>
      <c r="D1360">
        <f t="shared" si="21"/>
        <v>0</v>
      </c>
      <c r="E1360" t="s">
        <v>19</v>
      </c>
      <c r="F1360">
        <v>3</v>
      </c>
      <c r="G1360" t="s">
        <v>20</v>
      </c>
      <c r="H1360">
        <v>3</v>
      </c>
      <c r="I1360">
        <v>2</v>
      </c>
      <c r="J1360" t="s">
        <v>21</v>
      </c>
      <c r="K1360">
        <v>4</v>
      </c>
      <c r="L1360">
        <v>6583</v>
      </c>
      <c r="M1360" t="str" cm="1">
        <f t="array" ref="M1360">_xlfn.IFS(L1360&lt;= 7000,"Low",L1360&lt;=15000,"Medium",L1360&lt;=20000,"High")</f>
        <v>Low</v>
      </c>
      <c r="N1360" t="s">
        <v>18</v>
      </c>
      <c r="O1360">
        <v>11</v>
      </c>
      <c r="P1360">
        <v>3</v>
      </c>
      <c r="Q1360">
        <v>4</v>
      </c>
      <c r="R1360">
        <v>8</v>
      </c>
      <c r="S1360">
        <v>3</v>
      </c>
      <c r="T1360">
        <v>5</v>
      </c>
      <c r="U1360">
        <v>2</v>
      </c>
    </row>
    <row r="1361" spans="1:21" x14ac:dyDescent="0.35">
      <c r="A1361">
        <v>34</v>
      </c>
      <c r="B1361" t="str" cm="1">
        <f t="array" ref="B1361">_xlfn.IFS(A1361&gt;40,"Senior",A1361&gt;30,"Adult",A1361&gt;=18,"Teenager")</f>
        <v>Adult</v>
      </c>
      <c r="C1361" t="s">
        <v>22</v>
      </c>
      <c r="D1361">
        <f t="shared" si="21"/>
        <v>0</v>
      </c>
      <c r="E1361" t="s">
        <v>19</v>
      </c>
      <c r="F1361">
        <v>4</v>
      </c>
      <c r="G1361" t="s">
        <v>20</v>
      </c>
      <c r="H1361">
        <v>2</v>
      </c>
      <c r="I1361">
        <v>2</v>
      </c>
      <c r="J1361" t="s">
        <v>21</v>
      </c>
      <c r="K1361">
        <v>4</v>
      </c>
      <c r="L1361">
        <v>8103</v>
      </c>
      <c r="M1361" t="str" cm="1">
        <f t="array" ref="M1361">_xlfn.IFS(L1361&lt;= 7000,"Low",L1361&lt;=15000,"Medium",L1361&lt;=20000,"High")</f>
        <v>Medium</v>
      </c>
      <c r="N1361" t="s">
        <v>18</v>
      </c>
      <c r="O1361">
        <v>12</v>
      </c>
      <c r="P1361">
        <v>3</v>
      </c>
      <c r="Q1361">
        <v>3</v>
      </c>
      <c r="R1361">
        <v>9</v>
      </c>
      <c r="S1361">
        <v>2</v>
      </c>
      <c r="T1361">
        <v>4</v>
      </c>
      <c r="U1361">
        <v>2</v>
      </c>
    </row>
    <row r="1362" spans="1:21" x14ac:dyDescent="0.35">
      <c r="A1362">
        <v>31</v>
      </c>
      <c r="B1362" t="str" cm="1">
        <f t="array" ref="B1362">_xlfn.IFS(A1362&gt;40,"Senior",A1362&gt;30,"Adult",A1362&gt;=18,"Teenager")</f>
        <v>Adult</v>
      </c>
      <c r="C1362" t="s">
        <v>22</v>
      </c>
      <c r="D1362">
        <f t="shared" si="21"/>
        <v>0</v>
      </c>
      <c r="E1362" t="s">
        <v>23</v>
      </c>
      <c r="F1362">
        <v>1</v>
      </c>
      <c r="G1362" t="s">
        <v>20</v>
      </c>
      <c r="H1362">
        <v>4</v>
      </c>
      <c r="I1362">
        <v>1</v>
      </c>
      <c r="J1362" t="s">
        <v>26</v>
      </c>
      <c r="K1362">
        <v>3</v>
      </c>
      <c r="L1362">
        <v>3978</v>
      </c>
      <c r="M1362" t="str" cm="1">
        <f t="array" ref="M1362">_xlfn.IFS(L1362&lt;= 7000,"Low",L1362&lt;=15000,"Medium",L1362&lt;=20000,"High")</f>
        <v>Low</v>
      </c>
      <c r="N1362" t="s">
        <v>22</v>
      </c>
      <c r="O1362">
        <v>12</v>
      </c>
      <c r="P1362">
        <v>3</v>
      </c>
      <c r="Q1362">
        <v>2</v>
      </c>
      <c r="R1362">
        <v>4</v>
      </c>
      <c r="S1362">
        <v>2</v>
      </c>
      <c r="T1362">
        <v>2</v>
      </c>
      <c r="U1362">
        <v>2</v>
      </c>
    </row>
    <row r="1363" spans="1:21" x14ac:dyDescent="0.35">
      <c r="A1363">
        <v>26</v>
      </c>
      <c r="B1363" t="str" cm="1">
        <f t="array" ref="B1363">_xlfn.IFS(A1363&gt;40,"Senior",A1363&gt;30,"Adult",A1363&gt;=18,"Teenager")</f>
        <v>Teenager</v>
      </c>
      <c r="C1363" t="s">
        <v>22</v>
      </c>
      <c r="D1363">
        <f t="shared" si="21"/>
        <v>0</v>
      </c>
      <c r="E1363" t="s">
        <v>23</v>
      </c>
      <c r="F1363">
        <v>3</v>
      </c>
      <c r="G1363" t="s">
        <v>24</v>
      </c>
      <c r="H1363">
        <v>4</v>
      </c>
      <c r="I1363">
        <v>1</v>
      </c>
      <c r="J1363" t="s">
        <v>26</v>
      </c>
      <c r="K1363">
        <v>4</v>
      </c>
      <c r="L1363">
        <v>2544</v>
      </c>
      <c r="M1363" t="str" cm="1">
        <f t="array" ref="M1363">_xlfn.IFS(L1363&lt;= 7000,"Low",L1363&lt;=15000,"Medium",L1363&lt;=20000,"High")</f>
        <v>Low</v>
      </c>
      <c r="N1363" t="s">
        <v>22</v>
      </c>
      <c r="O1363">
        <v>18</v>
      </c>
      <c r="P1363">
        <v>3</v>
      </c>
      <c r="Q1363">
        <v>1</v>
      </c>
      <c r="R1363">
        <v>8</v>
      </c>
      <c r="S1363">
        <v>3</v>
      </c>
      <c r="T1363">
        <v>7</v>
      </c>
      <c r="U1363">
        <v>7</v>
      </c>
    </row>
    <row r="1364" spans="1:21" x14ac:dyDescent="0.35">
      <c r="A1364">
        <v>45</v>
      </c>
      <c r="B1364" t="str" cm="1">
        <f t="array" ref="B1364">_xlfn.IFS(A1364&gt;40,"Senior",A1364&gt;30,"Adult",A1364&gt;=18,"Teenager")</f>
        <v>Senior</v>
      </c>
      <c r="C1364" t="s">
        <v>22</v>
      </c>
      <c r="D1364">
        <f t="shared" si="21"/>
        <v>0</v>
      </c>
      <c r="E1364" t="s">
        <v>23</v>
      </c>
      <c r="F1364">
        <v>2</v>
      </c>
      <c r="G1364" t="s">
        <v>24</v>
      </c>
      <c r="H1364">
        <v>3</v>
      </c>
      <c r="I1364">
        <v>2</v>
      </c>
      <c r="J1364" t="s">
        <v>28</v>
      </c>
      <c r="K1364">
        <v>3</v>
      </c>
      <c r="L1364">
        <v>5399</v>
      </c>
      <c r="M1364" t="str" cm="1">
        <f t="array" ref="M1364">_xlfn.IFS(L1364&lt;= 7000,"Low",L1364&lt;=15000,"Medium",L1364&lt;=20000,"High")</f>
        <v>Low</v>
      </c>
      <c r="N1364" t="s">
        <v>22</v>
      </c>
      <c r="O1364">
        <v>12</v>
      </c>
      <c r="P1364">
        <v>3</v>
      </c>
      <c r="Q1364">
        <v>3</v>
      </c>
      <c r="R1364">
        <v>12</v>
      </c>
      <c r="S1364">
        <v>3</v>
      </c>
      <c r="T1364">
        <v>4</v>
      </c>
      <c r="U1364">
        <v>2</v>
      </c>
    </row>
    <row r="1365" spans="1:21" x14ac:dyDescent="0.35">
      <c r="A1365">
        <v>33</v>
      </c>
      <c r="B1365" t="str" cm="1">
        <f t="array" ref="B1365">_xlfn.IFS(A1365&gt;40,"Senior",A1365&gt;30,"Adult",A1365&gt;=18,"Teenager")</f>
        <v>Adult</v>
      </c>
      <c r="C1365" t="s">
        <v>22</v>
      </c>
      <c r="D1365">
        <f t="shared" si="21"/>
        <v>0</v>
      </c>
      <c r="E1365" t="s">
        <v>19</v>
      </c>
      <c r="F1365">
        <v>2</v>
      </c>
      <c r="G1365" t="s">
        <v>24</v>
      </c>
      <c r="H1365">
        <v>3</v>
      </c>
      <c r="I1365">
        <v>2</v>
      </c>
      <c r="J1365" t="s">
        <v>21</v>
      </c>
      <c r="K1365">
        <v>3</v>
      </c>
      <c r="L1365">
        <v>5487</v>
      </c>
      <c r="M1365" t="str" cm="1">
        <f t="array" ref="M1365">_xlfn.IFS(L1365&lt;= 7000,"Low",L1365&lt;=15000,"Medium",L1365&lt;=20000,"High")</f>
        <v>Low</v>
      </c>
      <c r="N1365" t="s">
        <v>22</v>
      </c>
      <c r="O1365">
        <v>14</v>
      </c>
      <c r="P1365">
        <v>3</v>
      </c>
      <c r="Q1365">
        <v>2</v>
      </c>
      <c r="R1365">
        <v>10</v>
      </c>
      <c r="S1365">
        <v>2</v>
      </c>
      <c r="T1365">
        <v>10</v>
      </c>
      <c r="U1365">
        <v>4</v>
      </c>
    </row>
    <row r="1366" spans="1:21" x14ac:dyDescent="0.35">
      <c r="A1366">
        <v>28</v>
      </c>
      <c r="B1366" t="str" cm="1">
        <f t="array" ref="B1366">_xlfn.IFS(A1366&gt;40,"Senior",A1366&gt;30,"Adult",A1366&gt;=18,"Teenager")</f>
        <v>Teenager</v>
      </c>
      <c r="C1366" t="s">
        <v>22</v>
      </c>
      <c r="D1366">
        <f t="shared" si="21"/>
        <v>0</v>
      </c>
      <c r="E1366" t="s">
        <v>19</v>
      </c>
      <c r="F1366">
        <v>3</v>
      </c>
      <c r="G1366" t="s">
        <v>24</v>
      </c>
      <c r="H1366">
        <v>2</v>
      </c>
      <c r="I1366">
        <v>2</v>
      </c>
      <c r="J1366" t="s">
        <v>21</v>
      </c>
      <c r="K1366">
        <v>4</v>
      </c>
      <c r="L1366">
        <v>6834</v>
      </c>
      <c r="M1366" t="str" cm="1">
        <f t="array" ref="M1366">_xlfn.IFS(L1366&lt;= 7000,"Low",L1366&lt;=15000,"Medium",L1366&lt;=20000,"High")</f>
        <v>Low</v>
      </c>
      <c r="N1366" t="s">
        <v>18</v>
      </c>
      <c r="O1366">
        <v>12</v>
      </c>
      <c r="P1366">
        <v>3</v>
      </c>
      <c r="Q1366">
        <v>3</v>
      </c>
      <c r="R1366">
        <v>7</v>
      </c>
      <c r="S1366">
        <v>3</v>
      </c>
      <c r="T1366">
        <v>7</v>
      </c>
      <c r="U1366">
        <v>7</v>
      </c>
    </row>
    <row r="1367" spans="1:21" x14ac:dyDescent="0.35">
      <c r="A1367">
        <v>29</v>
      </c>
      <c r="B1367" t="str" cm="1">
        <f t="array" ref="B1367">_xlfn.IFS(A1367&gt;40,"Senior",A1367&gt;30,"Adult",A1367&gt;=18,"Teenager")</f>
        <v>Teenager</v>
      </c>
      <c r="C1367" t="s">
        <v>18</v>
      </c>
      <c r="D1367">
        <f t="shared" si="21"/>
        <v>1</v>
      </c>
      <c r="E1367" t="s">
        <v>19</v>
      </c>
      <c r="F1367">
        <v>3</v>
      </c>
      <c r="G1367" t="s">
        <v>24</v>
      </c>
      <c r="H1367">
        <v>4</v>
      </c>
      <c r="I1367">
        <v>1</v>
      </c>
      <c r="J1367" t="s">
        <v>30</v>
      </c>
      <c r="K1367">
        <v>1</v>
      </c>
      <c r="L1367">
        <v>1091</v>
      </c>
      <c r="M1367" t="str" cm="1">
        <f t="array" ref="M1367">_xlfn.IFS(L1367&lt;= 7000,"Low",L1367&lt;=15000,"Medium",L1367&lt;=20000,"High")</f>
        <v>Low</v>
      </c>
      <c r="N1367" t="s">
        <v>22</v>
      </c>
      <c r="O1367">
        <v>17</v>
      </c>
      <c r="P1367">
        <v>3</v>
      </c>
      <c r="Q1367">
        <v>4</v>
      </c>
      <c r="R1367">
        <v>1</v>
      </c>
      <c r="S1367">
        <v>3</v>
      </c>
      <c r="T1367">
        <v>1</v>
      </c>
      <c r="U1367">
        <v>0</v>
      </c>
    </row>
    <row r="1368" spans="1:21" x14ac:dyDescent="0.35">
      <c r="A1368">
        <v>39</v>
      </c>
      <c r="B1368" t="str" cm="1">
        <f t="array" ref="B1368">_xlfn.IFS(A1368&gt;40,"Senior",A1368&gt;30,"Adult",A1368&gt;=18,"Teenager")</f>
        <v>Adult</v>
      </c>
      <c r="C1368" t="s">
        <v>22</v>
      </c>
      <c r="D1368">
        <f t="shared" si="21"/>
        <v>0</v>
      </c>
      <c r="E1368" t="s">
        <v>19</v>
      </c>
      <c r="F1368">
        <v>1</v>
      </c>
      <c r="G1368" t="s">
        <v>20</v>
      </c>
      <c r="H1368">
        <v>1</v>
      </c>
      <c r="I1368">
        <v>2</v>
      </c>
      <c r="J1368" t="s">
        <v>21</v>
      </c>
      <c r="K1368">
        <v>3</v>
      </c>
      <c r="L1368">
        <v>5736</v>
      </c>
      <c r="M1368" t="str" cm="1">
        <f t="array" ref="M1368">_xlfn.IFS(L1368&lt;= 7000,"Low",L1368&lt;=15000,"Medium",L1368&lt;=20000,"High")</f>
        <v>Low</v>
      </c>
      <c r="N1368" t="s">
        <v>22</v>
      </c>
      <c r="O1368">
        <v>19</v>
      </c>
      <c r="P1368">
        <v>3</v>
      </c>
      <c r="Q1368">
        <v>3</v>
      </c>
      <c r="R1368">
        <v>10</v>
      </c>
      <c r="S1368">
        <v>3</v>
      </c>
      <c r="T1368">
        <v>3</v>
      </c>
      <c r="U1368">
        <v>2</v>
      </c>
    </row>
    <row r="1369" spans="1:21" x14ac:dyDescent="0.35">
      <c r="A1369">
        <v>27</v>
      </c>
      <c r="B1369" t="str" cm="1">
        <f t="array" ref="B1369">_xlfn.IFS(A1369&gt;40,"Senior",A1369&gt;30,"Adult",A1369&gt;=18,"Teenager")</f>
        <v>Teenager</v>
      </c>
      <c r="C1369" t="s">
        <v>22</v>
      </c>
      <c r="D1369">
        <f t="shared" si="21"/>
        <v>0</v>
      </c>
      <c r="E1369" t="s">
        <v>23</v>
      </c>
      <c r="F1369">
        <v>2</v>
      </c>
      <c r="G1369" t="s">
        <v>24</v>
      </c>
      <c r="H1369">
        <v>3</v>
      </c>
      <c r="I1369">
        <v>1</v>
      </c>
      <c r="J1369" t="s">
        <v>25</v>
      </c>
      <c r="K1369">
        <v>2</v>
      </c>
      <c r="L1369">
        <v>2226</v>
      </c>
      <c r="M1369" t="str" cm="1">
        <f t="array" ref="M1369">_xlfn.IFS(L1369&lt;= 7000,"Low",L1369&lt;=15000,"Medium",L1369&lt;=20000,"High")</f>
        <v>Low</v>
      </c>
      <c r="N1369" t="s">
        <v>22</v>
      </c>
      <c r="O1369">
        <v>11</v>
      </c>
      <c r="P1369">
        <v>3</v>
      </c>
      <c r="Q1369">
        <v>3</v>
      </c>
      <c r="R1369">
        <v>6</v>
      </c>
      <c r="S1369">
        <v>2</v>
      </c>
      <c r="T1369">
        <v>5</v>
      </c>
      <c r="U1369">
        <v>3</v>
      </c>
    </row>
    <row r="1370" spans="1:21" x14ac:dyDescent="0.35">
      <c r="A1370">
        <v>34</v>
      </c>
      <c r="B1370" t="str" cm="1">
        <f t="array" ref="B1370">_xlfn.IFS(A1370&gt;40,"Senior",A1370&gt;30,"Adult",A1370&gt;=18,"Teenager")</f>
        <v>Adult</v>
      </c>
      <c r="C1370" t="s">
        <v>22</v>
      </c>
      <c r="D1370">
        <f t="shared" si="21"/>
        <v>0</v>
      </c>
      <c r="E1370" t="s">
        <v>23</v>
      </c>
      <c r="F1370">
        <v>3</v>
      </c>
      <c r="G1370" t="s">
        <v>24</v>
      </c>
      <c r="H1370">
        <v>2</v>
      </c>
      <c r="I1370">
        <v>2</v>
      </c>
      <c r="J1370" t="s">
        <v>25</v>
      </c>
      <c r="K1370">
        <v>4</v>
      </c>
      <c r="L1370">
        <v>5747</v>
      </c>
      <c r="M1370" t="str" cm="1">
        <f t="array" ref="M1370">_xlfn.IFS(L1370&lt;= 7000,"Low",L1370&lt;=15000,"Medium",L1370&lt;=20000,"High")</f>
        <v>Low</v>
      </c>
      <c r="N1370" t="s">
        <v>18</v>
      </c>
      <c r="O1370">
        <v>15</v>
      </c>
      <c r="P1370">
        <v>3</v>
      </c>
      <c r="Q1370">
        <v>2</v>
      </c>
      <c r="R1370">
        <v>16</v>
      </c>
      <c r="S1370">
        <v>3</v>
      </c>
      <c r="T1370">
        <v>15</v>
      </c>
      <c r="U1370">
        <v>10</v>
      </c>
    </row>
    <row r="1371" spans="1:21" x14ac:dyDescent="0.35">
      <c r="A1371">
        <v>28</v>
      </c>
      <c r="B1371" t="str" cm="1">
        <f t="array" ref="B1371">_xlfn.IFS(A1371&gt;40,"Senior",A1371&gt;30,"Adult",A1371&gt;=18,"Teenager")</f>
        <v>Teenager</v>
      </c>
      <c r="C1371" t="s">
        <v>18</v>
      </c>
      <c r="D1371">
        <f t="shared" si="21"/>
        <v>1</v>
      </c>
      <c r="E1371" t="s">
        <v>19</v>
      </c>
      <c r="F1371">
        <v>4</v>
      </c>
      <c r="G1371" t="s">
        <v>20</v>
      </c>
      <c r="H1371">
        <v>3</v>
      </c>
      <c r="I1371">
        <v>2</v>
      </c>
      <c r="J1371" t="s">
        <v>21</v>
      </c>
      <c r="K1371">
        <v>3</v>
      </c>
      <c r="L1371">
        <v>9854</v>
      </c>
      <c r="M1371" t="str" cm="1">
        <f t="array" ref="M1371">_xlfn.IFS(L1371&lt;= 7000,"Low",L1371&lt;=15000,"Medium",L1371&lt;=20000,"High")</f>
        <v>Medium</v>
      </c>
      <c r="N1371" t="s">
        <v>18</v>
      </c>
      <c r="O1371">
        <v>11</v>
      </c>
      <c r="P1371">
        <v>3</v>
      </c>
      <c r="Q1371">
        <v>4</v>
      </c>
      <c r="R1371">
        <v>6</v>
      </c>
      <c r="S1371">
        <v>3</v>
      </c>
      <c r="T1371">
        <v>2</v>
      </c>
      <c r="U1371">
        <v>0</v>
      </c>
    </row>
    <row r="1372" spans="1:21" x14ac:dyDescent="0.35">
      <c r="A1372">
        <v>47</v>
      </c>
      <c r="B1372" t="str" cm="1">
        <f t="array" ref="B1372">_xlfn.IFS(A1372&gt;40,"Senior",A1372&gt;30,"Adult",A1372&gt;=18,"Teenager")</f>
        <v>Senior</v>
      </c>
      <c r="C1372" t="s">
        <v>22</v>
      </c>
      <c r="D1372">
        <f t="shared" si="21"/>
        <v>0</v>
      </c>
      <c r="E1372" t="s">
        <v>23</v>
      </c>
      <c r="F1372">
        <v>3</v>
      </c>
      <c r="G1372" t="s">
        <v>24</v>
      </c>
      <c r="H1372">
        <v>3</v>
      </c>
      <c r="I1372">
        <v>2</v>
      </c>
      <c r="J1372" t="s">
        <v>25</v>
      </c>
      <c r="K1372">
        <v>2</v>
      </c>
      <c r="L1372">
        <v>5467</v>
      </c>
      <c r="M1372" t="str" cm="1">
        <f t="array" ref="M1372">_xlfn.IFS(L1372&lt;= 7000,"Low",L1372&lt;=15000,"Medium",L1372&lt;=20000,"High")</f>
        <v>Low</v>
      </c>
      <c r="N1372" t="s">
        <v>22</v>
      </c>
      <c r="O1372">
        <v>18</v>
      </c>
      <c r="P1372">
        <v>3</v>
      </c>
      <c r="Q1372">
        <v>3</v>
      </c>
      <c r="R1372">
        <v>16</v>
      </c>
      <c r="S1372">
        <v>4</v>
      </c>
      <c r="T1372">
        <v>8</v>
      </c>
      <c r="U1372">
        <v>7</v>
      </c>
    </row>
    <row r="1373" spans="1:21" x14ac:dyDescent="0.35">
      <c r="A1373">
        <v>56</v>
      </c>
      <c r="B1373" t="str" cm="1">
        <f t="array" ref="B1373">_xlfn.IFS(A1373&gt;40,"Senior",A1373&gt;30,"Adult",A1373&gt;=18,"Teenager")</f>
        <v>Senior</v>
      </c>
      <c r="C1373" t="s">
        <v>22</v>
      </c>
      <c r="D1373">
        <f t="shared" si="21"/>
        <v>0</v>
      </c>
      <c r="E1373" t="s">
        <v>19</v>
      </c>
      <c r="F1373">
        <v>4</v>
      </c>
      <c r="G1373" t="s">
        <v>20</v>
      </c>
      <c r="H1373">
        <v>2</v>
      </c>
      <c r="I1373">
        <v>2</v>
      </c>
      <c r="J1373" t="s">
        <v>21</v>
      </c>
      <c r="K1373">
        <v>1</v>
      </c>
      <c r="L1373">
        <v>5380</v>
      </c>
      <c r="M1373" t="str" cm="1">
        <f t="array" ref="M1373">_xlfn.IFS(L1373&lt;= 7000,"Low",L1373&lt;=15000,"Medium",L1373&lt;=20000,"High")</f>
        <v>Low</v>
      </c>
      <c r="N1373" t="s">
        <v>22</v>
      </c>
      <c r="O1373">
        <v>16</v>
      </c>
      <c r="P1373">
        <v>3</v>
      </c>
      <c r="Q1373">
        <v>3</v>
      </c>
      <c r="R1373">
        <v>6</v>
      </c>
      <c r="S1373">
        <v>3</v>
      </c>
      <c r="T1373">
        <v>0</v>
      </c>
      <c r="U1373">
        <v>0</v>
      </c>
    </row>
    <row r="1374" spans="1:21" x14ac:dyDescent="0.35">
      <c r="A1374">
        <v>39</v>
      </c>
      <c r="B1374" t="str" cm="1">
        <f t="array" ref="B1374">_xlfn.IFS(A1374&gt;40,"Senior",A1374&gt;30,"Adult",A1374&gt;=18,"Teenager")</f>
        <v>Adult</v>
      </c>
      <c r="C1374" t="s">
        <v>22</v>
      </c>
      <c r="D1374">
        <f t="shared" si="21"/>
        <v>0</v>
      </c>
      <c r="E1374" t="s">
        <v>23</v>
      </c>
      <c r="F1374">
        <v>1</v>
      </c>
      <c r="G1374" t="s">
        <v>24</v>
      </c>
      <c r="H1374">
        <v>3</v>
      </c>
      <c r="I1374">
        <v>2</v>
      </c>
      <c r="J1374" t="s">
        <v>27</v>
      </c>
      <c r="K1374">
        <v>1</v>
      </c>
      <c r="L1374">
        <v>5151</v>
      </c>
      <c r="M1374" t="str" cm="1">
        <f t="array" ref="M1374">_xlfn.IFS(L1374&lt;= 7000,"Low",L1374&lt;=15000,"Medium",L1374&lt;=20000,"High")</f>
        <v>Low</v>
      </c>
      <c r="N1374" t="s">
        <v>22</v>
      </c>
      <c r="O1374">
        <v>25</v>
      </c>
      <c r="P1374">
        <v>4</v>
      </c>
      <c r="Q1374">
        <v>4</v>
      </c>
      <c r="R1374">
        <v>10</v>
      </c>
      <c r="S1374">
        <v>3</v>
      </c>
      <c r="T1374">
        <v>10</v>
      </c>
      <c r="U1374">
        <v>0</v>
      </c>
    </row>
    <row r="1375" spans="1:21" x14ac:dyDescent="0.35">
      <c r="A1375">
        <v>38</v>
      </c>
      <c r="B1375" t="str" cm="1">
        <f t="array" ref="B1375">_xlfn.IFS(A1375&gt;40,"Senior",A1375&gt;30,"Adult",A1375&gt;=18,"Teenager")</f>
        <v>Adult</v>
      </c>
      <c r="C1375" t="s">
        <v>22</v>
      </c>
      <c r="D1375">
        <f t="shared" si="21"/>
        <v>0</v>
      </c>
      <c r="E1375" t="s">
        <v>23</v>
      </c>
      <c r="F1375">
        <v>4</v>
      </c>
      <c r="G1375" t="s">
        <v>20</v>
      </c>
      <c r="H1375">
        <v>2</v>
      </c>
      <c r="I1375">
        <v>2</v>
      </c>
      <c r="J1375" t="s">
        <v>25</v>
      </c>
      <c r="K1375">
        <v>2</v>
      </c>
      <c r="L1375">
        <v>2133</v>
      </c>
      <c r="M1375" t="str" cm="1">
        <f t="array" ref="M1375">_xlfn.IFS(L1375&lt;= 7000,"Low",L1375&lt;=15000,"Medium",L1375&lt;=20000,"High")</f>
        <v>Low</v>
      </c>
      <c r="N1375" t="s">
        <v>18</v>
      </c>
      <c r="O1375">
        <v>16</v>
      </c>
      <c r="P1375">
        <v>3</v>
      </c>
      <c r="Q1375">
        <v>3</v>
      </c>
      <c r="R1375">
        <v>20</v>
      </c>
      <c r="S1375">
        <v>3</v>
      </c>
      <c r="T1375">
        <v>20</v>
      </c>
      <c r="U1375">
        <v>11</v>
      </c>
    </row>
    <row r="1376" spans="1:21" x14ac:dyDescent="0.35">
      <c r="A1376">
        <v>58</v>
      </c>
      <c r="B1376" t="str" cm="1">
        <f t="array" ref="B1376">_xlfn.IFS(A1376&gt;40,"Senior",A1376&gt;30,"Adult",A1376&gt;=18,"Teenager")</f>
        <v>Senior</v>
      </c>
      <c r="C1376" t="s">
        <v>22</v>
      </c>
      <c r="D1376">
        <f t="shared" si="21"/>
        <v>0</v>
      </c>
      <c r="E1376" t="s">
        <v>19</v>
      </c>
      <c r="F1376">
        <v>4</v>
      </c>
      <c r="G1376" t="s">
        <v>20</v>
      </c>
      <c r="H1376">
        <v>3</v>
      </c>
      <c r="I1376">
        <v>4</v>
      </c>
      <c r="J1376" t="s">
        <v>29</v>
      </c>
      <c r="K1376">
        <v>4</v>
      </c>
      <c r="L1376">
        <v>17875</v>
      </c>
      <c r="M1376" t="str" cm="1">
        <f t="array" ref="M1376">_xlfn.IFS(L1376&lt;= 7000,"Low",L1376&lt;=15000,"Medium",L1376&lt;=20000,"High")</f>
        <v>High</v>
      </c>
      <c r="N1376" t="s">
        <v>18</v>
      </c>
      <c r="O1376">
        <v>13</v>
      </c>
      <c r="P1376">
        <v>3</v>
      </c>
      <c r="Q1376">
        <v>3</v>
      </c>
      <c r="R1376">
        <v>29</v>
      </c>
      <c r="S1376">
        <v>2</v>
      </c>
      <c r="T1376">
        <v>1</v>
      </c>
      <c r="U1376">
        <v>0</v>
      </c>
    </row>
    <row r="1377" spans="1:21" x14ac:dyDescent="0.35">
      <c r="A1377">
        <v>32</v>
      </c>
      <c r="B1377" t="str" cm="1">
        <f t="array" ref="B1377">_xlfn.IFS(A1377&gt;40,"Senior",A1377&gt;30,"Adult",A1377&gt;=18,"Teenager")</f>
        <v>Adult</v>
      </c>
      <c r="C1377" t="s">
        <v>18</v>
      </c>
      <c r="D1377">
        <f t="shared" si="21"/>
        <v>1</v>
      </c>
      <c r="E1377" t="s">
        <v>23</v>
      </c>
      <c r="F1377">
        <v>1</v>
      </c>
      <c r="G1377" t="s">
        <v>20</v>
      </c>
      <c r="H1377">
        <v>4</v>
      </c>
      <c r="I1377">
        <v>1</v>
      </c>
      <c r="J1377" t="s">
        <v>25</v>
      </c>
      <c r="K1377">
        <v>3</v>
      </c>
      <c r="L1377">
        <v>2432</v>
      </c>
      <c r="M1377" t="str" cm="1">
        <f t="array" ref="M1377">_xlfn.IFS(L1377&lt;= 7000,"Low",L1377&lt;=15000,"Medium",L1377&lt;=20000,"High")</f>
        <v>Low</v>
      </c>
      <c r="N1377" t="s">
        <v>18</v>
      </c>
      <c r="O1377">
        <v>14</v>
      </c>
      <c r="P1377">
        <v>3</v>
      </c>
      <c r="Q1377">
        <v>1</v>
      </c>
      <c r="R1377">
        <v>8</v>
      </c>
      <c r="S1377">
        <v>3</v>
      </c>
      <c r="T1377">
        <v>4</v>
      </c>
      <c r="U1377">
        <v>1</v>
      </c>
    </row>
    <row r="1378" spans="1:21" x14ac:dyDescent="0.35">
      <c r="A1378">
        <v>38</v>
      </c>
      <c r="B1378" t="str" cm="1">
        <f t="array" ref="B1378">_xlfn.IFS(A1378&gt;40,"Senior",A1378&gt;30,"Adult",A1378&gt;=18,"Teenager")</f>
        <v>Adult</v>
      </c>
      <c r="C1378" t="s">
        <v>22</v>
      </c>
      <c r="D1378">
        <f t="shared" si="21"/>
        <v>0</v>
      </c>
      <c r="E1378" t="s">
        <v>23</v>
      </c>
      <c r="F1378">
        <v>2</v>
      </c>
      <c r="G1378" t="s">
        <v>24</v>
      </c>
      <c r="H1378">
        <v>3</v>
      </c>
      <c r="I1378">
        <v>1</v>
      </c>
      <c r="J1378" t="s">
        <v>25</v>
      </c>
      <c r="K1378">
        <v>4</v>
      </c>
      <c r="L1378">
        <v>4771</v>
      </c>
      <c r="M1378" t="str" cm="1">
        <f t="array" ref="M1378">_xlfn.IFS(L1378&lt;= 7000,"Low",L1378&lt;=15000,"Medium",L1378&lt;=20000,"High")</f>
        <v>Low</v>
      </c>
      <c r="N1378" t="s">
        <v>22</v>
      </c>
      <c r="O1378">
        <v>19</v>
      </c>
      <c r="P1378">
        <v>3</v>
      </c>
      <c r="Q1378">
        <v>4</v>
      </c>
      <c r="R1378">
        <v>10</v>
      </c>
      <c r="S1378">
        <v>4</v>
      </c>
      <c r="T1378">
        <v>5</v>
      </c>
      <c r="U1378">
        <v>2</v>
      </c>
    </row>
    <row r="1379" spans="1:21" x14ac:dyDescent="0.35">
      <c r="A1379">
        <v>49</v>
      </c>
      <c r="B1379" t="str" cm="1">
        <f t="array" ref="B1379">_xlfn.IFS(A1379&gt;40,"Senior",A1379&gt;30,"Adult",A1379&gt;=18,"Teenager")</f>
        <v>Senior</v>
      </c>
      <c r="C1379" t="s">
        <v>22</v>
      </c>
      <c r="D1379">
        <f t="shared" si="21"/>
        <v>0</v>
      </c>
      <c r="E1379" t="s">
        <v>23</v>
      </c>
      <c r="F1379">
        <v>2</v>
      </c>
      <c r="G1379" t="s">
        <v>24</v>
      </c>
      <c r="H1379">
        <v>3</v>
      </c>
      <c r="I1379">
        <v>5</v>
      </c>
      <c r="J1379" t="s">
        <v>31</v>
      </c>
      <c r="K1379">
        <v>4</v>
      </c>
      <c r="L1379">
        <v>19161</v>
      </c>
      <c r="M1379" t="str" cm="1">
        <f t="array" ref="M1379">_xlfn.IFS(L1379&lt;= 7000,"Low",L1379&lt;=15000,"Medium",L1379&lt;=20000,"High")</f>
        <v>High</v>
      </c>
      <c r="N1379" t="s">
        <v>22</v>
      </c>
      <c r="O1379">
        <v>15</v>
      </c>
      <c r="P1379">
        <v>3</v>
      </c>
      <c r="Q1379">
        <v>4</v>
      </c>
      <c r="R1379">
        <v>28</v>
      </c>
      <c r="S1379">
        <v>3</v>
      </c>
      <c r="T1379">
        <v>5</v>
      </c>
      <c r="U1379">
        <v>4</v>
      </c>
    </row>
    <row r="1380" spans="1:21" x14ac:dyDescent="0.35">
      <c r="A1380">
        <v>42</v>
      </c>
      <c r="B1380" t="str" cm="1">
        <f t="array" ref="B1380">_xlfn.IFS(A1380&gt;40,"Senior",A1380&gt;30,"Adult",A1380&gt;=18,"Teenager")</f>
        <v>Senior</v>
      </c>
      <c r="C1380" t="s">
        <v>22</v>
      </c>
      <c r="D1380">
        <f t="shared" si="21"/>
        <v>0</v>
      </c>
      <c r="E1380" t="s">
        <v>19</v>
      </c>
      <c r="F1380">
        <v>2</v>
      </c>
      <c r="G1380" t="s">
        <v>24</v>
      </c>
      <c r="H1380">
        <v>3</v>
      </c>
      <c r="I1380">
        <v>2</v>
      </c>
      <c r="J1380" t="s">
        <v>21</v>
      </c>
      <c r="K1380">
        <v>4</v>
      </c>
      <c r="L1380">
        <v>5087</v>
      </c>
      <c r="M1380" t="str" cm="1">
        <f t="array" ref="M1380">_xlfn.IFS(L1380&lt;= 7000,"Low",L1380&lt;=15000,"Medium",L1380&lt;=20000,"High")</f>
        <v>Low</v>
      </c>
      <c r="N1380" t="s">
        <v>18</v>
      </c>
      <c r="O1380">
        <v>12</v>
      </c>
      <c r="P1380">
        <v>3</v>
      </c>
      <c r="Q1380">
        <v>3</v>
      </c>
      <c r="R1380">
        <v>14</v>
      </c>
      <c r="S1380">
        <v>3</v>
      </c>
      <c r="T1380">
        <v>0</v>
      </c>
      <c r="U1380">
        <v>0</v>
      </c>
    </row>
    <row r="1381" spans="1:21" x14ac:dyDescent="0.35">
      <c r="A1381">
        <v>27</v>
      </c>
      <c r="B1381" t="str" cm="1">
        <f t="array" ref="B1381">_xlfn.IFS(A1381&gt;40,"Senior",A1381&gt;30,"Adult",A1381&gt;=18,"Teenager")</f>
        <v>Teenager</v>
      </c>
      <c r="C1381" t="s">
        <v>18</v>
      </c>
      <c r="D1381">
        <f t="shared" si="21"/>
        <v>1</v>
      </c>
      <c r="E1381" t="s">
        <v>32</v>
      </c>
      <c r="F1381">
        <v>1</v>
      </c>
      <c r="G1381" t="s">
        <v>20</v>
      </c>
      <c r="H1381">
        <v>2</v>
      </c>
      <c r="I1381">
        <v>1</v>
      </c>
      <c r="J1381" t="s">
        <v>32</v>
      </c>
      <c r="K1381">
        <v>2</v>
      </c>
      <c r="L1381">
        <v>2863</v>
      </c>
      <c r="M1381" t="str" cm="1">
        <f t="array" ref="M1381">_xlfn.IFS(L1381&lt;= 7000,"Low",L1381&lt;=15000,"Medium",L1381&lt;=20000,"High")</f>
        <v>Low</v>
      </c>
      <c r="N1381" t="s">
        <v>22</v>
      </c>
      <c r="O1381">
        <v>12</v>
      </c>
      <c r="P1381">
        <v>3</v>
      </c>
      <c r="Q1381">
        <v>1</v>
      </c>
      <c r="R1381">
        <v>1</v>
      </c>
      <c r="S1381">
        <v>3</v>
      </c>
      <c r="T1381">
        <v>1</v>
      </c>
      <c r="U1381">
        <v>0</v>
      </c>
    </row>
    <row r="1382" spans="1:21" x14ac:dyDescent="0.35">
      <c r="A1382">
        <v>35</v>
      </c>
      <c r="B1382" t="str" cm="1">
        <f t="array" ref="B1382">_xlfn.IFS(A1382&gt;40,"Senior",A1382&gt;30,"Adult",A1382&gt;=18,"Teenager")</f>
        <v>Adult</v>
      </c>
      <c r="C1382" t="s">
        <v>22</v>
      </c>
      <c r="D1382">
        <f t="shared" si="21"/>
        <v>0</v>
      </c>
      <c r="E1382" t="s">
        <v>19</v>
      </c>
      <c r="F1382">
        <v>2</v>
      </c>
      <c r="G1382" t="s">
        <v>24</v>
      </c>
      <c r="H1382">
        <v>3</v>
      </c>
      <c r="I1382">
        <v>2</v>
      </c>
      <c r="J1382" t="s">
        <v>21</v>
      </c>
      <c r="K1382">
        <v>1</v>
      </c>
      <c r="L1382">
        <v>5561</v>
      </c>
      <c r="M1382" t="str" cm="1">
        <f t="array" ref="M1382">_xlfn.IFS(L1382&lt;= 7000,"Low",L1382&lt;=15000,"Medium",L1382&lt;=20000,"High")</f>
        <v>Low</v>
      </c>
      <c r="N1382" t="s">
        <v>22</v>
      </c>
      <c r="O1382">
        <v>16</v>
      </c>
      <c r="P1382">
        <v>3</v>
      </c>
      <c r="Q1382">
        <v>4</v>
      </c>
      <c r="R1382">
        <v>6</v>
      </c>
      <c r="S1382">
        <v>1</v>
      </c>
      <c r="T1382">
        <v>5</v>
      </c>
      <c r="U1382">
        <v>3</v>
      </c>
    </row>
    <row r="1383" spans="1:21" x14ac:dyDescent="0.35">
      <c r="A1383">
        <v>28</v>
      </c>
      <c r="B1383" t="str" cm="1">
        <f t="array" ref="B1383">_xlfn.IFS(A1383&gt;40,"Senior",A1383&gt;30,"Adult",A1383&gt;=18,"Teenager")</f>
        <v>Teenager</v>
      </c>
      <c r="C1383" t="s">
        <v>22</v>
      </c>
      <c r="D1383">
        <f t="shared" si="21"/>
        <v>0</v>
      </c>
      <c r="E1383" t="s">
        <v>23</v>
      </c>
      <c r="F1383">
        <v>3</v>
      </c>
      <c r="G1383" t="s">
        <v>24</v>
      </c>
      <c r="H1383">
        <v>3</v>
      </c>
      <c r="I1383">
        <v>1</v>
      </c>
      <c r="J1383" t="s">
        <v>25</v>
      </c>
      <c r="K1383">
        <v>3</v>
      </c>
      <c r="L1383">
        <v>2144</v>
      </c>
      <c r="M1383" t="str" cm="1">
        <f t="array" ref="M1383">_xlfn.IFS(L1383&lt;= 7000,"Low",L1383&lt;=15000,"Medium",L1383&lt;=20000,"High")</f>
        <v>Low</v>
      </c>
      <c r="N1383" t="s">
        <v>22</v>
      </c>
      <c r="O1383">
        <v>14</v>
      </c>
      <c r="P1383">
        <v>3</v>
      </c>
      <c r="Q1383">
        <v>3</v>
      </c>
      <c r="R1383">
        <v>5</v>
      </c>
      <c r="S1383">
        <v>2</v>
      </c>
      <c r="T1383">
        <v>5</v>
      </c>
      <c r="U1383">
        <v>3</v>
      </c>
    </row>
    <row r="1384" spans="1:21" x14ac:dyDescent="0.35">
      <c r="A1384">
        <v>31</v>
      </c>
      <c r="B1384" t="str" cm="1">
        <f t="array" ref="B1384">_xlfn.IFS(A1384&gt;40,"Senior",A1384&gt;30,"Adult",A1384&gt;=18,"Teenager")</f>
        <v>Adult</v>
      </c>
      <c r="C1384" t="s">
        <v>22</v>
      </c>
      <c r="D1384">
        <f t="shared" si="21"/>
        <v>0</v>
      </c>
      <c r="E1384" t="s">
        <v>23</v>
      </c>
      <c r="F1384">
        <v>3</v>
      </c>
      <c r="G1384" t="s">
        <v>24</v>
      </c>
      <c r="H1384">
        <v>3</v>
      </c>
      <c r="I1384">
        <v>1</v>
      </c>
      <c r="J1384" t="s">
        <v>25</v>
      </c>
      <c r="K1384">
        <v>1</v>
      </c>
      <c r="L1384">
        <v>3065</v>
      </c>
      <c r="M1384" t="str" cm="1">
        <f t="array" ref="M1384">_xlfn.IFS(L1384&lt;= 7000,"Low",L1384&lt;=15000,"Medium",L1384&lt;=20000,"High")</f>
        <v>Low</v>
      </c>
      <c r="N1384" t="s">
        <v>18</v>
      </c>
      <c r="O1384">
        <v>13</v>
      </c>
      <c r="P1384">
        <v>3</v>
      </c>
      <c r="Q1384">
        <v>4</v>
      </c>
      <c r="R1384">
        <v>4</v>
      </c>
      <c r="S1384">
        <v>4</v>
      </c>
      <c r="T1384">
        <v>4</v>
      </c>
      <c r="U1384">
        <v>2</v>
      </c>
    </row>
    <row r="1385" spans="1:21" x14ac:dyDescent="0.35">
      <c r="A1385">
        <v>36</v>
      </c>
      <c r="B1385" t="str" cm="1">
        <f t="array" ref="B1385">_xlfn.IFS(A1385&gt;40,"Senior",A1385&gt;30,"Adult",A1385&gt;=18,"Teenager")</f>
        <v>Adult</v>
      </c>
      <c r="C1385" t="s">
        <v>22</v>
      </c>
      <c r="D1385">
        <f t="shared" si="21"/>
        <v>0</v>
      </c>
      <c r="E1385" t="s">
        <v>23</v>
      </c>
      <c r="F1385">
        <v>1</v>
      </c>
      <c r="G1385" t="s">
        <v>24</v>
      </c>
      <c r="H1385">
        <v>4</v>
      </c>
      <c r="I1385">
        <v>1</v>
      </c>
      <c r="J1385" t="s">
        <v>26</v>
      </c>
      <c r="K1385">
        <v>2</v>
      </c>
      <c r="L1385">
        <v>2810</v>
      </c>
      <c r="M1385" t="str" cm="1">
        <f t="array" ref="M1385">_xlfn.IFS(L1385&lt;= 7000,"Low",L1385&lt;=15000,"Medium",L1385&lt;=20000,"High")</f>
        <v>Low</v>
      </c>
      <c r="N1385" t="s">
        <v>22</v>
      </c>
      <c r="O1385">
        <v>22</v>
      </c>
      <c r="P1385">
        <v>4</v>
      </c>
      <c r="Q1385">
        <v>2</v>
      </c>
      <c r="R1385">
        <v>5</v>
      </c>
      <c r="S1385">
        <v>3</v>
      </c>
      <c r="T1385">
        <v>5</v>
      </c>
      <c r="U1385">
        <v>4</v>
      </c>
    </row>
    <row r="1386" spans="1:21" x14ac:dyDescent="0.35">
      <c r="A1386">
        <v>34</v>
      </c>
      <c r="B1386" t="str" cm="1">
        <f t="array" ref="B1386">_xlfn.IFS(A1386&gt;40,"Senior",A1386&gt;30,"Adult",A1386&gt;=18,"Teenager")</f>
        <v>Adult</v>
      </c>
      <c r="C1386" t="s">
        <v>22</v>
      </c>
      <c r="D1386">
        <f t="shared" si="21"/>
        <v>0</v>
      </c>
      <c r="E1386" t="s">
        <v>19</v>
      </c>
      <c r="F1386">
        <v>1</v>
      </c>
      <c r="G1386" t="s">
        <v>24</v>
      </c>
      <c r="H1386">
        <v>3</v>
      </c>
      <c r="I1386">
        <v>3</v>
      </c>
      <c r="J1386" t="s">
        <v>21</v>
      </c>
      <c r="K1386">
        <v>4</v>
      </c>
      <c r="L1386">
        <v>9888</v>
      </c>
      <c r="M1386" t="str" cm="1">
        <f t="array" ref="M1386">_xlfn.IFS(L1386&lt;= 7000,"Low",L1386&lt;=15000,"Medium",L1386&lt;=20000,"High")</f>
        <v>Medium</v>
      </c>
      <c r="N1386" t="s">
        <v>22</v>
      </c>
      <c r="O1386">
        <v>21</v>
      </c>
      <c r="P1386">
        <v>4</v>
      </c>
      <c r="Q1386">
        <v>1</v>
      </c>
      <c r="R1386">
        <v>14</v>
      </c>
      <c r="S1386">
        <v>2</v>
      </c>
      <c r="T1386">
        <v>14</v>
      </c>
      <c r="U1386">
        <v>8</v>
      </c>
    </row>
    <row r="1387" spans="1:21" x14ac:dyDescent="0.35">
      <c r="A1387">
        <v>34</v>
      </c>
      <c r="B1387" t="str" cm="1">
        <f t="array" ref="B1387">_xlfn.IFS(A1387&gt;40,"Senior",A1387&gt;30,"Adult",A1387&gt;=18,"Teenager")</f>
        <v>Adult</v>
      </c>
      <c r="C1387" t="s">
        <v>22</v>
      </c>
      <c r="D1387">
        <f t="shared" si="21"/>
        <v>0</v>
      </c>
      <c r="E1387" t="s">
        <v>19</v>
      </c>
      <c r="F1387">
        <v>4</v>
      </c>
      <c r="G1387" t="s">
        <v>24</v>
      </c>
      <c r="H1387">
        <v>3</v>
      </c>
      <c r="I1387">
        <v>3</v>
      </c>
      <c r="J1387" t="s">
        <v>21</v>
      </c>
      <c r="K1387">
        <v>3</v>
      </c>
      <c r="L1387">
        <v>8628</v>
      </c>
      <c r="M1387" t="str" cm="1">
        <f t="array" ref="M1387">_xlfn.IFS(L1387&lt;= 7000,"Low",L1387&lt;=15000,"Medium",L1387&lt;=20000,"High")</f>
        <v>Medium</v>
      </c>
      <c r="N1387" t="s">
        <v>22</v>
      </c>
      <c r="O1387">
        <v>18</v>
      </c>
      <c r="P1387">
        <v>3</v>
      </c>
      <c r="Q1387">
        <v>3</v>
      </c>
      <c r="R1387">
        <v>9</v>
      </c>
      <c r="S1387">
        <v>2</v>
      </c>
      <c r="T1387">
        <v>8</v>
      </c>
      <c r="U1387">
        <v>7</v>
      </c>
    </row>
    <row r="1388" spans="1:21" x14ac:dyDescent="0.35">
      <c r="A1388">
        <v>26</v>
      </c>
      <c r="B1388" t="str" cm="1">
        <f t="array" ref="B1388">_xlfn.IFS(A1388&gt;40,"Senior",A1388&gt;30,"Adult",A1388&gt;=18,"Teenager")</f>
        <v>Teenager</v>
      </c>
      <c r="C1388" t="s">
        <v>22</v>
      </c>
      <c r="D1388">
        <f t="shared" si="21"/>
        <v>0</v>
      </c>
      <c r="E1388" t="s">
        <v>23</v>
      </c>
      <c r="F1388">
        <v>3</v>
      </c>
      <c r="G1388" t="s">
        <v>24</v>
      </c>
      <c r="H1388">
        <v>3</v>
      </c>
      <c r="I1388">
        <v>1</v>
      </c>
      <c r="J1388" t="s">
        <v>26</v>
      </c>
      <c r="K1388">
        <v>1</v>
      </c>
      <c r="L1388">
        <v>2867</v>
      </c>
      <c r="M1388" t="str" cm="1">
        <f t="array" ref="M1388">_xlfn.IFS(L1388&lt;= 7000,"Low",L1388&lt;=15000,"Medium",L1388&lt;=20000,"High")</f>
        <v>Low</v>
      </c>
      <c r="N1388" t="s">
        <v>22</v>
      </c>
      <c r="O1388">
        <v>13</v>
      </c>
      <c r="P1388">
        <v>3</v>
      </c>
      <c r="Q1388">
        <v>4</v>
      </c>
      <c r="R1388">
        <v>8</v>
      </c>
      <c r="S1388">
        <v>2</v>
      </c>
      <c r="T1388">
        <v>7</v>
      </c>
      <c r="U1388">
        <v>7</v>
      </c>
    </row>
    <row r="1389" spans="1:21" x14ac:dyDescent="0.35">
      <c r="A1389">
        <v>29</v>
      </c>
      <c r="B1389" t="str" cm="1">
        <f t="array" ref="B1389">_xlfn.IFS(A1389&gt;40,"Senior",A1389&gt;30,"Adult",A1389&gt;=18,"Teenager")</f>
        <v>Teenager</v>
      </c>
      <c r="C1389" t="s">
        <v>22</v>
      </c>
      <c r="D1389">
        <f t="shared" si="21"/>
        <v>0</v>
      </c>
      <c r="E1389" t="s">
        <v>23</v>
      </c>
      <c r="F1389">
        <v>1</v>
      </c>
      <c r="G1389" t="s">
        <v>24</v>
      </c>
      <c r="H1389">
        <v>3</v>
      </c>
      <c r="I1389">
        <v>2</v>
      </c>
      <c r="J1389" t="s">
        <v>28</v>
      </c>
      <c r="K1389">
        <v>1</v>
      </c>
      <c r="L1389">
        <v>5373</v>
      </c>
      <c r="M1389" t="str" cm="1">
        <f t="array" ref="M1389">_xlfn.IFS(L1389&lt;= 7000,"Low",L1389&lt;=15000,"Medium",L1389&lt;=20000,"High")</f>
        <v>Low</v>
      </c>
      <c r="N1389" t="s">
        <v>22</v>
      </c>
      <c r="O1389">
        <v>12</v>
      </c>
      <c r="P1389">
        <v>3</v>
      </c>
      <c r="Q1389">
        <v>1</v>
      </c>
      <c r="R1389">
        <v>6</v>
      </c>
      <c r="S1389">
        <v>2</v>
      </c>
      <c r="T1389">
        <v>5</v>
      </c>
      <c r="U1389">
        <v>3</v>
      </c>
    </row>
    <row r="1390" spans="1:21" x14ac:dyDescent="0.35">
      <c r="A1390">
        <v>32</v>
      </c>
      <c r="B1390" t="str" cm="1">
        <f t="array" ref="B1390">_xlfn.IFS(A1390&gt;40,"Senior",A1390&gt;30,"Adult",A1390&gt;=18,"Teenager")</f>
        <v>Adult</v>
      </c>
      <c r="C1390" t="s">
        <v>22</v>
      </c>
      <c r="D1390">
        <f t="shared" si="21"/>
        <v>0</v>
      </c>
      <c r="E1390" t="s">
        <v>23</v>
      </c>
      <c r="F1390">
        <v>3</v>
      </c>
      <c r="G1390" t="s">
        <v>20</v>
      </c>
      <c r="H1390">
        <v>3</v>
      </c>
      <c r="I1390">
        <v>2</v>
      </c>
      <c r="J1390" t="s">
        <v>28</v>
      </c>
      <c r="K1390">
        <v>4</v>
      </c>
      <c r="L1390">
        <v>6667</v>
      </c>
      <c r="M1390" t="str" cm="1">
        <f t="array" ref="M1390">_xlfn.IFS(L1390&lt;= 7000,"Low",L1390&lt;=15000,"Medium",L1390&lt;=20000,"High")</f>
        <v>Low</v>
      </c>
      <c r="N1390" t="s">
        <v>22</v>
      </c>
      <c r="O1390">
        <v>18</v>
      </c>
      <c r="P1390">
        <v>3</v>
      </c>
      <c r="Q1390">
        <v>2</v>
      </c>
      <c r="R1390">
        <v>9</v>
      </c>
      <c r="S1390">
        <v>3</v>
      </c>
      <c r="T1390">
        <v>5</v>
      </c>
      <c r="U1390">
        <v>1</v>
      </c>
    </row>
    <row r="1391" spans="1:21" x14ac:dyDescent="0.35">
      <c r="A1391">
        <v>31</v>
      </c>
      <c r="B1391" t="str" cm="1">
        <f t="array" ref="B1391">_xlfn.IFS(A1391&gt;40,"Senior",A1391&gt;30,"Adult",A1391&gt;=18,"Teenager")</f>
        <v>Adult</v>
      </c>
      <c r="C1391" t="s">
        <v>22</v>
      </c>
      <c r="D1391">
        <f t="shared" si="21"/>
        <v>0</v>
      </c>
      <c r="E1391" t="s">
        <v>23</v>
      </c>
      <c r="F1391">
        <v>4</v>
      </c>
      <c r="G1391" t="s">
        <v>24</v>
      </c>
      <c r="H1391">
        <v>1</v>
      </c>
      <c r="I1391">
        <v>2</v>
      </c>
      <c r="J1391" t="s">
        <v>25</v>
      </c>
      <c r="K1391">
        <v>1</v>
      </c>
      <c r="L1391">
        <v>5003</v>
      </c>
      <c r="M1391" t="str" cm="1">
        <f t="array" ref="M1391">_xlfn.IFS(L1391&lt;= 7000,"Low",L1391&lt;=15000,"Medium",L1391&lt;=20000,"High")</f>
        <v>Low</v>
      </c>
      <c r="N1391" t="s">
        <v>22</v>
      </c>
      <c r="O1391">
        <v>21</v>
      </c>
      <c r="P1391">
        <v>4</v>
      </c>
      <c r="Q1391">
        <v>2</v>
      </c>
      <c r="R1391">
        <v>10</v>
      </c>
      <c r="S1391">
        <v>3</v>
      </c>
      <c r="T1391">
        <v>10</v>
      </c>
      <c r="U1391">
        <v>8</v>
      </c>
    </row>
    <row r="1392" spans="1:21" x14ac:dyDescent="0.35">
      <c r="A1392">
        <v>28</v>
      </c>
      <c r="B1392" t="str" cm="1">
        <f t="array" ref="B1392">_xlfn.IFS(A1392&gt;40,"Senior",A1392&gt;30,"Adult",A1392&gt;=18,"Teenager")</f>
        <v>Teenager</v>
      </c>
      <c r="C1392" t="s">
        <v>18</v>
      </c>
      <c r="D1392">
        <f t="shared" si="21"/>
        <v>1</v>
      </c>
      <c r="E1392" t="s">
        <v>23</v>
      </c>
      <c r="F1392">
        <v>3</v>
      </c>
      <c r="G1392" t="s">
        <v>24</v>
      </c>
      <c r="H1392">
        <v>2</v>
      </c>
      <c r="I1392">
        <v>1</v>
      </c>
      <c r="J1392" t="s">
        <v>26</v>
      </c>
      <c r="K1392">
        <v>4</v>
      </c>
      <c r="L1392">
        <v>2367</v>
      </c>
      <c r="M1392" t="str" cm="1">
        <f t="array" ref="M1392">_xlfn.IFS(L1392&lt;= 7000,"Low",L1392&lt;=15000,"Medium",L1392&lt;=20000,"High")</f>
        <v>Low</v>
      </c>
      <c r="N1392" t="s">
        <v>22</v>
      </c>
      <c r="O1392">
        <v>12</v>
      </c>
      <c r="P1392">
        <v>3</v>
      </c>
      <c r="Q1392">
        <v>1</v>
      </c>
      <c r="R1392">
        <v>6</v>
      </c>
      <c r="S1392">
        <v>2</v>
      </c>
      <c r="T1392">
        <v>4</v>
      </c>
      <c r="U1392">
        <v>1</v>
      </c>
    </row>
    <row r="1393" spans="1:21" x14ac:dyDescent="0.35">
      <c r="A1393">
        <v>38</v>
      </c>
      <c r="B1393" t="str" cm="1">
        <f t="array" ref="B1393">_xlfn.IFS(A1393&gt;40,"Senior",A1393&gt;30,"Adult",A1393&gt;=18,"Teenager")</f>
        <v>Adult</v>
      </c>
      <c r="C1393" t="s">
        <v>22</v>
      </c>
      <c r="D1393">
        <f t="shared" si="21"/>
        <v>0</v>
      </c>
      <c r="E1393" t="s">
        <v>19</v>
      </c>
      <c r="F1393">
        <v>1</v>
      </c>
      <c r="G1393" t="s">
        <v>24</v>
      </c>
      <c r="H1393">
        <v>2</v>
      </c>
      <c r="I1393">
        <v>1</v>
      </c>
      <c r="J1393" t="s">
        <v>30</v>
      </c>
      <c r="K1393">
        <v>1</v>
      </c>
      <c r="L1393">
        <v>2858</v>
      </c>
      <c r="M1393" t="str" cm="1">
        <f t="array" ref="M1393">_xlfn.IFS(L1393&lt;= 7000,"Low",L1393&lt;=15000,"Medium",L1393&lt;=20000,"High")</f>
        <v>Low</v>
      </c>
      <c r="N1393" t="s">
        <v>22</v>
      </c>
      <c r="O1393">
        <v>14</v>
      </c>
      <c r="P1393">
        <v>3</v>
      </c>
      <c r="Q1393">
        <v>1</v>
      </c>
      <c r="R1393">
        <v>20</v>
      </c>
      <c r="S1393">
        <v>2</v>
      </c>
      <c r="T1393">
        <v>1</v>
      </c>
      <c r="U1393">
        <v>0</v>
      </c>
    </row>
    <row r="1394" spans="1:21" x14ac:dyDescent="0.35">
      <c r="A1394">
        <v>35</v>
      </c>
      <c r="B1394" t="str" cm="1">
        <f t="array" ref="B1394">_xlfn.IFS(A1394&gt;40,"Senior",A1394&gt;30,"Adult",A1394&gt;=18,"Teenager")</f>
        <v>Adult</v>
      </c>
      <c r="C1394" t="s">
        <v>22</v>
      </c>
      <c r="D1394">
        <f t="shared" si="21"/>
        <v>0</v>
      </c>
      <c r="E1394" t="s">
        <v>19</v>
      </c>
      <c r="F1394">
        <v>3</v>
      </c>
      <c r="G1394" t="s">
        <v>20</v>
      </c>
      <c r="H1394">
        <v>3</v>
      </c>
      <c r="I1394">
        <v>2</v>
      </c>
      <c r="J1394" t="s">
        <v>21</v>
      </c>
      <c r="K1394">
        <v>4</v>
      </c>
      <c r="L1394">
        <v>5204</v>
      </c>
      <c r="M1394" t="str" cm="1">
        <f t="array" ref="M1394">_xlfn.IFS(L1394&lt;= 7000,"Low",L1394&lt;=15000,"Medium",L1394&lt;=20000,"High")</f>
        <v>Low</v>
      </c>
      <c r="N1394" t="s">
        <v>18</v>
      </c>
      <c r="O1394">
        <v>11</v>
      </c>
      <c r="P1394">
        <v>3</v>
      </c>
      <c r="Q1394">
        <v>4</v>
      </c>
      <c r="R1394">
        <v>10</v>
      </c>
      <c r="S1394">
        <v>3</v>
      </c>
      <c r="T1394">
        <v>10</v>
      </c>
      <c r="U1394">
        <v>8</v>
      </c>
    </row>
    <row r="1395" spans="1:21" x14ac:dyDescent="0.35">
      <c r="A1395">
        <v>27</v>
      </c>
      <c r="B1395" t="str" cm="1">
        <f t="array" ref="B1395">_xlfn.IFS(A1395&gt;40,"Senior",A1395&gt;30,"Adult",A1395&gt;=18,"Teenager")</f>
        <v>Teenager</v>
      </c>
      <c r="C1395" t="s">
        <v>22</v>
      </c>
      <c r="D1395">
        <f t="shared" si="21"/>
        <v>0</v>
      </c>
      <c r="E1395" t="s">
        <v>19</v>
      </c>
      <c r="F1395">
        <v>4</v>
      </c>
      <c r="G1395" t="s">
        <v>24</v>
      </c>
      <c r="H1395">
        <v>3</v>
      </c>
      <c r="I1395">
        <v>2</v>
      </c>
      <c r="J1395" t="s">
        <v>21</v>
      </c>
      <c r="K1395">
        <v>4</v>
      </c>
      <c r="L1395">
        <v>4105</v>
      </c>
      <c r="M1395" t="str" cm="1">
        <f t="array" ref="M1395">_xlfn.IFS(L1395&lt;= 7000,"Low",L1395&lt;=15000,"Medium",L1395&lt;=20000,"High")</f>
        <v>Low</v>
      </c>
      <c r="N1395" t="s">
        <v>22</v>
      </c>
      <c r="O1395">
        <v>14</v>
      </c>
      <c r="P1395">
        <v>3</v>
      </c>
      <c r="Q1395">
        <v>1</v>
      </c>
      <c r="R1395">
        <v>7</v>
      </c>
      <c r="S1395">
        <v>3</v>
      </c>
      <c r="T1395">
        <v>7</v>
      </c>
      <c r="U1395">
        <v>7</v>
      </c>
    </row>
    <row r="1396" spans="1:21" x14ac:dyDescent="0.35">
      <c r="A1396">
        <v>32</v>
      </c>
      <c r="B1396" t="str" cm="1">
        <f t="array" ref="B1396">_xlfn.IFS(A1396&gt;40,"Senior",A1396&gt;30,"Adult",A1396&gt;=18,"Teenager")</f>
        <v>Adult</v>
      </c>
      <c r="C1396" t="s">
        <v>22</v>
      </c>
      <c r="D1396">
        <f t="shared" si="21"/>
        <v>0</v>
      </c>
      <c r="E1396" t="s">
        <v>23</v>
      </c>
      <c r="F1396">
        <v>4</v>
      </c>
      <c r="G1396" t="s">
        <v>24</v>
      </c>
      <c r="H1396">
        <v>2</v>
      </c>
      <c r="I1396">
        <v>2</v>
      </c>
      <c r="J1396" t="s">
        <v>27</v>
      </c>
      <c r="K1396">
        <v>4</v>
      </c>
      <c r="L1396">
        <v>9679</v>
      </c>
      <c r="M1396" t="str" cm="1">
        <f t="array" ref="M1396">_xlfn.IFS(L1396&lt;= 7000,"Low",L1396&lt;=15000,"Medium",L1396&lt;=20000,"High")</f>
        <v>Medium</v>
      </c>
      <c r="N1396" t="s">
        <v>22</v>
      </c>
      <c r="O1396">
        <v>24</v>
      </c>
      <c r="P1396">
        <v>4</v>
      </c>
      <c r="Q1396">
        <v>2</v>
      </c>
      <c r="R1396">
        <v>8</v>
      </c>
      <c r="S1396">
        <v>3</v>
      </c>
      <c r="T1396">
        <v>1</v>
      </c>
      <c r="U1396">
        <v>0</v>
      </c>
    </row>
    <row r="1397" spans="1:21" x14ac:dyDescent="0.35">
      <c r="A1397">
        <v>31</v>
      </c>
      <c r="B1397" t="str" cm="1">
        <f t="array" ref="B1397">_xlfn.IFS(A1397&gt;40,"Senior",A1397&gt;30,"Adult",A1397&gt;=18,"Teenager")</f>
        <v>Adult</v>
      </c>
      <c r="C1397" t="s">
        <v>18</v>
      </c>
      <c r="D1397">
        <f t="shared" si="21"/>
        <v>1</v>
      </c>
      <c r="E1397" t="s">
        <v>19</v>
      </c>
      <c r="F1397">
        <v>1</v>
      </c>
      <c r="G1397" t="s">
        <v>24</v>
      </c>
      <c r="H1397">
        <v>3</v>
      </c>
      <c r="I1397">
        <v>2</v>
      </c>
      <c r="J1397" t="s">
        <v>21</v>
      </c>
      <c r="K1397">
        <v>4</v>
      </c>
      <c r="L1397">
        <v>5617</v>
      </c>
      <c r="M1397" t="str" cm="1">
        <f t="array" ref="M1397">_xlfn.IFS(L1397&lt;= 7000,"Low",L1397&lt;=15000,"Medium",L1397&lt;=20000,"High")</f>
        <v>Low</v>
      </c>
      <c r="N1397" t="s">
        <v>18</v>
      </c>
      <c r="O1397">
        <v>11</v>
      </c>
      <c r="P1397">
        <v>3</v>
      </c>
      <c r="Q1397">
        <v>3</v>
      </c>
      <c r="R1397">
        <v>10</v>
      </c>
      <c r="S1397">
        <v>3</v>
      </c>
      <c r="T1397">
        <v>10</v>
      </c>
      <c r="U1397">
        <v>7</v>
      </c>
    </row>
    <row r="1398" spans="1:21" x14ac:dyDescent="0.35">
      <c r="A1398">
        <v>53</v>
      </c>
      <c r="B1398" t="str" cm="1">
        <f t="array" ref="B1398">_xlfn.IFS(A1398&gt;40,"Senior",A1398&gt;30,"Adult",A1398&gt;=18,"Teenager")</f>
        <v>Senior</v>
      </c>
      <c r="C1398" t="s">
        <v>18</v>
      </c>
      <c r="D1398">
        <f t="shared" si="21"/>
        <v>1</v>
      </c>
      <c r="E1398" t="s">
        <v>19</v>
      </c>
      <c r="F1398">
        <v>1</v>
      </c>
      <c r="G1398" t="s">
        <v>24</v>
      </c>
      <c r="H1398">
        <v>3</v>
      </c>
      <c r="I1398">
        <v>3</v>
      </c>
      <c r="J1398" t="s">
        <v>21</v>
      </c>
      <c r="K1398">
        <v>1</v>
      </c>
      <c r="L1398">
        <v>10448</v>
      </c>
      <c r="M1398" t="str" cm="1">
        <f t="array" ref="M1398">_xlfn.IFS(L1398&lt;= 7000,"Low",L1398&lt;=15000,"Medium",L1398&lt;=20000,"High")</f>
        <v>Medium</v>
      </c>
      <c r="N1398" t="s">
        <v>18</v>
      </c>
      <c r="O1398">
        <v>13</v>
      </c>
      <c r="P1398">
        <v>3</v>
      </c>
      <c r="Q1398">
        <v>2</v>
      </c>
      <c r="R1398">
        <v>15</v>
      </c>
      <c r="S1398">
        <v>2</v>
      </c>
      <c r="T1398">
        <v>2</v>
      </c>
      <c r="U1398">
        <v>2</v>
      </c>
    </row>
    <row r="1399" spans="1:21" x14ac:dyDescent="0.35">
      <c r="A1399">
        <v>54</v>
      </c>
      <c r="B1399" t="str" cm="1">
        <f t="array" ref="B1399">_xlfn.IFS(A1399&gt;40,"Senior",A1399&gt;30,"Adult",A1399&gt;=18,"Teenager")</f>
        <v>Senior</v>
      </c>
      <c r="C1399" t="s">
        <v>22</v>
      </c>
      <c r="D1399">
        <f t="shared" si="21"/>
        <v>0</v>
      </c>
      <c r="E1399" t="s">
        <v>23</v>
      </c>
      <c r="F1399">
        <v>1</v>
      </c>
      <c r="G1399" t="s">
        <v>20</v>
      </c>
      <c r="H1399">
        <v>3</v>
      </c>
      <c r="I1399">
        <v>2</v>
      </c>
      <c r="J1399" t="s">
        <v>25</v>
      </c>
      <c r="K1399">
        <v>3</v>
      </c>
      <c r="L1399">
        <v>2897</v>
      </c>
      <c r="M1399" t="str" cm="1">
        <f t="array" ref="M1399">_xlfn.IFS(L1399&lt;= 7000,"Low",L1399&lt;=15000,"Medium",L1399&lt;=20000,"High")</f>
        <v>Low</v>
      </c>
      <c r="N1399" t="s">
        <v>22</v>
      </c>
      <c r="O1399">
        <v>11</v>
      </c>
      <c r="P1399">
        <v>3</v>
      </c>
      <c r="Q1399">
        <v>3</v>
      </c>
      <c r="R1399">
        <v>9</v>
      </c>
      <c r="S1399">
        <v>2</v>
      </c>
      <c r="T1399">
        <v>4</v>
      </c>
      <c r="U1399">
        <v>3</v>
      </c>
    </row>
    <row r="1400" spans="1:21" x14ac:dyDescent="0.35">
      <c r="A1400">
        <v>33</v>
      </c>
      <c r="B1400" t="str" cm="1">
        <f t="array" ref="B1400">_xlfn.IFS(A1400&gt;40,"Senior",A1400&gt;30,"Adult",A1400&gt;=18,"Teenager")</f>
        <v>Adult</v>
      </c>
      <c r="C1400" t="s">
        <v>22</v>
      </c>
      <c r="D1400">
        <f t="shared" si="21"/>
        <v>0</v>
      </c>
      <c r="E1400" t="s">
        <v>23</v>
      </c>
      <c r="F1400">
        <v>4</v>
      </c>
      <c r="G1400" t="s">
        <v>24</v>
      </c>
      <c r="H1400">
        <v>3</v>
      </c>
      <c r="I1400">
        <v>2</v>
      </c>
      <c r="J1400" t="s">
        <v>28</v>
      </c>
      <c r="K1400">
        <v>3</v>
      </c>
      <c r="L1400">
        <v>5968</v>
      </c>
      <c r="M1400" t="str" cm="1">
        <f t="array" ref="M1400">_xlfn.IFS(L1400&lt;= 7000,"Low",L1400&lt;=15000,"Medium",L1400&lt;=20000,"High")</f>
        <v>Low</v>
      </c>
      <c r="N1400" t="s">
        <v>22</v>
      </c>
      <c r="O1400">
        <v>20</v>
      </c>
      <c r="P1400">
        <v>4</v>
      </c>
      <c r="Q1400">
        <v>3</v>
      </c>
      <c r="R1400">
        <v>9</v>
      </c>
      <c r="S1400">
        <v>3</v>
      </c>
      <c r="T1400">
        <v>9</v>
      </c>
      <c r="U1400">
        <v>7</v>
      </c>
    </row>
    <row r="1401" spans="1:21" x14ac:dyDescent="0.35">
      <c r="A1401">
        <v>43</v>
      </c>
      <c r="B1401" t="str" cm="1">
        <f t="array" ref="B1401">_xlfn.IFS(A1401&gt;40,"Senior",A1401&gt;30,"Adult",A1401&gt;=18,"Teenager")</f>
        <v>Senior</v>
      </c>
      <c r="C1401" t="s">
        <v>22</v>
      </c>
      <c r="D1401">
        <f t="shared" si="21"/>
        <v>0</v>
      </c>
      <c r="E1401" t="s">
        <v>23</v>
      </c>
      <c r="F1401">
        <v>1</v>
      </c>
      <c r="G1401" t="s">
        <v>24</v>
      </c>
      <c r="H1401">
        <v>3</v>
      </c>
      <c r="I1401">
        <v>3</v>
      </c>
      <c r="J1401" t="s">
        <v>28</v>
      </c>
      <c r="K1401">
        <v>3</v>
      </c>
      <c r="L1401">
        <v>7510</v>
      </c>
      <c r="M1401" t="str" cm="1">
        <f t="array" ref="M1401">_xlfn.IFS(L1401&lt;= 7000,"Low",L1401&lt;=15000,"Medium",L1401&lt;=20000,"High")</f>
        <v>Medium</v>
      </c>
      <c r="N1401" t="s">
        <v>22</v>
      </c>
      <c r="O1401">
        <v>17</v>
      </c>
      <c r="P1401">
        <v>3</v>
      </c>
      <c r="Q1401">
        <v>2</v>
      </c>
      <c r="R1401">
        <v>10</v>
      </c>
      <c r="S1401">
        <v>3</v>
      </c>
      <c r="T1401">
        <v>10</v>
      </c>
      <c r="U1401">
        <v>9</v>
      </c>
    </row>
    <row r="1402" spans="1:21" x14ac:dyDescent="0.35">
      <c r="A1402">
        <v>38</v>
      </c>
      <c r="B1402" t="str" cm="1">
        <f t="array" ref="B1402">_xlfn.IFS(A1402&gt;40,"Senior",A1402&gt;30,"Adult",A1402&gt;=18,"Teenager")</f>
        <v>Adult</v>
      </c>
      <c r="C1402" t="s">
        <v>22</v>
      </c>
      <c r="D1402">
        <f t="shared" si="21"/>
        <v>0</v>
      </c>
      <c r="E1402" t="s">
        <v>32</v>
      </c>
      <c r="F1402">
        <v>4</v>
      </c>
      <c r="G1402" t="s">
        <v>24</v>
      </c>
      <c r="H1402">
        <v>3</v>
      </c>
      <c r="I1402">
        <v>1</v>
      </c>
      <c r="J1402" t="s">
        <v>32</v>
      </c>
      <c r="K1402">
        <v>2</v>
      </c>
      <c r="L1402">
        <v>2991</v>
      </c>
      <c r="M1402" t="str" cm="1">
        <f t="array" ref="M1402">_xlfn.IFS(L1402&lt;= 7000,"Low",L1402&lt;=15000,"Medium",L1402&lt;=20000,"High")</f>
        <v>Low</v>
      </c>
      <c r="N1402" t="s">
        <v>18</v>
      </c>
      <c r="O1402">
        <v>11</v>
      </c>
      <c r="P1402">
        <v>3</v>
      </c>
      <c r="Q1402">
        <v>2</v>
      </c>
      <c r="R1402">
        <v>7</v>
      </c>
      <c r="S1402">
        <v>3</v>
      </c>
      <c r="T1402">
        <v>6</v>
      </c>
      <c r="U1402">
        <v>2</v>
      </c>
    </row>
    <row r="1403" spans="1:21" x14ac:dyDescent="0.35">
      <c r="A1403">
        <v>55</v>
      </c>
      <c r="B1403" t="str" cm="1">
        <f t="array" ref="B1403">_xlfn.IFS(A1403&gt;40,"Senior",A1403&gt;30,"Adult",A1403&gt;=18,"Teenager")</f>
        <v>Senior</v>
      </c>
      <c r="C1403" t="s">
        <v>22</v>
      </c>
      <c r="D1403">
        <f t="shared" si="21"/>
        <v>0</v>
      </c>
      <c r="E1403" t="s">
        <v>32</v>
      </c>
      <c r="F1403">
        <v>3</v>
      </c>
      <c r="G1403" t="s">
        <v>24</v>
      </c>
      <c r="H1403">
        <v>4</v>
      </c>
      <c r="I1403">
        <v>5</v>
      </c>
      <c r="J1403" t="s">
        <v>29</v>
      </c>
      <c r="K1403">
        <v>2</v>
      </c>
      <c r="L1403">
        <v>19636</v>
      </c>
      <c r="M1403" t="str" cm="1">
        <f t="array" ref="M1403">_xlfn.IFS(L1403&lt;= 7000,"Low",L1403&lt;=15000,"Medium",L1403&lt;=20000,"High")</f>
        <v>High</v>
      </c>
      <c r="N1403" t="s">
        <v>18</v>
      </c>
      <c r="O1403">
        <v>18</v>
      </c>
      <c r="P1403">
        <v>3</v>
      </c>
      <c r="Q1403">
        <v>1</v>
      </c>
      <c r="R1403">
        <v>35</v>
      </c>
      <c r="S1403">
        <v>3</v>
      </c>
      <c r="T1403">
        <v>10</v>
      </c>
      <c r="U1403">
        <v>9</v>
      </c>
    </row>
    <row r="1404" spans="1:21" x14ac:dyDescent="0.35">
      <c r="A1404">
        <v>31</v>
      </c>
      <c r="B1404" t="str" cm="1">
        <f t="array" ref="B1404">_xlfn.IFS(A1404&gt;40,"Senior",A1404&gt;30,"Adult",A1404&gt;=18,"Teenager")</f>
        <v>Adult</v>
      </c>
      <c r="C1404" t="s">
        <v>22</v>
      </c>
      <c r="D1404">
        <f t="shared" si="21"/>
        <v>0</v>
      </c>
      <c r="E1404" t="s">
        <v>23</v>
      </c>
      <c r="F1404">
        <v>4</v>
      </c>
      <c r="G1404" t="s">
        <v>20</v>
      </c>
      <c r="H1404">
        <v>1</v>
      </c>
      <c r="I1404">
        <v>1</v>
      </c>
      <c r="J1404" t="s">
        <v>26</v>
      </c>
      <c r="K1404">
        <v>4</v>
      </c>
      <c r="L1404">
        <v>1129</v>
      </c>
      <c r="M1404" t="str" cm="1">
        <f t="array" ref="M1404">_xlfn.IFS(L1404&lt;= 7000,"Low",L1404&lt;=15000,"Medium",L1404&lt;=20000,"High")</f>
        <v>Low</v>
      </c>
      <c r="N1404" t="s">
        <v>18</v>
      </c>
      <c r="O1404">
        <v>11</v>
      </c>
      <c r="P1404">
        <v>3</v>
      </c>
      <c r="Q1404">
        <v>3</v>
      </c>
      <c r="R1404">
        <v>1</v>
      </c>
      <c r="S1404">
        <v>3</v>
      </c>
      <c r="T1404">
        <v>1</v>
      </c>
      <c r="U1404">
        <v>0</v>
      </c>
    </row>
    <row r="1405" spans="1:21" x14ac:dyDescent="0.35">
      <c r="A1405">
        <v>39</v>
      </c>
      <c r="B1405" t="str" cm="1">
        <f t="array" ref="B1405">_xlfn.IFS(A1405&gt;40,"Senior",A1405&gt;30,"Adult",A1405&gt;=18,"Teenager")</f>
        <v>Adult</v>
      </c>
      <c r="C1405" t="s">
        <v>22</v>
      </c>
      <c r="D1405">
        <f t="shared" si="21"/>
        <v>0</v>
      </c>
      <c r="E1405" t="s">
        <v>19</v>
      </c>
      <c r="F1405">
        <v>2</v>
      </c>
      <c r="G1405" t="s">
        <v>24</v>
      </c>
      <c r="H1405">
        <v>3</v>
      </c>
      <c r="I1405">
        <v>4</v>
      </c>
      <c r="J1405" t="s">
        <v>21</v>
      </c>
      <c r="K1405">
        <v>1</v>
      </c>
      <c r="L1405">
        <v>13341</v>
      </c>
      <c r="M1405" t="str" cm="1">
        <f t="array" ref="M1405">_xlfn.IFS(L1405&lt;= 7000,"Low",L1405&lt;=15000,"Medium",L1405&lt;=20000,"High")</f>
        <v>Medium</v>
      </c>
      <c r="N1405" t="s">
        <v>22</v>
      </c>
      <c r="O1405">
        <v>12</v>
      </c>
      <c r="P1405">
        <v>3</v>
      </c>
      <c r="Q1405">
        <v>1</v>
      </c>
      <c r="R1405">
        <v>21</v>
      </c>
      <c r="S1405">
        <v>3</v>
      </c>
      <c r="T1405">
        <v>20</v>
      </c>
      <c r="U1405">
        <v>8</v>
      </c>
    </row>
    <row r="1406" spans="1:21" x14ac:dyDescent="0.35">
      <c r="A1406">
        <v>42</v>
      </c>
      <c r="B1406" t="str" cm="1">
        <f t="array" ref="B1406">_xlfn.IFS(A1406&gt;40,"Senior",A1406&gt;30,"Adult",A1406&gt;=18,"Teenager")</f>
        <v>Senior</v>
      </c>
      <c r="C1406" t="s">
        <v>22</v>
      </c>
      <c r="D1406">
        <f t="shared" si="21"/>
        <v>0</v>
      </c>
      <c r="E1406" t="s">
        <v>23</v>
      </c>
      <c r="F1406">
        <v>4</v>
      </c>
      <c r="G1406" t="s">
        <v>24</v>
      </c>
      <c r="H1406">
        <v>2</v>
      </c>
      <c r="I1406">
        <v>2</v>
      </c>
      <c r="J1406" t="s">
        <v>25</v>
      </c>
      <c r="K1406">
        <v>3</v>
      </c>
      <c r="L1406">
        <v>4332</v>
      </c>
      <c r="M1406" t="str" cm="1">
        <f t="array" ref="M1406">_xlfn.IFS(L1406&lt;= 7000,"Low",L1406&lt;=15000,"Medium",L1406&lt;=20000,"High")</f>
        <v>Low</v>
      </c>
      <c r="N1406" t="s">
        <v>22</v>
      </c>
      <c r="O1406">
        <v>12</v>
      </c>
      <c r="P1406">
        <v>3</v>
      </c>
      <c r="Q1406">
        <v>4</v>
      </c>
      <c r="R1406">
        <v>20</v>
      </c>
      <c r="S1406">
        <v>3</v>
      </c>
      <c r="T1406">
        <v>20</v>
      </c>
      <c r="U1406">
        <v>9</v>
      </c>
    </row>
    <row r="1407" spans="1:21" x14ac:dyDescent="0.35">
      <c r="A1407">
        <v>31</v>
      </c>
      <c r="B1407" t="str" cm="1">
        <f t="array" ref="B1407">_xlfn.IFS(A1407&gt;40,"Senior",A1407&gt;30,"Adult",A1407&gt;=18,"Teenager")</f>
        <v>Adult</v>
      </c>
      <c r="C1407" t="s">
        <v>22</v>
      </c>
      <c r="D1407">
        <f t="shared" si="21"/>
        <v>0</v>
      </c>
      <c r="E1407" t="s">
        <v>23</v>
      </c>
      <c r="F1407">
        <v>3</v>
      </c>
      <c r="G1407" t="s">
        <v>20</v>
      </c>
      <c r="H1407">
        <v>3</v>
      </c>
      <c r="I1407">
        <v>3</v>
      </c>
      <c r="J1407" t="s">
        <v>31</v>
      </c>
      <c r="K1407">
        <v>3</v>
      </c>
      <c r="L1407">
        <v>11031</v>
      </c>
      <c r="M1407" t="str" cm="1">
        <f t="array" ref="M1407">_xlfn.IFS(L1407&lt;= 7000,"Low",L1407&lt;=15000,"Medium",L1407&lt;=20000,"High")</f>
        <v>Medium</v>
      </c>
      <c r="N1407" t="s">
        <v>22</v>
      </c>
      <c r="O1407">
        <v>20</v>
      </c>
      <c r="P1407">
        <v>4</v>
      </c>
      <c r="Q1407">
        <v>3</v>
      </c>
      <c r="R1407">
        <v>13</v>
      </c>
      <c r="S1407">
        <v>4</v>
      </c>
      <c r="T1407">
        <v>11</v>
      </c>
      <c r="U1407">
        <v>7</v>
      </c>
    </row>
    <row r="1408" spans="1:21" x14ac:dyDescent="0.35">
      <c r="A1408">
        <v>54</v>
      </c>
      <c r="B1408" t="str" cm="1">
        <f t="array" ref="B1408">_xlfn.IFS(A1408&gt;40,"Senior",A1408&gt;30,"Adult",A1408&gt;=18,"Teenager")</f>
        <v>Senior</v>
      </c>
      <c r="C1408" t="s">
        <v>22</v>
      </c>
      <c r="D1408">
        <f t="shared" si="21"/>
        <v>0</v>
      </c>
      <c r="E1408" t="s">
        <v>23</v>
      </c>
      <c r="F1408">
        <v>3</v>
      </c>
      <c r="G1408" t="s">
        <v>20</v>
      </c>
      <c r="H1408">
        <v>3</v>
      </c>
      <c r="I1408">
        <v>2</v>
      </c>
      <c r="J1408" t="s">
        <v>27</v>
      </c>
      <c r="K1408">
        <v>1</v>
      </c>
      <c r="L1408">
        <v>4440</v>
      </c>
      <c r="M1408" t="str" cm="1">
        <f t="array" ref="M1408">_xlfn.IFS(L1408&lt;= 7000,"Low",L1408&lt;=15000,"Medium",L1408&lt;=20000,"High")</f>
        <v>Low</v>
      </c>
      <c r="N1408" t="s">
        <v>18</v>
      </c>
      <c r="O1408">
        <v>19</v>
      </c>
      <c r="P1408">
        <v>3</v>
      </c>
      <c r="Q1408">
        <v>4</v>
      </c>
      <c r="R1408">
        <v>9</v>
      </c>
      <c r="S1408">
        <v>3</v>
      </c>
      <c r="T1408">
        <v>5</v>
      </c>
      <c r="U1408">
        <v>2</v>
      </c>
    </row>
    <row r="1409" spans="1:21" x14ac:dyDescent="0.35">
      <c r="A1409">
        <v>24</v>
      </c>
      <c r="B1409" t="str" cm="1">
        <f t="array" ref="B1409">_xlfn.IFS(A1409&gt;40,"Senior",A1409&gt;30,"Adult",A1409&gt;=18,"Teenager")</f>
        <v>Teenager</v>
      </c>
      <c r="C1409" t="s">
        <v>22</v>
      </c>
      <c r="D1409">
        <f t="shared" si="21"/>
        <v>0</v>
      </c>
      <c r="E1409" t="s">
        <v>23</v>
      </c>
      <c r="F1409">
        <v>2</v>
      </c>
      <c r="G1409" t="s">
        <v>24</v>
      </c>
      <c r="H1409">
        <v>2</v>
      </c>
      <c r="I1409">
        <v>2</v>
      </c>
      <c r="J1409" t="s">
        <v>28</v>
      </c>
      <c r="K1409">
        <v>3</v>
      </c>
      <c r="L1409">
        <v>4617</v>
      </c>
      <c r="M1409" t="str" cm="1">
        <f t="array" ref="M1409">_xlfn.IFS(L1409&lt;= 7000,"Low",L1409&lt;=15000,"Medium",L1409&lt;=20000,"High")</f>
        <v>Low</v>
      </c>
      <c r="N1409" t="s">
        <v>22</v>
      </c>
      <c r="O1409">
        <v>12</v>
      </c>
      <c r="P1409">
        <v>3</v>
      </c>
      <c r="Q1409">
        <v>2</v>
      </c>
      <c r="R1409">
        <v>4</v>
      </c>
      <c r="S1409">
        <v>2</v>
      </c>
      <c r="T1409">
        <v>4</v>
      </c>
      <c r="U1409">
        <v>3</v>
      </c>
    </row>
    <row r="1410" spans="1:21" x14ac:dyDescent="0.35">
      <c r="A1410">
        <v>23</v>
      </c>
      <c r="B1410" t="str" cm="1">
        <f t="array" ref="B1410">_xlfn.IFS(A1410&gt;40,"Senior",A1410&gt;30,"Adult",A1410&gt;=18,"Teenager")</f>
        <v>Teenager</v>
      </c>
      <c r="C1410" t="s">
        <v>22</v>
      </c>
      <c r="D1410">
        <f t="shared" si="21"/>
        <v>0</v>
      </c>
      <c r="E1410" t="s">
        <v>23</v>
      </c>
      <c r="F1410">
        <v>4</v>
      </c>
      <c r="G1410" t="s">
        <v>24</v>
      </c>
      <c r="H1410">
        <v>3</v>
      </c>
      <c r="I1410">
        <v>1</v>
      </c>
      <c r="J1410" t="s">
        <v>26</v>
      </c>
      <c r="K1410">
        <v>4</v>
      </c>
      <c r="L1410">
        <v>2647</v>
      </c>
      <c r="M1410" t="str" cm="1">
        <f t="array" ref="M1410">_xlfn.IFS(L1410&lt;= 7000,"Low",L1410&lt;=15000,"Medium",L1410&lt;=20000,"High")</f>
        <v>Low</v>
      </c>
      <c r="N1410" t="s">
        <v>22</v>
      </c>
      <c r="O1410">
        <v>13</v>
      </c>
      <c r="P1410">
        <v>3</v>
      </c>
      <c r="Q1410">
        <v>3</v>
      </c>
      <c r="R1410">
        <v>5</v>
      </c>
      <c r="S1410">
        <v>4</v>
      </c>
      <c r="T1410">
        <v>5</v>
      </c>
      <c r="U1410">
        <v>2</v>
      </c>
    </row>
    <row r="1411" spans="1:21" x14ac:dyDescent="0.35">
      <c r="A1411">
        <v>40</v>
      </c>
      <c r="B1411" t="str" cm="1">
        <f t="array" ref="B1411">_xlfn.IFS(A1411&gt;40,"Senior",A1411&gt;30,"Adult",A1411&gt;=18,"Teenager")</f>
        <v>Adult</v>
      </c>
      <c r="C1411" t="s">
        <v>22</v>
      </c>
      <c r="D1411">
        <f t="shared" ref="D1411:D1471" si="22">IF(C1411="Yes",1,0)</f>
        <v>0</v>
      </c>
      <c r="E1411" t="s">
        <v>23</v>
      </c>
      <c r="F1411">
        <v>4</v>
      </c>
      <c r="G1411" t="s">
        <v>20</v>
      </c>
      <c r="H1411">
        <v>3</v>
      </c>
      <c r="I1411">
        <v>2</v>
      </c>
      <c r="J1411" t="s">
        <v>26</v>
      </c>
      <c r="K1411">
        <v>3</v>
      </c>
      <c r="L1411">
        <v>6323</v>
      </c>
      <c r="M1411" t="str" cm="1">
        <f t="array" ref="M1411">_xlfn.IFS(L1411&lt;= 7000,"Low",L1411&lt;=15000,"Medium",L1411&lt;=20000,"High")</f>
        <v>Low</v>
      </c>
      <c r="N1411" t="s">
        <v>22</v>
      </c>
      <c r="O1411">
        <v>11</v>
      </c>
      <c r="P1411">
        <v>3</v>
      </c>
      <c r="Q1411">
        <v>1</v>
      </c>
      <c r="R1411">
        <v>10</v>
      </c>
      <c r="S1411">
        <v>4</v>
      </c>
      <c r="T1411">
        <v>10</v>
      </c>
      <c r="U1411">
        <v>9</v>
      </c>
    </row>
    <row r="1412" spans="1:21" x14ac:dyDescent="0.35">
      <c r="A1412">
        <v>40</v>
      </c>
      <c r="B1412" t="str" cm="1">
        <f t="array" ref="B1412">_xlfn.IFS(A1412&gt;40,"Senior",A1412&gt;30,"Adult",A1412&gt;=18,"Teenager")</f>
        <v>Adult</v>
      </c>
      <c r="C1412" t="s">
        <v>22</v>
      </c>
      <c r="D1412">
        <f t="shared" si="22"/>
        <v>0</v>
      </c>
      <c r="E1412" t="s">
        <v>19</v>
      </c>
      <c r="F1412">
        <v>2</v>
      </c>
      <c r="G1412" t="s">
        <v>20</v>
      </c>
      <c r="H1412">
        <v>3</v>
      </c>
      <c r="I1412">
        <v>2</v>
      </c>
      <c r="J1412" t="s">
        <v>21</v>
      </c>
      <c r="K1412">
        <v>2</v>
      </c>
      <c r="L1412">
        <v>5677</v>
      </c>
      <c r="M1412" t="str" cm="1">
        <f t="array" ref="M1412">_xlfn.IFS(L1412&lt;= 7000,"Low",L1412&lt;=15000,"Medium",L1412&lt;=20000,"High")</f>
        <v>Low</v>
      </c>
      <c r="N1412" t="s">
        <v>22</v>
      </c>
      <c r="O1412">
        <v>14</v>
      </c>
      <c r="P1412">
        <v>3</v>
      </c>
      <c r="Q1412">
        <v>3</v>
      </c>
      <c r="R1412">
        <v>15</v>
      </c>
      <c r="S1412">
        <v>3</v>
      </c>
      <c r="T1412">
        <v>11</v>
      </c>
      <c r="U1412">
        <v>8</v>
      </c>
    </row>
    <row r="1413" spans="1:21" x14ac:dyDescent="0.35">
      <c r="A1413">
        <v>25</v>
      </c>
      <c r="B1413" t="str" cm="1">
        <f t="array" ref="B1413">_xlfn.IFS(A1413&gt;40,"Senior",A1413&gt;30,"Adult",A1413&gt;=18,"Teenager")</f>
        <v>Teenager</v>
      </c>
      <c r="C1413" t="s">
        <v>22</v>
      </c>
      <c r="D1413">
        <f t="shared" si="22"/>
        <v>0</v>
      </c>
      <c r="E1413" t="s">
        <v>32</v>
      </c>
      <c r="F1413">
        <v>3</v>
      </c>
      <c r="G1413" t="s">
        <v>20</v>
      </c>
      <c r="H1413">
        <v>3</v>
      </c>
      <c r="I1413">
        <v>1</v>
      </c>
      <c r="J1413" t="s">
        <v>32</v>
      </c>
      <c r="K1413">
        <v>2</v>
      </c>
      <c r="L1413">
        <v>2187</v>
      </c>
      <c r="M1413" t="str" cm="1">
        <f t="array" ref="M1413">_xlfn.IFS(L1413&lt;= 7000,"Low",L1413&lt;=15000,"Medium",L1413&lt;=20000,"High")</f>
        <v>Low</v>
      </c>
      <c r="N1413" t="s">
        <v>22</v>
      </c>
      <c r="O1413">
        <v>14</v>
      </c>
      <c r="P1413">
        <v>3</v>
      </c>
      <c r="Q1413">
        <v>3</v>
      </c>
      <c r="R1413">
        <v>6</v>
      </c>
      <c r="S1413">
        <v>3</v>
      </c>
      <c r="T1413">
        <v>2</v>
      </c>
      <c r="U1413">
        <v>0</v>
      </c>
    </row>
    <row r="1414" spans="1:21" x14ac:dyDescent="0.35">
      <c r="A1414">
        <v>30</v>
      </c>
      <c r="B1414" t="str" cm="1">
        <f t="array" ref="B1414">_xlfn.IFS(A1414&gt;40,"Senior",A1414&gt;30,"Adult",A1414&gt;=18,"Teenager")</f>
        <v>Teenager</v>
      </c>
      <c r="C1414" t="s">
        <v>22</v>
      </c>
      <c r="D1414">
        <f t="shared" si="22"/>
        <v>0</v>
      </c>
      <c r="E1414" t="s">
        <v>23</v>
      </c>
      <c r="F1414">
        <v>4</v>
      </c>
      <c r="G1414" t="s">
        <v>24</v>
      </c>
      <c r="H1414">
        <v>3</v>
      </c>
      <c r="I1414">
        <v>1</v>
      </c>
      <c r="J1414" t="s">
        <v>26</v>
      </c>
      <c r="K1414">
        <v>2</v>
      </c>
      <c r="L1414">
        <v>3748</v>
      </c>
      <c r="M1414" t="str" cm="1">
        <f t="array" ref="M1414">_xlfn.IFS(L1414&lt;= 7000,"Low",L1414&lt;=15000,"Medium",L1414&lt;=20000,"High")</f>
        <v>Low</v>
      </c>
      <c r="N1414" t="s">
        <v>22</v>
      </c>
      <c r="O1414">
        <v>13</v>
      </c>
      <c r="P1414">
        <v>3</v>
      </c>
      <c r="Q1414">
        <v>3</v>
      </c>
      <c r="R1414">
        <v>12</v>
      </c>
      <c r="S1414">
        <v>2</v>
      </c>
      <c r="T1414">
        <v>12</v>
      </c>
      <c r="U1414">
        <v>8</v>
      </c>
    </row>
    <row r="1415" spans="1:21" x14ac:dyDescent="0.35">
      <c r="A1415">
        <v>25</v>
      </c>
      <c r="B1415" t="str" cm="1">
        <f t="array" ref="B1415">_xlfn.IFS(A1415&gt;40,"Senior",A1415&gt;30,"Adult",A1415&gt;=18,"Teenager")</f>
        <v>Teenager</v>
      </c>
      <c r="C1415" t="s">
        <v>22</v>
      </c>
      <c r="D1415">
        <f t="shared" si="22"/>
        <v>0</v>
      </c>
      <c r="E1415" t="s">
        <v>23</v>
      </c>
      <c r="F1415">
        <v>4</v>
      </c>
      <c r="G1415" t="s">
        <v>24</v>
      </c>
      <c r="H1415">
        <v>3</v>
      </c>
      <c r="I1415">
        <v>1</v>
      </c>
      <c r="J1415" t="s">
        <v>26</v>
      </c>
      <c r="K1415">
        <v>3</v>
      </c>
      <c r="L1415">
        <v>3977</v>
      </c>
      <c r="M1415" t="str" cm="1">
        <f t="array" ref="M1415">_xlfn.IFS(L1415&lt;= 7000,"Low",L1415&lt;=15000,"Medium",L1415&lt;=20000,"High")</f>
        <v>Low</v>
      </c>
      <c r="N1415" t="s">
        <v>18</v>
      </c>
      <c r="O1415">
        <v>19</v>
      </c>
      <c r="P1415">
        <v>3</v>
      </c>
      <c r="Q1415">
        <v>3</v>
      </c>
      <c r="R1415">
        <v>7</v>
      </c>
      <c r="S1415">
        <v>2</v>
      </c>
      <c r="T1415">
        <v>2</v>
      </c>
      <c r="U1415">
        <v>2</v>
      </c>
    </row>
    <row r="1416" spans="1:21" x14ac:dyDescent="0.35">
      <c r="A1416">
        <v>47</v>
      </c>
      <c r="B1416" t="str" cm="1">
        <f t="array" ref="B1416">_xlfn.IFS(A1416&gt;40,"Senior",A1416&gt;30,"Adult",A1416&gt;=18,"Teenager")</f>
        <v>Senior</v>
      </c>
      <c r="C1416" t="s">
        <v>22</v>
      </c>
      <c r="D1416">
        <f t="shared" si="22"/>
        <v>0</v>
      </c>
      <c r="E1416" t="s">
        <v>23</v>
      </c>
      <c r="F1416">
        <v>1</v>
      </c>
      <c r="G1416" t="s">
        <v>24</v>
      </c>
      <c r="H1416">
        <v>3</v>
      </c>
      <c r="I1416">
        <v>3</v>
      </c>
      <c r="J1416" t="s">
        <v>28</v>
      </c>
      <c r="K1416">
        <v>3</v>
      </c>
      <c r="L1416">
        <v>8633</v>
      </c>
      <c r="M1416" t="str" cm="1">
        <f t="array" ref="M1416">_xlfn.IFS(L1416&lt;= 7000,"Low",L1416&lt;=15000,"Medium",L1416&lt;=20000,"High")</f>
        <v>Medium</v>
      </c>
      <c r="N1416" t="s">
        <v>22</v>
      </c>
      <c r="O1416">
        <v>23</v>
      </c>
      <c r="P1416">
        <v>4</v>
      </c>
      <c r="Q1416">
        <v>2</v>
      </c>
      <c r="R1416">
        <v>25</v>
      </c>
      <c r="S1416">
        <v>3</v>
      </c>
      <c r="T1416">
        <v>17</v>
      </c>
      <c r="U1416">
        <v>14</v>
      </c>
    </row>
    <row r="1417" spans="1:21" x14ac:dyDescent="0.35">
      <c r="A1417">
        <v>33</v>
      </c>
      <c r="B1417" t="str" cm="1">
        <f t="array" ref="B1417">_xlfn.IFS(A1417&gt;40,"Senior",A1417&gt;30,"Adult",A1417&gt;=18,"Teenager")</f>
        <v>Adult</v>
      </c>
      <c r="C1417" t="s">
        <v>22</v>
      </c>
      <c r="D1417">
        <f t="shared" si="22"/>
        <v>0</v>
      </c>
      <c r="E1417" t="s">
        <v>23</v>
      </c>
      <c r="F1417">
        <v>2</v>
      </c>
      <c r="G1417" t="s">
        <v>24</v>
      </c>
      <c r="H1417">
        <v>2</v>
      </c>
      <c r="I1417">
        <v>1</v>
      </c>
      <c r="J1417" t="s">
        <v>26</v>
      </c>
      <c r="K1417">
        <v>3</v>
      </c>
      <c r="L1417">
        <v>2008</v>
      </c>
      <c r="M1417" t="str" cm="1">
        <f t="array" ref="M1417">_xlfn.IFS(L1417&lt;= 7000,"Low",L1417&lt;=15000,"Medium",L1417&lt;=20000,"High")</f>
        <v>Low</v>
      </c>
      <c r="N1417" t="s">
        <v>22</v>
      </c>
      <c r="O1417">
        <v>12</v>
      </c>
      <c r="P1417">
        <v>3</v>
      </c>
      <c r="Q1417">
        <v>3</v>
      </c>
      <c r="R1417">
        <v>1</v>
      </c>
      <c r="S1417">
        <v>2</v>
      </c>
      <c r="T1417">
        <v>1</v>
      </c>
      <c r="U1417">
        <v>1</v>
      </c>
    </row>
    <row r="1418" spans="1:21" x14ac:dyDescent="0.35">
      <c r="A1418">
        <v>38</v>
      </c>
      <c r="B1418" t="str" cm="1">
        <f t="array" ref="B1418">_xlfn.IFS(A1418&gt;40,"Senior",A1418&gt;30,"Adult",A1418&gt;=18,"Teenager")</f>
        <v>Adult</v>
      </c>
      <c r="C1418" t="s">
        <v>22</v>
      </c>
      <c r="D1418">
        <f t="shared" si="22"/>
        <v>0</v>
      </c>
      <c r="E1418" t="s">
        <v>19</v>
      </c>
      <c r="F1418">
        <v>4</v>
      </c>
      <c r="G1418" t="s">
        <v>24</v>
      </c>
      <c r="H1418">
        <v>3</v>
      </c>
      <c r="I1418">
        <v>2</v>
      </c>
      <c r="J1418" t="s">
        <v>21</v>
      </c>
      <c r="K1418">
        <v>2</v>
      </c>
      <c r="L1418">
        <v>4440</v>
      </c>
      <c r="M1418" t="str" cm="1">
        <f t="array" ref="M1418">_xlfn.IFS(L1418&lt;= 7000,"Low",L1418&lt;=15000,"Medium",L1418&lt;=20000,"High")</f>
        <v>Low</v>
      </c>
      <c r="N1418" t="s">
        <v>22</v>
      </c>
      <c r="O1418">
        <v>15</v>
      </c>
      <c r="P1418">
        <v>3</v>
      </c>
      <c r="Q1418">
        <v>1</v>
      </c>
      <c r="R1418">
        <v>16</v>
      </c>
      <c r="S1418">
        <v>3</v>
      </c>
      <c r="T1418">
        <v>15</v>
      </c>
      <c r="U1418">
        <v>13</v>
      </c>
    </row>
    <row r="1419" spans="1:21" x14ac:dyDescent="0.35">
      <c r="A1419">
        <v>31</v>
      </c>
      <c r="B1419" t="str" cm="1">
        <f t="array" ref="B1419">_xlfn.IFS(A1419&gt;40,"Senior",A1419&gt;30,"Adult",A1419&gt;=18,"Teenager")</f>
        <v>Adult</v>
      </c>
      <c r="C1419" t="s">
        <v>22</v>
      </c>
      <c r="D1419">
        <f t="shared" si="22"/>
        <v>0</v>
      </c>
      <c r="E1419" t="s">
        <v>19</v>
      </c>
      <c r="F1419">
        <v>1</v>
      </c>
      <c r="G1419" t="s">
        <v>24</v>
      </c>
      <c r="H1419">
        <v>3</v>
      </c>
      <c r="I1419">
        <v>1</v>
      </c>
      <c r="J1419" t="s">
        <v>30</v>
      </c>
      <c r="K1419">
        <v>3</v>
      </c>
      <c r="L1419">
        <v>3067</v>
      </c>
      <c r="M1419" t="str" cm="1">
        <f t="array" ref="M1419">_xlfn.IFS(L1419&lt;= 7000,"Low",L1419&lt;=15000,"Medium",L1419&lt;=20000,"High")</f>
        <v>Low</v>
      </c>
      <c r="N1419" t="s">
        <v>22</v>
      </c>
      <c r="O1419">
        <v>19</v>
      </c>
      <c r="P1419">
        <v>3</v>
      </c>
      <c r="Q1419">
        <v>3</v>
      </c>
      <c r="R1419">
        <v>3</v>
      </c>
      <c r="S1419">
        <v>3</v>
      </c>
      <c r="T1419">
        <v>2</v>
      </c>
      <c r="U1419">
        <v>2</v>
      </c>
    </row>
    <row r="1420" spans="1:21" x14ac:dyDescent="0.35">
      <c r="A1420">
        <v>38</v>
      </c>
      <c r="B1420" t="str" cm="1">
        <f t="array" ref="B1420">_xlfn.IFS(A1420&gt;40,"Senior",A1420&gt;30,"Adult",A1420&gt;=18,"Teenager")</f>
        <v>Adult</v>
      </c>
      <c r="C1420" t="s">
        <v>22</v>
      </c>
      <c r="D1420">
        <f t="shared" si="22"/>
        <v>0</v>
      </c>
      <c r="E1420" t="s">
        <v>23</v>
      </c>
      <c r="F1420">
        <v>1</v>
      </c>
      <c r="G1420" t="s">
        <v>24</v>
      </c>
      <c r="H1420">
        <v>2</v>
      </c>
      <c r="I1420">
        <v>2</v>
      </c>
      <c r="J1420" t="s">
        <v>27</v>
      </c>
      <c r="K1420">
        <v>3</v>
      </c>
      <c r="L1420">
        <v>5321</v>
      </c>
      <c r="M1420" t="str" cm="1">
        <f t="array" ref="M1420">_xlfn.IFS(L1420&lt;= 7000,"Low",L1420&lt;=15000,"Medium",L1420&lt;=20000,"High")</f>
        <v>Low</v>
      </c>
      <c r="N1420" t="s">
        <v>22</v>
      </c>
      <c r="O1420">
        <v>11</v>
      </c>
      <c r="P1420">
        <v>3</v>
      </c>
      <c r="Q1420">
        <v>4</v>
      </c>
      <c r="R1420">
        <v>10</v>
      </c>
      <c r="S1420">
        <v>3</v>
      </c>
      <c r="T1420">
        <v>8</v>
      </c>
      <c r="U1420">
        <v>3</v>
      </c>
    </row>
    <row r="1421" spans="1:21" x14ac:dyDescent="0.35">
      <c r="A1421">
        <v>42</v>
      </c>
      <c r="B1421" t="str" cm="1">
        <f t="array" ref="B1421">_xlfn.IFS(A1421&gt;40,"Senior",A1421&gt;30,"Adult",A1421&gt;=18,"Teenager")</f>
        <v>Senior</v>
      </c>
      <c r="C1421" t="s">
        <v>22</v>
      </c>
      <c r="D1421">
        <f t="shared" si="22"/>
        <v>0</v>
      </c>
      <c r="E1421" t="s">
        <v>23</v>
      </c>
      <c r="F1421">
        <v>4</v>
      </c>
      <c r="G1421" t="s">
        <v>24</v>
      </c>
      <c r="H1421">
        <v>3</v>
      </c>
      <c r="I1421">
        <v>2</v>
      </c>
      <c r="J1421" t="s">
        <v>25</v>
      </c>
      <c r="K1421">
        <v>1</v>
      </c>
      <c r="L1421">
        <v>5410</v>
      </c>
      <c r="M1421" t="str" cm="1">
        <f t="array" ref="M1421">_xlfn.IFS(L1421&lt;= 7000,"Low",L1421&lt;=15000,"Medium",L1421&lt;=20000,"High")</f>
        <v>Low</v>
      </c>
      <c r="N1421" t="s">
        <v>18</v>
      </c>
      <c r="O1421">
        <v>17</v>
      </c>
      <c r="P1421">
        <v>3</v>
      </c>
      <c r="Q1421">
        <v>3</v>
      </c>
      <c r="R1421">
        <v>9</v>
      </c>
      <c r="S1421">
        <v>2</v>
      </c>
      <c r="T1421">
        <v>4</v>
      </c>
      <c r="U1421">
        <v>3</v>
      </c>
    </row>
    <row r="1422" spans="1:21" x14ac:dyDescent="0.35">
      <c r="A1422">
        <v>41</v>
      </c>
      <c r="B1422" t="str" cm="1">
        <f t="array" ref="B1422">_xlfn.IFS(A1422&gt;40,"Senior",A1422&gt;30,"Adult",A1422&gt;=18,"Teenager")</f>
        <v>Senior</v>
      </c>
      <c r="C1422" t="s">
        <v>22</v>
      </c>
      <c r="D1422">
        <f t="shared" si="22"/>
        <v>0</v>
      </c>
      <c r="E1422" t="s">
        <v>23</v>
      </c>
      <c r="F1422">
        <v>4</v>
      </c>
      <c r="G1422" t="s">
        <v>24</v>
      </c>
      <c r="H1422">
        <v>3</v>
      </c>
      <c r="I1422">
        <v>1</v>
      </c>
      <c r="J1422" t="s">
        <v>25</v>
      </c>
      <c r="K1422">
        <v>4</v>
      </c>
      <c r="L1422">
        <v>2782</v>
      </c>
      <c r="M1422" t="str" cm="1">
        <f t="array" ref="M1422">_xlfn.IFS(L1422&lt;= 7000,"Low",L1422&lt;=15000,"Medium",L1422&lt;=20000,"High")</f>
        <v>Low</v>
      </c>
      <c r="N1422" t="s">
        <v>22</v>
      </c>
      <c r="O1422">
        <v>22</v>
      </c>
      <c r="P1422">
        <v>4</v>
      </c>
      <c r="Q1422">
        <v>1</v>
      </c>
      <c r="R1422">
        <v>12</v>
      </c>
      <c r="S1422">
        <v>3</v>
      </c>
      <c r="T1422">
        <v>5</v>
      </c>
      <c r="U1422">
        <v>3</v>
      </c>
    </row>
    <row r="1423" spans="1:21" x14ac:dyDescent="0.35">
      <c r="A1423">
        <v>47</v>
      </c>
      <c r="B1423" t="str" cm="1">
        <f t="array" ref="B1423">_xlfn.IFS(A1423&gt;40,"Senior",A1423&gt;30,"Adult",A1423&gt;=18,"Teenager")</f>
        <v>Senior</v>
      </c>
      <c r="C1423" t="s">
        <v>22</v>
      </c>
      <c r="D1423">
        <f t="shared" si="22"/>
        <v>0</v>
      </c>
      <c r="E1423" t="s">
        <v>23</v>
      </c>
      <c r="F1423">
        <v>3</v>
      </c>
      <c r="G1423" t="s">
        <v>20</v>
      </c>
      <c r="H1423">
        <v>3</v>
      </c>
      <c r="I1423">
        <v>3</v>
      </c>
      <c r="J1423" t="s">
        <v>31</v>
      </c>
      <c r="K1423">
        <v>2</v>
      </c>
      <c r="L1423">
        <v>11957</v>
      </c>
      <c r="M1423" t="str" cm="1">
        <f t="array" ref="M1423">_xlfn.IFS(L1423&lt;= 7000,"Low",L1423&lt;=15000,"Medium",L1423&lt;=20000,"High")</f>
        <v>Medium</v>
      </c>
      <c r="N1423" t="s">
        <v>22</v>
      </c>
      <c r="O1423">
        <v>18</v>
      </c>
      <c r="P1423">
        <v>3</v>
      </c>
      <c r="Q1423">
        <v>1</v>
      </c>
      <c r="R1423">
        <v>14</v>
      </c>
      <c r="S1423">
        <v>1</v>
      </c>
      <c r="T1423">
        <v>13</v>
      </c>
      <c r="U1423">
        <v>8</v>
      </c>
    </row>
    <row r="1424" spans="1:21" x14ac:dyDescent="0.35">
      <c r="A1424">
        <v>35</v>
      </c>
      <c r="B1424" t="str" cm="1">
        <f t="array" ref="B1424">_xlfn.IFS(A1424&gt;40,"Senior",A1424&gt;30,"Adult",A1424&gt;=18,"Teenager")</f>
        <v>Adult</v>
      </c>
      <c r="C1424" t="s">
        <v>22</v>
      </c>
      <c r="D1424">
        <f t="shared" si="22"/>
        <v>0</v>
      </c>
      <c r="E1424" t="s">
        <v>23</v>
      </c>
      <c r="F1424">
        <v>4</v>
      </c>
      <c r="G1424" t="s">
        <v>24</v>
      </c>
      <c r="H1424">
        <v>3</v>
      </c>
      <c r="I1424">
        <v>1</v>
      </c>
      <c r="J1424" t="s">
        <v>26</v>
      </c>
      <c r="K1424">
        <v>3</v>
      </c>
      <c r="L1424">
        <v>2660</v>
      </c>
      <c r="M1424" t="str" cm="1">
        <f t="array" ref="M1424">_xlfn.IFS(L1424&lt;= 7000,"Low",L1424&lt;=15000,"Medium",L1424&lt;=20000,"High")</f>
        <v>Low</v>
      </c>
      <c r="N1424" t="s">
        <v>18</v>
      </c>
      <c r="O1424">
        <v>11</v>
      </c>
      <c r="P1424">
        <v>3</v>
      </c>
      <c r="Q1424">
        <v>3</v>
      </c>
      <c r="R1424">
        <v>5</v>
      </c>
      <c r="S1424">
        <v>3</v>
      </c>
      <c r="T1424">
        <v>2</v>
      </c>
      <c r="U1424">
        <v>2</v>
      </c>
    </row>
    <row r="1425" spans="1:21" x14ac:dyDescent="0.35">
      <c r="A1425">
        <v>22</v>
      </c>
      <c r="B1425" t="str" cm="1">
        <f t="array" ref="B1425">_xlfn.IFS(A1425&gt;40,"Senior",A1425&gt;30,"Adult",A1425&gt;=18,"Teenager")</f>
        <v>Teenager</v>
      </c>
      <c r="C1425" t="s">
        <v>22</v>
      </c>
      <c r="D1425">
        <f t="shared" si="22"/>
        <v>0</v>
      </c>
      <c r="E1425" t="s">
        <v>23</v>
      </c>
      <c r="F1425">
        <v>4</v>
      </c>
      <c r="G1425" t="s">
        <v>24</v>
      </c>
      <c r="H1425">
        <v>3</v>
      </c>
      <c r="I1425">
        <v>1</v>
      </c>
      <c r="J1425" t="s">
        <v>25</v>
      </c>
      <c r="K1425">
        <v>3</v>
      </c>
      <c r="L1425">
        <v>3375</v>
      </c>
      <c r="M1425" t="str" cm="1">
        <f t="array" ref="M1425">_xlfn.IFS(L1425&lt;= 7000,"Low",L1425&lt;=15000,"Medium",L1425&lt;=20000,"High")</f>
        <v>Low</v>
      </c>
      <c r="N1425" t="s">
        <v>22</v>
      </c>
      <c r="O1425">
        <v>12</v>
      </c>
      <c r="P1425">
        <v>3</v>
      </c>
      <c r="Q1425">
        <v>4</v>
      </c>
      <c r="R1425">
        <v>4</v>
      </c>
      <c r="S1425">
        <v>4</v>
      </c>
      <c r="T1425">
        <v>3</v>
      </c>
      <c r="U1425">
        <v>2</v>
      </c>
    </row>
    <row r="1426" spans="1:21" x14ac:dyDescent="0.35">
      <c r="A1426">
        <v>35</v>
      </c>
      <c r="B1426" t="str" cm="1">
        <f t="array" ref="B1426">_xlfn.IFS(A1426&gt;40,"Senior",A1426&gt;30,"Adult",A1426&gt;=18,"Teenager")</f>
        <v>Adult</v>
      </c>
      <c r="C1426" t="s">
        <v>22</v>
      </c>
      <c r="D1426">
        <f t="shared" si="22"/>
        <v>0</v>
      </c>
      <c r="E1426" t="s">
        <v>23</v>
      </c>
      <c r="F1426">
        <v>2</v>
      </c>
      <c r="G1426" t="s">
        <v>24</v>
      </c>
      <c r="H1426">
        <v>3</v>
      </c>
      <c r="I1426">
        <v>2</v>
      </c>
      <c r="J1426" t="s">
        <v>25</v>
      </c>
      <c r="K1426">
        <v>3</v>
      </c>
      <c r="L1426">
        <v>5098</v>
      </c>
      <c r="M1426" t="str" cm="1">
        <f t="array" ref="M1426">_xlfn.IFS(L1426&lt;= 7000,"Low",L1426&lt;=15000,"Medium",L1426&lt;=20000,"High")</f>
        <v>Low</v>
      </c>
      <c r="N1426" t="s">
        <v>22</v>
      </c>
      <c r="O1426">
        <v>19</v>
      </c>
      <c r="P1426">
        <v>3</v>
      </c>
      <c r="Q1426">
        <v>2</v>
      </c>
      <c r="R1426">
        <v>10</v>
      </c>
      <c r="S1426">
        <v>3</v>
      </c>
      <c r="T1426">
        <v>10</v>
      </c>
      <c r="U1426">
        <v>7</v>
      </c>
    </row>
    <row r="1427" spans="1:21" x14ac:dyDescent="0.35">
      <c r="A1427">
        <v>33</v>
      </c>
      <c r="B1427" t="str" cm="1">
        <f t="array" ref="B1427">_xlfn.IFS(A1427&gt;40,"Senior",A1427&gt;30,"Adult",A1427&gt;=18,"Teenager")</f>
        <v>Adult</v>
      </c>
      <c r="C1427" t="s">
        <v>22</v>
      </c>
      <c r="D1427">
        <f t="shared" si="22"/>
        <v>0</v>
      </c>
      <c r="E1427" t="s">
        <v>23</v>
      </c>
      <c r="F1427">
        <v>2</v>
      </c>
      <c r="G1427" t="s">
        <v>20</v>
      </c>
      <c r="H1427">
        <v>3</v>
      </c>
      <c r="I1427">
        <v>2</v>
      </c>
      <c r="J1427" t="s">
        <v>28</v>
      </c>
      <c r="K1427">
        <v>4</v>
      </c>
      <c r="L1427">
        <v>4878</v>
      </c>
      <c r="M1427" t="str" cm="1">
        <f t="array" ref="M1427">_xlfn.IFS(L1427&lt;= 7000,"Low",L1427&lt;=15000,"Medium",L1427&lt;=20000,"High")</f>
        <v>Low</v>
      </c>
      <c r="N1427" t="s">
        <v>18</v>
      </c>
      <c r="O1427">
        <v>13</v>
      </c>
      <c r="P1427">
        <v>3</v>
      </c>
      <c r="Q1427">
        <v>1</v>
      </c>
      <c r="R1427">
        <v>10</v>
      </c>
      <c r="S1427">
        <v>3</v>
      </c>
      <c r="T1427">
        <v>9</v>
      </c>
      <c r="U1427">
        <v>7</v>
      </c>
    </row>
    <row r="1428" spans="1:21" x14ac:dyDescent="0.35">
      <c r="A1428">
        <v>32</v>
      </c>
      <c r="B1428" t="str" cm="1">
        <f t="array" ref="B1428">_xlfn.IFS(A1428&gt;40,"Senior",A1428&gt;30,"Adult",A1428&gt;=18,"Teenager")</f>
        <v>Adult</v>
      </c>
      <c r="C1428" t="s">
        <v>22</v>
      </c>
      <c r="D1428">
        <f t="shared" si="22"/>
        <v>0</v>
      </c>
      <c r="E1428" t="s">
        <v>23</v>
      </c>
      <c r="F1428">
        <v>3</v>
      </c>
      <c r="G1428" t="s">
        <v>20</v>
      </c>
      <c r="H1428">
        <v>2</v>
      </c>
      <c r="I1428">
        <v>1</v>
      </c>
      <c r="J1428" t="s">
        <v>26</v>
      </c>
      <c r="K1428">
        <v>2</v>
      </c>
      <c r="L1428">
        <v>2837</v>
      </c>
      <c r="M1428" t="str" cm="1">
        <f t="array" ref="M1428">_xlfn.IFS(L1428&lt;= 7000,"Low",L1428&lt;=15000,"Medium",L1428&lt;=20000,"High")</f>
        <v>Low</v>
      </c>
      <c r="N1428" t="s">
        <v>22</v>
      </c>
      <c r="O1428">
        <v>13</v>
      </c>
      <c r="P1428">
        <v>3</v>
      </c>
      <c r="Q1428">
        <v>3</v>
      </c>
      <c r="R1428">
        <v>6</v>
      </c>
      <c r="S1428">
        <v>3</v>
      </c>
      <c r="T1428">
        <v>6</v>
      </c>
      <c r="U1428">
        <v>2</v>
      </c>
    </row>
    <row r="1429" spans="1:21" x14ac:dyDescent="0.35">
      <c r="A1429">
        <v>40</v>
      </c>
      <c r="B1429" t="str" cm="1">
        <f t="array" ref="B1429">_xlfn.IFS(A1429&gt;40,"Senior",A1429&gt;30,"Adult",A1429&gt;=18,"Teenager")</f>
        <v>Adult</v>
      </c>
      <c r="C1429" t="s">
        <v>22</v>
      </c>
      <c r="D1429">
        <f t="shared" si="22"/>
        <v>0</v>
      </c>
      <c r="E1429" t="s">
        <v>23</v>
      </c>
      <c r="F1429">
        <v>1</v>
      </c>
      <c r="G1429" t="s">
        <v>24</v>
      </c>
      <c r="H1429">
        <v>3</v>
      </c>
      <c r="I1429">
        <v>1</v>
      </c>
      <c r="J1429" t="s">
        <v>26</v>
      </c>
      <c r="K1429">
        <v>4</v>
      </c>
      <c r="L1429">
        <v>2406</v>
      </c>
      <c r="M1429" t="str" cm="1">
        <f t="array" ref="M1429">_xlfn.IFS(L1429&lt;= 7000,"Low",L1429&lt;=15000,"Medium",L1429&lt;=20000,"High")</f>
        <v>Low</v>
      </c>
      <c r="N1429" t="s">
        <v>22</v>
      </c>
      <c r="O1429">
        <v>19</v>
      </c>
      <c r="P1429">
        <v>3</v>
      </c>
      <c r="Q1429">
        <v>3</v>
      </c>
      <c r="R1429">
        <v>8</v>
      </c>
      <c r="S1429">
        <v>2</v>
      </c>
      <c r="T1429">
        <v>1</v>
      </c>
      <c r="U1429">
        <v>0</v>
      </c>
    </row>
    <row r="1430" spans="1:21" x14ac:dyDescent="0.35">
      <c r="A1430">
        <v>32</v>
      </c>
      <c r="B1430" t="str" cm="1">
        <f t="array" ref="B1430">_xlfn.IFS(A1430&gt;40,"Senior",A1430&gt;30,"Adult",A1430&gt;=18,"Teenager")</f>
        <v>Adult</v>
      </c>
      <c r="C1430" t="s">
        <v>22</v>
      </c>
      <c r="D1430">
        <f t="shared" si="22"/>
        <v>0</v>
      </c>
      <c r="E1430" t="s">
        <v>19</v>
      </c>
      <c r="F1430">
        <v>2</v>
      </c>
      <c r="G1430" t="s">
        <v>24</v>
      </c>
      <c r="H1430">
        <v>2</v>
      </c>
      <c r="I1430">
        <v>1</v>
      </c>
      <c r="J1430" t="s">
        <v>30</v>
      </c>
      <c r="K1430">
        <v>2</v>
      </c>
      <c r="L1430">
        <v>2269</v>
      </c>
      <c r="M1430" t="str" cm="1">
        <f t="array" ref="M1430">_xlfn.IFS(L1430&lt;= 7000,"Low",L1430&lt;=15000,"Medium",L1430&lt;=20000,"High")</f>
        <v>Low</v>
      </c>
      <c r="N1430" t="s">
        <v>22</v>
      </c>
      <c r="O1430">
        <v>14</v>
      </c>
      <c r="P1430">
        <v>3</v>
      </c>
      <c r="Q1430">
        <v>2</v>
      </c>
      <c r="R1430">
        <v>3</v>
      </c>
      <c r="S1430">
        <v>3</v>
      </c>
      <c r="T1430">
        <v>2</v>
      </c>
      <c r="U1430">
        <v>2</v>
      </c>
    </row>
    <row r="1431" spans="1:21" x14ac:dyDescent="0.35">
      <c r="A1431">
        <v>39</v>
      </c>
      <c r="B1431" t="str" cm="1">
        <f t="array" ref="B1431">_xlfn.IFS(A1431&gt;40,"Senior",A1431&gt;30,"Adult",A1431&gt;=18,"Teenager")</f>
        <v>Adult</v>
      </c>
      <c r="C1431" t="s">
        <v>22</v>
      </c>
      <c r="D1431">
        <f t="shared" si="22"/>
        <v>0</v>
      </c>
      <c r="E1431" t="s">
        <v>23</v>
      </c>
      <c r="F1431">
        <v>1</v>
      </c>
      <c r="G1431" t="s">
        <v>24</v>
      </c>
      <c r="H1431">
        <v>3</v>
      </c>
      <c r="I1431">
        <v>2</v>
      </c>
      <c r="J1431" t="s">
        <v>25</v>
      </c>
      <c r="K1431">
        <v>4</v>
      </c>
      <c r="L1431">
        <v>4108</v>
      </c>
      <c r="M1431" t="str" cm="1">
        <f t="array" ref="M1431">_xlfn.IFS(L1431&lt;= 7000,"Low",L1431&lt;=15000,"Medium",L1431&lt;=20000,"High")</f>
        <v>Low</v>
      </c>
      <c r="N1431" t="s">
        <v>22</v>
      </c>
      <c r="O1431">
        <v>13</v>
      </c>
      <c r="P1431">
        <v>3</v>
      </c>
      <c r="Q1431">
        <v>1</v>
      </c>
      <c r="R1431">
        <v>18</v>
      </c>
      <c r="S1431">
        <v>3</v>
      </c>
      <c r="T1431">
        <v>7</v>
      </c>
      <c r="U1431">
        <v>7</v>
      </c>
    </row>
    <row r="1432" spans="1:21" x14ac:dyDescent="0.35">
      <c r="A1432">
        <v>38</v>
      </c>
      <c r="B1432" t="str" cm="1">
        <f t="array" ref="B1432">_xlfn.IFS(A1432&gt;40,"Senior",A1432&gt;30,"Adult",A1432&gt;=18,"Teenager")</f>
        <v>Adult</v>
      </c>
      <c r="C1432" t="s">
        <v>22</v>
      </c>
      <c r="D1432">
        <f t="shared" si="22"/>
        <v>0</v>
      </c>
      <c r="E1432" t="s">
        <v>23</v>
      </c>
      <c r="F1432">
        <v>2</v>
      </c>
      <c r="G1432" t="s">
        <v>20</v>
      </c>
      <c r="H1432">
        <v>1</v>
      </c>
      <c r="I1432">
        <v>3</v>
      </c>
      <c r="J1432" t="s">
        <v>31</v>
      </c>
      <c r="K1432">
        <v>3</v>
      </c>
      <c r="L1432">
        <v>13206</v>
      </c>
      <c r="M1432" t="str" cm="1">
        <f t="array" ref="M1432">_xlfn.IFS(L1432&lt;= 7000,"Low",L1432&lt;=15000,"Medium",L1432&lt;=20000,"High")</f>
        <v>Medium</v>
      </c>
      <c r="N1432" t="s">
        <v>22</v>
      </c>
      <c r="O1432">
        <v>12</v>
      </c>
      <c r="P1432">
        <v>3</v>
      </c>
      <c r="Q1432">
        <v>1</v>
      </c>
      <c r="R1432">
        <v>20</v>
      </c>
      <c r="S1432">
        <v>3</v>
      </c>
      <c r="T1432">
        <v>18</v>
      </c>
      <c r="U1432">
        <v>16</v>
      </c>
    </row>
    <row r="1433" spans="1:21" x14ac:dyDescent="0.35">
      <c r="A1433">
        <v>32</v>
      </c>
      <c r="B1433" t="str" cm="1">
        <f t="array" ref="B1433">_xlfn.IFS(A1433&gt;40,"Senior",A1433&gt;30,"Adult",A1433&gt;=18,"Teenager")</f>
        <v>Adult</v>
      </c>
      <c r="C1433" t="s">
        <v>22</v>
      </c>
      <c r="D1433">
        <f t="shared" si="22"/>
        <v>0</v>
      </c>
      <c r="E1433" t="s">
        <v>19</v>
      </c>
      <c r="F1433">
        <v>3</v>
      </c>
      <c r="G1433" t="s">
        <v>20</v>
      </c>
      <c r="H1433">
        <v>3</v>
      </c>
      <c r="I1433">
        <v>3</v>
      </c>
      <c r="J1433" t="s">
        <v>21</v>
      </c>
      <c r="K1433">
        <v>4</v>
      </c>
      <c r="L1433">
        <v>10422</v>
      </c>
      <c r="M1433" t="str" cm="1">
        <f t="array" ref="M1433">_xlfn.IFS(L1433&lt;= 7000,"Low",L1433&lt;=15000,"Medium",L1433&lt;=20000,"High")</f>
        <v>Medium</v>
      </c>
      <c r="N1433" t="s">
        <v>22</v>
      </c>
      <c r="O1433">
        <v>19</v>
      </c>
      <c r="P1433">
        <v>3</v>
      </c>
      <c r="Q1433">
        <v>3</v>
      </c>
      <c r="R1433">
        <v>14</v>
      </c>
      <c r="S1433">
        <v>3</v>
      </c>
      <c r="T1433">
        <v>14</v>
      </c>
      <c r="U1433">
        <v>10</v>
      </c>
    </row>
    <row r="1434" spans="1:21" x14ac:dyDescent="0.35">
      <c r="A1434">
        <v>37</v>
      </c>
      <c r="B1434" t="str" cm="1">
        <f t="array" ref="B1434">_xlfn.IFS(A1434&gt;40,"Senior",A1434&gt;30,"Adult",A1434&gt;=18,"Teenager")</f>
        <v>Adult</v>
      </c>
      <c r="C1434" t="s">
        <v>22</v>
      </c>
      <c r="D1434">
        <f t="shared" si="22"/>
        <v>0</v>
      </c>
      <c r="E1434" t="s">
        <v>23</v>
      </c>
      <c r="F1434">
        <v>3</v>
      </c>
      <c r="G1434" t="s">
        <v>20</v>
      </c>
      <c r="H1434">
        <v>4</v>
      </c>
      <c r="I1434">
        <v>3</v>
      </c>
      <c r="J1434" t="s">
        <v>31</v>
      </c>
      <c r="K1434">
        <v>4</v>
      </c>
      <c r="L1434">
        <v>13744</v>
      </c>
      <c r="M1434" t="str" cm="1">
        <f t="array" ref="M1434">_xlfn.IFS(L1434&lt;= 7000,"Low",L1434&lt;=15000,"Medium",L1434&lt;=20000,"High")</f>
        <v>Medium</v>
      </c>
      <c r="N1434" t="s">
        <v>18</v>
      </c>
      <c r="O1434">
        <v>25</v>
      </c>
      <c r="P1434">
        <v>4</v>
      </c>
      <c r="Q1434">
        <v>1</v>
      </c>
      <c r="R1434">
        <v>16</v>
      </c>
      <c r="S1434">
        <v>3</v>
      </c>
      <c r="T1434">
        <v>16</v>
      </c>
      <c r="U1434">
        <v>11</v>
      </c>
    </row>
    <row r="1435" spans="1:21" x14ac:dyDescent="0.35">
      <c r="A1435">
        <v>25</v>
      </c>
      <c r="B1435" t="str" cm="1">
        <f t="array" ref="B1435">_xlfn.IFS(A1435&gt;40,"Senior",A1435&gt;30,"Adult",A1435&gt;=18,"Teenager")</f>
        <v>Teenager</v>
      </c>
      <c r="C1435" t="s">
        <v>22</v>
      </c>
      <c r="D1435">
        <f t="shared" si="22"/>
        <v>0</v>
      </c>
      <c r="E1435" t="s">
        <v>19</v>
      </c>
      <c r="F1435">
        <v>1</v>
      </c>
      <c r="G1435" t="s">
        <v>20</v>
      </c>
      <c r="H1435">
        <v>3</v>
      </c>
      <c r="I1435">
        <v>2</v>
      </c>
      <c r="J1435" t="s">
        <v>21</v>
      </c>
      <c r="K1435">
        <v>3</v>
      </c>
      <c r="L1435">
        <v>4907</v>
      </c>
      <c r="M1435" t="str" cm="1">
        <f t="array" ref="M1435">_xlfn.IFS(L1435&lt;= 7000,"Low",L1435&lt;=15000,"Medium",L1435&lt;=20000,"High")</f>
        <v>Low</v>
      </c>
      <c r="N1435" t="s">
        <v>18</v>
      </c>
      <c r="O1435">
        <v>22</v>
      </c>
      <c r="P1435">
        <v>4</v>
      </c>
      <c r="Q1435">
        <v>2</v>
      </c>
      <c r="R1435">
        <v>6</v>
      </c>
      <c r="S1435">
        <v>2</v>
      </c>
      <c r="T1435">
        <v>5</v>
      </c>
      <c r="U1435">
        <v>3</v>
      </c>
    </row>
    <row r="1436" spans="1:21" x14ac:dyDescent="0.35">
      <c r="A1436">
        <v>52</v>
      </c>
      <c r="B1436" t="str" cm="1">
        <f t="array" ref="B1436">_xlfn.IFS(A1436&gt;40,"Senior",A1436&gt;30,"Adult",A1436&gt;=18,"Teenager")</f>
        <v>Senior</v>
      </c>
      <c r="C1436" t="s">
        <v>22</v>
      </c>
      <c r="D1436">
        <f t="shared" si="22"/>
        <v>0</v>
      </c>
      <c r="E1436" t="s">
        <v>19</v>
      </c>
      <c r="F1436">
        <v>1</v>
      </c>
      <c r="G1436" t="s">
        <v>24</v>
      </c>
      <c r="H1436">
        <v>3</v>
      </c>
      <c r="I1436">
        <v>1</v>
      </c>
      <c r="J1436" t="s">
        <v>30</v>
      </c>
      <c r="K1436">
        <v>4</v>
      </c>
      <c r="L1436">
        <v>3482</v>
      </c>
      <c r="M1436" t="str" cm="1">
        <f t="array" ref="M1436">_xlfn.IFS(L1436&lt;= 7000,"Low",L1436&lt;=15000,"Medium",L1436&lt;=20000,"High")</f>
        <v>Low</v>
      </c>
      <c r="N1436" t="s">
        <v>22</v>
      </c>
      <c r="O1436">
        <v>15</v>
      </c>
      <c r="P1436">
        <v>3</v>
      </c>
      <c r="Q1436">
        <v>2</v>
      </c>
      <c r="R1436">
        <v>16</v>
      </c>
      <c r="S1436">
        <v>2</v>
      </c>
      <c r="T1436">
        <v>9</v>
      </c>
      <c r="U1436">
        <v>8</v>
      </c>
    </row>
    <row r="1437" spans="1:21" x14ac:dyDescent="0.35">
      <c r="A1437">
        <v>44</v>
      </c>
      <c r="B1437" t="str" cm="1">
        <f t="array" ref="B1437">_xlfn.IFS(A1437&gt;40,"Senior",A1437&gt;30,"Adult",A1437&gt;=18,"Teenager")</f>
        <v>Senior</v>
      </c>
      <c r="C1437" t="s">
        <v>22</v>
      </c>
      <c r="D1437">
        <f t="shared" si="22"/>
        <v>0</v>
      </c>
      <c r="E1437" t="s">
        <v>23</v>
      </c>
      <c r="F1437">
        <v>2</v>
      </c>
      <c r="G1437" t="s">
        <v>24</v>
      </c>
      <c r="H1437">
        <v>3</v>
      </c>
      <c r="I1437">
        <v>1</v>
      </c>
      <c r="J1437" t="s">
        <v>25</v>
      </c>
      <c r="K1437">
        <v>4</v>
      </c>
      <c r="L1437">
        <v>2436</v>
      </c>
      <c r="M1437" t="str" cm="1">
        <f t="array" ref="M1437">_xlfn.IFS(L1437&lt;= 7000,"Low",L1437&lt;=15000,"Medium",L1437&lt;=20000,"High")</f>
        <v>Low</v>
      </c>
      <c r="N1437" t="s">
        <v>18</v>
      </c>
      <c r="O1437">
        <v>12</v>
      </c>
      <c r="P1437">
        <v>3</v>
      </c>
      <c r="Q1437">
        <v>3</v>
      </c>
      <c r="R1437">
        <v>6</v>
      </c>
      <c r="S1437">
        <v>3</v>
      </c>
      <c r="T1437">
        <v>4</v>
      </c>
      <c r="U1437">
        <v>3</v>
      </c>
    </row>
    <row r="1438" spans="1:21" x14ac:dyDescent="0.35">
      <c r="A1438">
        <v>21</v>
      </c>
      <c r="B1438" t="str" cm="1">
        <f t="array" ref="B1438">_xlfn.IFS(A1438&gt;40,"Senior",A1438&gt;30,"Adult",A1438&gt;=18,"Teenager")</f>
        <v>Teenager</v>
      </c>
      <c r="C1438" t="s">
        <v>22</v>
      </c>
      <c r="D1438">
        <f t="shared" si="22"/>
        <v>0</v>
      </c>
      <c r="E1438" t="s">
        <v>19</v>
      </c>
      <c r="F1438">
        <v>3</v>
      </c>
      <c r="G1438" t="s">
        <v>24</v>
      </c>
      <c r="H1438">
        <v>3</v>
      </c>
      <c r="I1438">
        <v>1</v>
      </c>
      <c r="J1438" t="s">
        <v>30</v>
      </c>
      <c r="K1438">
        <v>1</v>
      </c>
      <c r="L1438">
        <v>2380</v>
      </c>
      <c r="M1438" t="str" cm="1">
        <f t="array" ref="M1438">_xlfn.IFS(L1438&lt;= 7000,"Low",L1438&lt;=15000,"Medium",L1438&lt;=20000,"High")</f>
        <v>Low</v>
      </c>
      <c r="N1438" t="s">
        <v>18</v>
      </c>
      <c r="O1438">
        <v>11</v>
      </c>
      <c r="P1438">
        <v>3</v>
      </c>
      <c r="Q1438">
        <v>4</v>
      </c>
      <c r="R1438">
        <v>2</v>
      </c>
      <c r="S1438">
        <v>3</v>
      </c>
      <c r="T1438">
        <v>2</v>
      </c>
      <c r="U1438">
        <v>2</v>
      </c>
    </row>
    <row r="1439" spans="1:21" x14ac:dyDescent="0.35">
      <c r="A1439">
        <v>39</v>
      </c>
      <c r="B1439" t="str" cm="1">
        <f t="array" ref="B1439">_xlfn.IFS(A1439&gt;40,"Senior",A1439&gt;30,"Adult",A1439&gt;=18,"Teenager")</f>
        <v>Adult</v>
      </c>
      <c r="C1439" t="s">
        <v>22</v>
      </c>
      <c r="D1439">
        <f t="shared" si="22"/>
        <v>0</v>
      </c>
      <c r="E1439" t="s">
        <v>23</v>
      </c>
      <c r="F1439">
        <v>4</v>
      </c>
      <c r="G1439" t="s">
        <v>24</v>
      </c>
      <c r="H1439">
        <v>3</v>
      </c>
      <c r="I1439">
        <v>5</v>
      </c>
      <c r="J1439" t="s">
        <v>29</v>
      </c>
      <c r="K1439">
        <v>4</v>
      </c>
      <c r="L1439">
        <v>19431</v>
      </c>
      <c r="M1439" t="str" cm="1">
        <f t="array" ref="M1439">_xlfn.IFS(L1439&lt;= 7000,"Low",L1439&lt;=15000,"Medium",L1439&lt;=20000,"High")</f>
        <v>High</v>
      </c>
      <c r="N1439" t="s">
        <v>22</v>
      </c>
      <c r="O1439">
        <v>13</v>
      </c>
      <c r="P1439">
        <v>3</v>
      </c>
      <c r="Q1439">
        <v>3</v>
      </c>
      <c r="R1439">
        <v>21</v>
      </c>
      <c r="S1439">
        <v>2</v>
      </c>
      <c r="T1439">
        <v>6</v>
      </c>
      <c r="U1439">
        <v>0</v>
      </c>
    </row>
    <row r="1440" spans="1:21" x14ac:dyDescent="0.35">
      <c r="A1440">
        <v>23</v>
      </c>
      <c r="B1440" t="str" cm="1">
        <f t="array" ref="B1440">_xlfn.IFS(A1440&gt;40,"Senior",A1440&gt;30,"Adult",A1440&gt;=18,"Teenager")</f>
        <v>Teenager</v>
      </c>
      <c r="C1440" t="s">
        <v>18</v>
      </c>
      <c r="D1440">
        <f t="shared" si="22"/>
        <v>1</v>
      </c>
      <c r="E1440" t="s">
        <v>19</v>
      </c>
      <c r="F1440">
        <v>4</v>
      </c>
      <c r="G1440" t="s">
        <v>24</v>
      </c>
      <c r="H1440">
        <v>3</v>
      </c>
      <c r="I1440">
        <v>1</v>
      </c>
      <c r="J1440" t="s">
        <v>30</v>
      </c>
      <c r="K1440">
        <v>1</v>
      </c>
      <c r="L1440">
        <v>1790</v>
      </c>
      <c r="M1440" t="str" cm="1">
        <f t="array" ref="M1440">_xlfn.IFS(L1440&lt;= 7000,"Low",L1440&lt;=15000,"Medium",L1440&lt;=20000,"High")</f>
        <v>Low</v>
      </c>
      <c r="N1440" t="s">
        <v>22</v>
      </c>
      <c r="O1440">
        <v>19</v>
      </c>
      <c r="P1440">
        <v>3</v>
      </c>
      <c r="Q1440">
        <v>1</v>
      </c>
      <c r="R1440">
        <v>1</v>
      </c>
      <c r="S1440">
        <v>2</v>
      </c>
      <c r="T1440">
        <v>1</v>
      </c>
      <c r="U1440">
        <v>0</v>
      </c>
    </row>
    <row r="1441" spans="1:21" x14ac:dyDescent="0.35">
      <c r="A1441">
        <v>36</v>
      </c>
      <c r="B1441" t="str" cm="1">
        <f t="array" ref="B1441">_xlfn.IFS(A1441&gt;40,"Senior",A1441&gt;30,"Adult",A1441&gt;=18,"Teenager")</f>
        <v>Adult</v>
      </c>
      <c r="C1441" t="s">
        <v>22</v>
      </c>
      <c r="D1441">
        <f t="shared" si="22"/>
        <v>0</v>
      </c>
      <c r="E1441" t="s">
        <v>19</v>
      </c>
      <c r="F1441">
        <v>1</v>
      </c>
      <c r="G1441" t="s">
        <v>20</v>
      </c>
      <c r="H1441">
        <v>2</v>
      </c>
      <c r="I1441">
        <v>3</v>
      </c>
      <c r="J1441" t="s">
        <v>21</v>
      </c>
      <c r="K1441">
        <v>4</v>
      </c>
      <c r="L1441">
        <v>7644</v>
      </c>
      <c r="M1441" t="str" cm="1">
        <f t="array" ref="M1441">_xlfn.IFS(L1441&lt;= 7000,"Low",L1441&lt;=15000,"Medium",L1441&lt;=20000,"High")</f>
        <v>Medium</v>
      </c>
      <c r="N1441" t="s">
        <v>22</v>
      </c>
      <c r="O1441">
        <v>19</v>
      </c>
      <c r="P1441">
        <v>3</v>
      </c>
      <c r="Q1441">
        <v>3</v>
      </c>
      <c r="R1441">
        <v>10</v>
      </c>
      <c r="S1441">
        <v>3</v>
      </c>
      <c r="T1441">
        <v>9</v>
      </c>
      <c r="U1441">
        <v>7</v>
      </c>
    </row>
    <row r="1442" spans="1:21" x14ac:dyDescent="0.35">
      <c r="A1442">
        <v>36</v>
      </c>
      <c r="B1442" t="str" cm="1">
        <f t="array" ref="B1442">_xlfn.IFS(A1442&gt;40,"Senior",A1442&gt;30,"Adult",A1442&gt;=18,"Teenager")</f>
        <v>Adult</v>
      </c>
      <c r="C1442" t="s">
        <v>22</v>
      </c>
      <c r="D1442">
        <f t="shared" si="22"/>
        <v>0</v>
      </c>
      <c r="E1442" t="s">
        <v>23</v>
      </c>
      <c r="F1442">
        <v>4</v>
      </c>
      <c r="G1442" t="s">
        <v>20</v>
      </c>
      <c r="H1442">
        <v>3</v>
      </c>
      <c r="I1442">
        <v>2</v>
      </c>
      <c r="J1442" t="s">
        <v>27</v>
      </c>
      <c r="K1442">
        <v>2</v>
      </c>
      <c r="L1442">
        <v>5131</v>
      </c>
      <c r="M1442" t="str" cm="1">
        <f t="array" ref="M1442">_xlfn.IFS(L1442&lt;= 7000,"Low",L1442&lt;=15000,"Medium",L1442&lt;=20000,"High")</f>
        <v>Low</v>
      </c>
      <c r="N1442" t="s">
        <v>22</v>
      </c>
      <c r="O1442">
        <v>13</v>
      </c>
      <c r="P1442">
        <v>3</v>
      </c>
      <c r="Q1442">
        <v>2</v>
      </c>
      <c r="R1442">
        <v>18</v>
      </c>
      <c r="S1442">
        <v>3</v>
      </c>
      <c r="T1442">
        <v>4</v>
      </c>
      <c r="U1442">
        <v>2</v>
      </c>
    </row>
    <row r="1443" spans="1:21" x14ac:dyDescent="0.35">
      <c r="A1443">
        <v>56</v>
      </c>
      <c r="B1443" t="str" cm="1">
        <f t="array" ref="B1443">_xlfn.IFS(A1443&gt;40,"Senior",A1443&gt;30,"Adult",A1443&gt;=18,"Teenager")</f>
        <v>Senior</v>
      </c>
      <c r="C1443" t="s">
        <v>22</v>
      </c>
      <c r="D1443">
        <f t="shared" si="22"/>
        <v>0</v>
      </c>
      <c r="E1443" t="s">
        <v>23</v>
      </c>
      <c r="F1443">
        <v>3</v>
      </c>
      <c r="G1443" t="s">
        <v>24</v>
      </c>
      <c r="H1443">
        <v>3</v>
      </c>
      <c r="I1443">
        <v>2</v>
      </c>
      <c r="J1443" t="s">
        <v>28</v>
      </c>
      <c r="K1443">
        <v>3</v>
      </c>
      <c r="L1443">
        <v>6306</v>
      </c>
      <c r="M1443" t="str" cm="1">
        <f t="array" ref="M1443">_xlfn.IFS(L1443&lt;= 7000,"Low",L1443&lt;=15000,"Medium",L1443&lt;=20000,"High")</f>
        <v>Low</v>
      </c>
      <c r="N1443" t="s">
        <v>22</v>
      </c>
      <c r="O1443">
        <v>21</v>
      </c>
      <c r="P1443">
        <v>4</v>
      </c>
      <c r="Q1443">
        <v>1</v>
      </c>
      <c r="R1443">
        <v>13</v>
      </c>
      <c r="S1443">
        <v>2</v>
      </c>
      <c r="T1443">
        <v>13</v>
      </c>
      <c r="U1443">
        <v>12</v>
      </c>
    </row>
    <row r="1444" spans="1:21" x14ac:dyDescent="0.35">
      <c r="A1444">
        <v>29</v>
      </c>
      <c r="B1444" t="str" cm="1">
        <f t="array" ref="B1444">_xlfn.IFS(A1444&gt;40,"Senior",A1444&gt;30,"Adult",A1444&gt;=18,"Teenager")</f>
        <v>Teenager</v>
      </c>
      <c r="C1444" t="s">
        <v>18</v>
      </c>
      <c r="D1444">
        <f t="shared" si="22"/>
        <v>1</v>
      </c>
      <c r="E1444" t="s">
        <v>23</v>
      </c>
      <c r="F1444">
        <v>1</v>
      </c>
      <c r="G1444" t="s">
        <v>24</v>
      </c>
      <c r="H1444">
        <v>3</v>
      </c>
      <c r="I1444">
        <v>1</v>
      </c>
      <c r="J1444" t="s">
        <v>25</v>
      </c>
      <c r="K1444">
        <v>4</v>
      </c>
      <c r="L1444">
        <v>4787</v>
      </c>
      <c r="M1444" t="str" cm="1">
        <f t="array" ref="M1444">_xlfn.IFS(L1444&lt;= 7000,"Low",L1444&lt;=15000,"Medium",L1444&lt;=20000,"High")</f>
        <v>Low</v>
      </c>
      <c r="N1444" t="s">
        <v>18</v>
      </c>
      <c r="O1444">
        <v>14</v>
      </c>
      <c r="P1444">
        <v>3</v>
      </c>
      <c r="Q1444">
        <v>2</v>
      </c>
      <c r="R1444">
        <v>4</v>
      </c>
      <c r="S1444">
        <v>4</v>
      </c>
      <c r="T1444">
        <v>2</v>
      </c>
      <c r="U1444">
        <v>2</v>
      </c>
    </row>
    <row r="1445" spans="1:21" x14ac:dyDescent="0.35">
      <c r="A1445">
        <v>42</v>
      </c>
      <c r="B1445" t="str" cm="1">
        <f t="array" ref="B1445">_xlfn.IFS(A1445&gt;40,"Senior",A1445&gt;30,"Adult",A1445&gt;=18,"Teenager")</f>
        <v>Senior</v>
      </c>
      <c r="C1445" t="s">
        <v>22</v>
      </c>
      <c r="D1445">
        <f t="shared" si="22"/>
        <v>0</v>
      </c>
      <c r="E1445" t="s">
        <v>23</v>
      </c>
      <c r="F1445">
        <v>1</v>
      </c>
      <c r="G1445" t="s">
        <v>24</v>
      </c>
      <c r="H1445">
        <v>3</v>
      </c>
      <c r="I1445">
        <v>5</v>
      </c>
      <c r="J1445" t="s">
        <v>29</v>
      </c>
      <c r="K1445">
        <v>3</v>
      </c>
      <c r="L1445">
        <v>18880</v>
      </c>
      <c r="M1445" t="str" cm="1">
        <f t="array" ref="M1445">_xlfn.IFS(L1445&lt;= 7000,"Low",L1445&lt;=15000,"Medium",L1445&lt;=20000,"High")</f>
        <v>High</v>
      </c>
      <c r="N1445" t="s">
        <v>22</v>
      </c>
      <c r="O1445">
        <v>11</v>
      </c>
      <c r="P1445">
        <v>3</v>
      </c>
      <c r="Q1445">
        <v>1</v>
      </c>
      <c r="R1445">
        <v>24</v>
      </c>
      <c r="S1445">
        <v>2</v>
      </c>
      <c r="T1445">
        <v>22</v>
      </c>
      <c r="U1445">
        <v>6</v>
      </c>
    </row>
    <row r="1446" spans="1:21" x14ac:dyDescent="0.35">
      <c r="A1446">
        <v>56</v>
      </c>
      <c r="B1446" t="str" cm="1">
        <f t="array" ref="B1446">_xlfn.IFS(A1446&gt;40,"Senior",A1446&gt;30,"Adult",A1446&gt;=18,"Teenager")</f>
        <v>Senior</v>
      </c>
      <c r="C1446" t="s">
        <v>18</v>
      </c>
      <c r="D1446">
        <f t="shared" si="22"/>
        <v>1</v>
      </c>
      <c r="E1446" t="s">
        <v>23</v>
      </c>
      <c r="F1446">
        <v>4</v>
      </c>
      <c r="G1446" t="s">
        <v>24</v>
      </c>
      <c r="H1446">
        <v>3</v>
      </c>
      <c r="I1446">
        <v>1</v>
      </c>
      <c r="J1446" t="s">
        <v>26</v>
      </c>
      <c r="K1446">
        <v>3</v>
      </c>
      <c r="L1446">
        <v>2339</v>
      </c>
      <c r="M1446" t="str" cm="1">
        <f t="array" ref="M1446">_xlfn.IFS(L1446&lt;= 7000,"Low",L1446&lt;=15000,"Medium",L1446&lt;=20000,"High")</f>
        <v>Low</v>
      </c>
      <c r="N1446" t="s">
        <v>22</v>
      </c>
      <c r="O1446">
        <v>11</v>
      </c>
      <c r="P1446">
        <v>3</v>
      </c>
      <c r="Q1446">
        <v>4</v>
      </c>
      <c r="R1446">
        <v>14</v>
      </c>
      <c r="S1446">
        <v>1</v>
      </c>
      <c r="T1446">
        <v>10</v>
      </c>
      <c r="U1446">
        <v>9</v>
      </c>
    </row>
    <row r="1447" spans="1:21" x14ac:dyDescent="0.35">
      <c r="A1447">
        <v>41</v>
      </c>
      <c r="B1447" t="str" cm="1">
        <f t="array" ref="B1447">_xlfn.IFS(A1447&gt;40,"Senior",A1447&gt;30,"Adult",A1447&gt;=18,"Teenager")</f>
        <v>Senior</v>
      </c>
      <c r="C1447" t="s">
        <v>22</v>
      </c>
      <c r="D1447">
        <f t="shared" si="22"/>
        <v>0</v>
      </c>
      <c r="E1447" t="s">
        <v>23</v>
      </c>
      <c r="F1447">
        <v>1</v>
      </c>
      <c r="G1447" t="s">
        <v>20</v>
      </c>
      <c r="H1447">
        <v>2</v>
      </c>
      <c r="I1447">
        <v>4</v>
      </c>
      <c r="J1447" t="s">
        <v>27</v>
      </c>
      <c r="K1447">
        <v>2</v>
      </c>
      <c r="L1447">
        <v>13570</v>
      </c>
      <c r="M1447" t="str" cm="1">
        <f t="array" ref="M1447">_xlfn.IFS(L1447&lt;= 7000,"Low",L1447&lt;=15000,"Medium",L1447&lt;=20000,"High")</f>
        <v>Medium</v>
      </c>
      <c r="N1447" t="s">
        <v>22</v>
      </c>
      <c r="O1447">
        <v>23</v>
      </c>
      <c r="P1447">
        <v>4</v>
      </c>
      <c r="Q1447">
        <v>3</v>
      </c>
      <c r="R1447">
        <v>21</v>
      </c>
      <c r="S1447">
        <v>3</v>
      </c>
      <c r="T1447">
        <v>20</v>
      </c>
      <c r="U1447">
        <v>7</v>
      </c>
    </row>
    <row r="1448" spans="1:21" x14ac:dyDescent="0.35">
      <c r="A1448">
        <v>34</v>
      </c>
      <c r="B1448" t="str" cm="1">
        <f t="array" ref="B1448">_xlfn.IFS(A1448&gt;40,"Senior",A1448&gt;30,"Adult",A1448&gt;=18,"Teenager")</f>
        <v>Adult</v>
      </c>
      <c r="C1448" t="s">
        <v>22</v>
      </c>
      <c r="D1448">
        <f t="shared" si="22"/>
        <v>0</v>
      </c>
      <c r="E1448" t="s">
        <v>19</v>
      </c>
      <c r="F1448">
        <v>4</v>
      </c>
      <c r="G1448" t="s">
        <v>20</v>
      </c>
      <c r="H1448">
        <v>2</v>
      </c>
      <c r="I1448">
        <v>2</v>
      </c>
      <c r="J1448" t="s">
        <v>21</v>
      </c>
      <c r="K1448">
        <v>3</v>
      </c>
      <c r="L1448">
        <v>6712</v>
      </c>
      <c r="M1448" t="str" cm="1">
        <f t="array" ref="M1448">_xlfn.IFS(L1448&lt;= 7000,"Low",L1448&lt;=15000,"Medium",L1448&lt;=20000,"High")</f>
        <v>Low</v>
      </c>
      <c r="N1448" t="s">
        <v>22</v>
      </c>
      <c r="O1448">
        <v>21</v>
      </c>
      <c r="P1448">
        <v>4</v>
      </c>
      <c r="Q1448">
        <v>4</v>
      </c>
      <c r="R1448">
        <v>8</v>
      </c>
      <c r="S1448">
        <v>3</v>
      </c>
      <c r="T1448">
        <v>8</v>
      </c>
      <c r="U1448">
        <v>7</v>
      </c>
    </row>
    <row r="1449" spans="1:21" x14ac:dyDescent="0.35">
      <c r="A1449">
        <v>36</v>
      </c>
      <c r="B1449" t="str" cm="1">
        <f t="array" ref="B1449">_xlfn.IFS(A1449&gt;40,"Senior",A1449&gt;30,"Adult",A1449&gt;=18,"Teenager")</f>
        <v>Adult</v>
      </c>
      <c r="C1449" t="s">
        <v>22</v>
      </c>
      <c r="D1449">
        <f t="shared" si="22"/>
        <v>0</v>
      </c>
      <c r="E1449" t="s">
        <v>19</v>
      </c>
      <c r="F1449">
        <v>4</v>
      </c>
      <c r="G1449" t="s">
        <v>24</v>
      </c>
      <c r="H1449">
        <v>1</v>
      </c>
      <c r="I1449">
        <v>2</v>
      </c>
      <c r="J1449" t="s">
        <v>21</v>
      </c>
      <c r="K1449">
        <v>4</v>
      </c>
      <c r="L1449">
        <v>5406</v>
      </c>
      <c r="M1449" t="str" cm="1">
        <f t="array" ref="M1449">_xlfn.IFS(L1449&lt;= 7000,"Low",L1449&lt;=15000,"Medium",L1449&lt;=20000,"High")</f>
        <v>Low</v>
      </c>
      <c r="N1449" t="s">
        <v>22</v>
      </c>
      <c r="O1449">
        <v>24</v>
      </c>
      <c r="P1449">
        <v>4</v>
      </c>
      <c r="Q1449">
        <v>1</v>
      </c>
      <c r="R1449">
        <v>15</v>
      </c>
      <c r="S1449">
        <v>2</v>
      </c>
      <c r="T1449">
        <v>15</v>
      </c>
      <c r="U1449">
        <v>12</v>
      </c>
    </row>
    <row r="1450" spans="1:21" x14ac:dyDescent="0.35">
      <c r="A1450">
        <v>41</v>
      </c>
      <c r="B1450" t="str" cm="1">
        <f t="array" ref="B1450">_xlfn.IFS(A1450&gt;40,"Senior",A1450&gt;30,"Adult",A1450&gt;=18,"Teenager")</f>
        <v>Senior</v>
      </c>
      <c r="C1450" t="s">
        <v>22</v>
      </c>
      <c r="D1450">
        <f t="shared" si="22"/>
        <v>0</v>
      </c>
      <c r="E1450" t="s">
        <v>19</v>
      </c>
      <c r="F1450">
        <v>3</v>
      </c>
      <c r="G1450" t="s">
        <v>24</v>
      </c>
      <c r="H1450">
        <v>2</v>
      </c>
      <c r="I1450">
        <v>2</v>
      </c>
      <c r="J1450" t="s">
        <v>21</v>
      </c>
      <c r="K1450">
        <v>2</v>
      </c>
      <c r="L1450">
        <v>8938</v>
      </c>
      <c r="M1450" t="str" cm="1">
        <f t="array" ref="M1450">_xlfn.IFS(L1450&lt;= 7000,"Low",L1450&lt;=15000,"Medium",L1450&lt;=20000,"High")</f>
        <v>Medium</v>
      </c>
      <c r="N1450" t="s">
        <v>22</v>
      </c>
      <c r="O1450">
        <v>11</v>
      </c>
      <c r="P1450">
        <v>3</v>
      </c>
      <c r="Q1450">
        <v>3</v>
      </c>
      <c r="R1450">
        <v>14</v>
      </c>
      <c r="S1450">
        <v>3</v>
      </c>
      <c r="T1450">
        <v>5</v>
      </c>
      <c r="U1450">
        <v>4</v>
      </c>
    </row>
    <row r="1451" spans="1:21" x14ac:dyDescent="0.35">
      <c r="A1451">
        <v>32</v>
      </c>
      <c r="B1451" t="str" cm="1">
        <f t="array" ref="B1451">_xlfn.IFS(A1451&gt;40,"Senior",A1451&gt;30,"Adult",A1451&gt;=18,"Teenager")</f>
        <v>Adult</v>
      </c>
      <c r="C1451" t="s">
        <v>22</v>
      </c>
      <c r="D1451">
        <f t="shared" si="22"/>
        <v>0</v>
      </c>
      <c r="E1451" t="s">
        <v>23</v>
      </c>
      <c r="F1451">
        <v>4</v>
      </c>
      <c r="G1451" t="s">
        <v>24</v>
      </c>
      <c r="H1451">
        <v>3</v>
      </c>
      <c r="I1451">
        <v>1</v>
      </c>
      <c r="J1451" t="s">
        <v>25</v>
      </c>
      <c r="K1451">
        <v>1</v>
      </c>
      <c r="L1451">
        <v>2439</v>
      </c>
      <c r="M1451" t="str" cm="1">
        <f t="array" ref="M1451">_xlfn.IFS(L1451&lt;= 7000,"Low",L1451&lt;=15000,"Medium",L1451&lt;=20000,"High")</f>
        <v>Low</v>
      </c>
      <c r="N1451" t="s">
        <v>22</v>
      </c>
      <c r="O1451">
        <v>14</v>
      </c>
      <c r="P1451">
        <v>3</v>
      </c>
      <c r="Q1451">
        <v>4</v>
      </c>
      <c r="R1451">
        <v>4</v>
      </c>
      <c r="S1451">
        <v>3</v>
      </c>
      <c r="T1451">
        <v>4</v>
      </c>
      <c r="U1451">
        <v>2</v>
      </c>
    </row>
    <row r="1452" spans="1:21" x14ac:dyDescent="0.35">
      <c r="A1452">
        <v>35</v>
      </c>
      <c r="B1452" t="str" cm="1">
        <f t="array" ref="B1452">_xlfn.IFS(A1452&gt;40,"Senior",A1452&gt;30,"Adult",A1452&gt;=18,"Teenager")</f>
        <v>Adult</v>
      </c>
      <c r="C1452" t="s">
        <v>22</v>
      </c>
      <c r="D1452">
        <f t="shared" si="22"/>
        <v>0</v>
      </c>
      <c r="E1452" t="s">
        <v>32</v>
      </c>
      <c r="F1452">
        <v>3</v>
      </c>
      <c r="G1452" t="s">
        <v>20</v>
      </c>
      <c r="H1452">
        <v>3</v>
      </c>
      <c r="I1452">
        <v>3</v>
      </c>
      <c r="J1452" t="s">
        <v>32</v>
      </c>
      <c r="K1452">
        <v>4</v>
      </c>
      <c r="L1452">
        <v>8837</v>
      </c>
      <c r="M1452" t="str" cm="1">
        <f t="array" ref="M1452">_xlfn.IFS(L1452&lt;= 7000,"Low",L1452&lt;=15000,"Medium",L1452&lt;=20000,"High")</f>
        <v>Medium</v>
      </c>
      <c r="N1452" t="s">
        <v>18</v>
      </c>
      <c r="O1452">
        <v>16</v>
      </c>
      <c r="P1452">
        <v>3</v>
      </c>
      <c r="Q1452">
        <v>3</v>
      </c>
      <c r="R1452">
        <v>9</v>
      </c>
      <c r="S1452">
        <v>3</v>
      </c>
      <c r="T1452">
        <v>9</v>
      </c>
      <c r="U1452">
        <v>0</v>
      </c>
    </row>
    <row r="1453" spans="1:21" x14ac:dyDescent="0.35">
      <c r="A1453">
        <v>38</v>
      </c>
      <c r="B1453" t="str" cm="1">
        <f t="array" ref="B1453">_xlfn.IFS(A1453&gt;40,"Senior",A1453&gt;30,"Adult",A1453&gt;=18,"Teenager")</f>
        <v>Adult</v>
      </c>
      <c r="C1453" t="s">
        <v>22</v>
      </c>
      <c r="D1453">
        <f t="shared" si="22"/>
        <v>0</v>
      </c>
      <c r="E1453" t="s">
        <v>19</v>
      </c>
      <c r="F1453">
        <v>1</v>
      </c>
      <c r="G1453" t="s">
        <v>20</v>
      </c>
      <c r="H1453">
        <v>3</v>
      </c>
      <c r="I1453">
        <v>2</v>
      </c>
      <c r="J1453" t="s">
        <v>21</v>
      </c>
      <c r="K1453">
        <v>4</v>
      </c>
      <c r="L1453">
        <v>5343</v>
      </c>
      <c r="M1453" t="str" cm="1">
        <f t="array" ref="M1453">_xlfn.IFS(L1453&lt;= 7000,"Low",L1453&lt;=15000,"Medium",L1453&lt;=20000,"High")</f>
        <v>Low</v>
      </c>
      <c r="N1453" t="s">
        <v>22</v>
      </c>
      <c r="O1453">
        <v>11</v>
      </c>
      <c r="P1453">
        <v>3</v>
      </c>
      <c r="Q1453">
        <v>3</v>
      </c>
      <c r="R1453">
        <v>10</v>
      </c>
      <c r="S1453">
        <v>3</v>
      </c>
      <c r="T1453">
        <v>10</v>
      </c>
      <c r="U1453">
        <v>7</v>
      </c>
    </row>
    <row r="1454" spans="1:21" x14ac:dyDescent="0.35">
      <c r="A1454">
        <v>50</v>
      </c>
      <c r="B1454" t="str" cm="1">
        <f t="array" ref="B1454">_xlfn.IFS(A1454&gt;40,"Senior",A1454&gt;30,"Adult",A1454&gt;=18,"Teenager")</f>
        <v>Senior</v>
      </c>
      <c r="C1454" t="s">
        <v>18</v>
      </c>
      <c r="D1454">
        <f t="shared" si="22"/>
        <v>1</v>
      </c>
      <c r="E1454" t="s">
        <v>19</v>
      </c>
      <c r="F1454">
        <v>2</v>
      </c>
      <c r="G1454" t="s">
        <v>24</v>
      </c>
      <c r="H1454">
        <v>3</v>
      </c>
      <c r="I1454">
        <v>2</v>
      </c>
      <c r="J1454" t="s">
        <v>21</v>
      </c>
      <c r="K1454">
        <v>3</v>
      </c>
      <c r="L1454">
        <v>6728</v>
      </c>
      <c r="M1454" t="str" cm="1">
        <f t="array" ref="M1454">_xlfn.IFS(L1454&lt;= 7000,"Low",L1454&lt;=15000,"Medium",L1454&lt;=20000,"High")</f>
        <v>Low</v>
      </c>
      <c r="N1454" t="s">
        <v>22</v>
      </c>
      <c r="O1454">
        <v>12</v>
      </c>
      <c r="P1454">
        <v>3</v>
      </c>
      <c r="Q1454">
        <v>4</v>
      </c>
      <c r="R1454">
        <v>12</v>
      </c>
      <c r="S1454">
        <v>3</v>
      </c>
      <c r="T1454">
        <v>6</v>
      </c>
      <c r="U1454">
        <v>3</v>
      </c>
    </row>
    <row r="1455" spans="1:21" x14ac:dyDescent="0.35">
      <c r="A1455">
        <v>36</v>
      </c>
      <c r="B1455" t="str" cm="1">
        <f t="array" ref="B1455">_xlfn.IFS(A1455&gt;40,"Senior",A1455&gt;30,"Adult",A1455&gt;=18,"Teenager")</f>
        <v>Adult</v>
      </c>
      <c r="C1455" t="s">
        <v>22</v>
      </c>
      <c r="D1455">
        <f t="shared" si="22"/>
        <v>0</v>
      </c>
      <c r="E1455" t="s">
        <v>19</v>
      </c>
      <c r="F1455">
        <v>2</v>
      </c>
      <c r="G1455" t="s">
        <v>20</v>
      </c>
      <c r="H1455">
        <v>2</v>
      </c>
      <c r="I1455">
        <v>2</v>
      </c>
      <c r="J1455" t="s">
        <v>21</v>
      </c>
      <c r="K1455">
        <v>4</v>
      </c>
      <c r="L1455">
        <v>6652</v>
      </c>
      <c r="M1455" t="str" cm="1">
        <f t="array" ref="M1455">_xlfn.IFS(L1455&lt;= 7000,"Low",L1455&lt;=15000,"Medium",L1455&lt;=20000,"High")</f>
        <v>Low</v>
      </c>
      <c r="N1455" t="s">
        <v>22</v>
      </c>
      <c r="O1455">
        <v>13</v>
      </c>
      <c r="P1455">
        <v>3</v>
      </c>
      <c r="Q1455">
        <v>1</v>
      </c>
      <c r="R1455">
        <v>8</v>
      </c>
      <c r="S1455">
        <v>2</v>
      </c>
      <c r="T1455">
        <v>6</v>
      </c>
      <c r="U1455">
        <v>3</v>
      </c>
    </row>
    <row r="1456" spans="1:21" x14ac:dyDescent="0.35">
      <c r="A1456">
        <v>45</v>
      </c>
      <c r="B1456" t="str" cm="1">
        <f t="array" ref="B1456">_xlfn.IFS(A1456&gt;40,"Senior",A1456&gt;30,"Adult",A1456&gt;=18,"Teenager")</f>
        <v>Senior</v>
      </c>
      <c r="C1456" t="s">
        <v>22</v>
      </c>
      <c r="D1456">
        <f t="shared" si="22"/>
        <v>0</v>
      </c>
      <c r="E1456" t="s">
        <v>19</v>
      </c>
      <c r="F1456">
        <v>4</v>
      </c>
      <c r="G1456" t="s">
        <v>20</v>
      </c>
      <c r="H1456">
        <v>3</v>
      </c>
      <c r="I1456">
        <v>2</v>
      </c>
      <c r="J1456" t="s">
        <v>21</v>
      </c>
      <c r="K1456">
        <v>3</v>
      </c>
      <c r="L1456">
        <v>4850</v>
      </c>
      <c r="M1456" t="str" cm="1">
        <f t="array" ref="M1456">_xlfn.IFS(L1456&lt;= 7000,"Low",L1456&lt;=15000,"Medium",L1456&lt;=20000,"High")</f>
        <v>Low</v>
      </c>
      <c r="N1456" t="s">
        <v>22</v>
      </c>
      <c r="O1456">
        <v>15</v>
      </c>
      <c r="P1456">
        <v>3</v>
      </c>
      <c r="Q1456">
        <v>3</v>
      </c>
      <c r="R1456">
        <v>8</v>
      </c>
      <c r="S1456">
        <v>3</v>
      </c>
      <c r="T1456">
        <v>5</v>
      </c>
      <c r="U1456">
        <v>3</v>
      </c>
    </row>
    <row r="1457" spans="1:21" x14ac:dyDescent="0.35">
      <c r="A1457">
        <v>40</v>
      </c>
      <c r="B1457" t="str" cm="1">
        <f t="array" ref="B1457">_xlfn.IFS(A1457&gt;40,"Senior",A1457&gt;30,"Adult",A1457&gt;=18,"Teenager")</f>
        <v>Adult</v>
      </c>
      <c r="C1457" t="s">
        <v>22</v>
      </c>
      <c r="D1457">
        <f t="shared" si="22"/>
        <v>0</v>
      </c>
      <c r="E1457" t="s">
        <v>23</v>
      </c>
      <c r="F1457">
        <v>3</v>
      </c>
      <c r="G1457" t="s">
        <v>24</v>
      </c>
      <c r="H1457">
        <v>2</v>
      </c>
      <c r="I1457">
        <v>1</v>
      </c>
      <c r="J1457" t="s">
        <v>25</v>
      </c>
      <c r="K1457">
        <v>3</v>
      </c>
      <c r="L1457">
        <v>2809</v>
      </c>
      <c r="M1457" t="str" cm="1">
        <f t="array" ref="M1457">_xlfn.IFS(L1457&lt;= 7000,"Low",L1457&lt;=15000,"Medium",L1457&lt;=20000,"High")</f>
        <v>Low</v>
      </c>
      <c r="N1457" t="s">
        <v>22</v>
      </c>
      <c r="O1457">
        <v>14</v>
      </c>
      <c r="P1457">
        <v>3</v>
      </c>
      <c r="Q1457">
        <v>4</v>
      </c>
      <c r="R1457">
        <v>8</v>
      </c>
      <c r="S1457">
        <v>3</v>
      </c>
      <c r="T1457">
        <v>2</v>
      </c>
      <c r="U1457">
        <v>2</v>
      </c>
    </row>
    <row r="1458" spans="1:21" x14ac:dyDescent="0.35">
      <c r="A1458">
        <v>35</v>
      </c>
      <c r="B1458" t="str" cm="1">
        <f t="array" ref="B1458">_xlfn.IFS(A1458&gt;40,"Senior",A1458&gt;30,"Adult",A1458&gt;=18,"Teenager")</f>
        <v>Adult</v>
      </c>
      <c r="C1458" t="s">
        <v>22</v>
      </c>
      <c r="D1458">
        <f t="shared" si="22"/>
        <v>0</v>
      </c>
      <c r="E1458" t="s">
        <v>23</v>
      </c>
      <c r="F1458">
        <v>3</v>
      </c>
      <c r="G1458" t="s">
        <v>24</v>
      </c>
      <c r="H1458">
        <v>3</v>
      </c>
      <c r="I1458">
        <v>2</v>
      </c>
      <c r="J1458" t="s">
        <v>28</v>
      </c>
      <c r="K1458">
        <v>3</v>
      </c>
      <c r="L1458">
        <v>5689</v>
      </c>
      <c r="M1458" t="str" cm="1">
        <f t="array" ref="M1458">_xlfn.IFS(L1458&lt;= 7000,"Low",L1458&lt;=15000,"Medium",L1458&lt;=20000,"High")</f>
        <v>Low</v>
      </c>
      <c r="N1458" t="s">
        <v>18</v>
      </c>
      <c r="O1458">
        <v>14</v>
      </c>
      <c r="P1458">
        <v>3</v>
      </c>
      <c r="Q1458">
        <v>4</v>
      </c>
      <c r="R1458">
        <v>10</v>
      </c>
      <c r="S1458">
        <v>4</v>
      </c>
      <c r="T1458">
        <v>10</v>
      </c>
      <c r="U1458">
        <v>2</v>
      </c>
    </row>
    <row r="1459" spans="1:21" x14ac:dyDescent="0.35">
      <c r="A1459">
        <v>40</v>
      </c>
      <c r="B1459" t="str" cm="1">
        <f t="array" ref="B1459">_xlfn.IFS(A1459&gt;40,"Senior",A1459&gt;30,"Adult",A1459&gt;=18,"Teenager")</f>
        <v>Adult</v>
      </c>
      <c r="C1459" t="s">
        <v>22</v>
      </c>
      <c r="D1459">
        <f t="shared" si="22"/>
        <v>0</v>
      </c>
      <c r="E1459" t="s">
        <v>23</v>
      </c>
      <c r="F1459">
        <v>3</v>
      </c>
      <c r="G1459" t="s">
        <v>20</v>
      </c>
      <c r="H1459">
        <v>3</v>
      </c>
      <c r="I1459">
        <v>1</v>
      </c>
      <c r="J1459" t="s">
        <v>25</v>
      </c>
      <c r="K1459">
        <v>3</v>
      </c>
      <c r="L1459">
        <v>2001</v>
      </c>
      <c r="M1459" t="str" cm="1">
        <f t="array" ref="M1459">_xlfn.IFS(L1459&lt;= 7000,"Low",L1459&lt;=15000,"Medium",L1459&lt;=20000,"High")</f>
        <v>Low</v>
      </c>
      <c r="N1459" t="s">
        <v>22</v>
      </c>
      <c r="O1459">
        <v>14</v>
      </c>
      <c r="P1459">
        <v>3</v>
      </c>
      <c r="Q1459">
        <v>2</v>
      </c>
      <c r="R1459">
        <v>20</v>
      </c>
      <c r="S1459">
        <v>3</v>
      </c>
      <c r="T1459">
        <v>5</v>
      </c>
      <c r="U1459">
        <v>3</v>
      </c>
    </row>
    <row r="1460" spans="1:21" x14ac:dyDescent="0.35">
      <c r="A1460">
        <v>35</v>
      </c>
      <c r="B1460" t="str" cm="1">
        <f t="array" ref="B1460">_xlfn.IFS(A1460&gt;40,"Senior",A1460&gt;30,"Adult",A1460&gt;=18,"Teenager")</f>
        <v>Adult</v>
      </c>
      <c r="C1460" t="s">
        <v>22</v>
      </c>
      <c r="D1460">
        <f t="shared" si="22"/>
        <v>0</v>
      </c>
      <c r="E1460" t="s">
        <v>23</v>
      </c>
      <c r="F1460">
        <v>3</v>
      </c>
      <c r="G1460" t="s">
        <v>20</v>
      </c>
      <c r="H1460">
        <v>1</v>
      </c>
      <c r="I1460">
        <v>1</v>
      </c>
      <c r="J1460" t="s">
        <v>25</v>
      </c>
      <c r="K1460">
        <v>4</v>
      </c>
      <c r="L1460">
        <v>2977</v>
      </c>
      <c r="M1460" t="str" cm="1">
        <f t="array" ref="M1460">_xlfn.IFS(L1460&lt;= 7000,"Low",L1460&lt;=15000,"Medium",L1460&lt;=20000,"High")</f>
        <v>Low</v>
      </c>
      <c r="N1460" t="s">
        <v>22</v>
      </c>
      <c r="O1460">
        <v>12</v>
      </c>
      <c r="P1460">
        <v>3</v>
      </c>
      <c r="Q1460">
        <v>4</v>
      </c>
      <c r="R1460">
        <v>4</v>
      </c>
      <c r="S1460">
        <v>3</v>
      </c>
      <c r="T1460">
        <v>4</v>
      </c>
      <c r="U1460">
        <v>3</v>
      </c>
    </row>
    <row r="1461" spans="1:21" x14ac:dyDescent="0.35">
      <c r="A1461">
        <v>29</v>
      </c>
      <c r="B1461" t="str" cm="1">
        <f t="array" ref="B1461">_xlfn.IFS(A1461&gt;40,"Senior",A1461&gt;30,"Adult",A1461&gt;=18,"Teenager")</f>
        <v>Teenager</v>
      </c>
      <c r="C1461" t="s">
        <v>22</v>
      </c>
      <c r="D1461">
        <f t="shared" si="22"/>
        <v>0</v>
      </c>
      <c r="E1461" t="s">
        <v>23</v>
      </c>
      <c r="F1461">
        <v>4</v>
      </c>
      <c r="G1461" t="s">
        <v>24</v>
      </c>
      <c r="H1461">
        <v>2</v>
      </c>
      <c r="I1461">
        <v>2</v>
      </c>
      <c r="J1461" t="s">
        <v>26</v>
      </c>
      <c r="K1461">
        <v>2</v>
      </c>
      <c r="L1461">
        <v>4025</v>
      </c>
      <c r="M1461" t="str" cm="1">
        <f t="array" ref="M1461">_xlfn.IFS(L1461&lt;= 7000,"Low",L1461&lt;=15000,"Medium",L1461&lt;=20000,"High")</f>
        <v>Low</v>
      </c>
      <c r="N1461" t="s">
        <v>18</v>
      </c>
      <c r="O1461">
        <v>13</v>
      </c>
      <c r="P1461">
        <v>3</v>
      </c>
      <c r="Q1461">
        <v>1</v>
      </c>
      <c r="R1461">
        <v>10</v>
      </c>
      <c r="S1461">
        <v>3</v>
      </c>
      <c r="T1461">
        <v>4</v>
      </c>
      <c r="U1461">
        <v>3</v>
      </c>
    </row>
    <row r="1462" spans="1:21" x14ac:dyDescent="0.35">
      <c r="A1462">
        <v>29</v>
      </c>
      <c r="B1462" t="str" cm="1">
        <f t="array" ref="B1462">_xlfn.IFS(A1462&gt;40,"Senior",A1462&gt;30,"Adult",A1462&gt;=18,"Teenager")</f>
        <v>Teenager</v>
      </c>
      <c r="C1462" t="s">
        <v>22</v>
      </c>
      <c r="D1462">
        <f t="shared" si="22"/>
        <v>0</v>
      </c>
      <c r="E1462" t="s">
        <v>23</v>
      </c>
      <c r="F1462">
        <v>4</v>
      </c>
      <c r="G1462" t="s">
        <v>20</v>
      </c>
      <c r="H1462">
        <v>2</v>
      </c>
      <c r="I1462">
        <v>1</v>
      </c>
      <c r="J1462" t="s">
        <v>25</v>
      </c>
      <c r="K1462">
        <v>1</v>
      </c>
      <c r="L1462">
        <v>3785</v>
      </c>
      <c r="M1462" t="str" cm="1">
        <f t="array" ref="M1462">_xlfn.IFS(L1462&lt;= 7000,"Low",L1462&lt;=15000,"Medium",L1462&lt;=20000,"High")</f>
        <v>Low</v>
      </c>
      <c r="N1462" t="s">
        <v>22</v>
      </c>
      <c r="O1462">
        <v>14</v>
      </c>
      <c r="P1462">
        <v>3</v>
      </c>
      <c r="Q1462">
        <v>2</v>
      </c>
      <c r="R1462">
        <v>5</v>
      </c>
      <c r="S1462">
        <v>1</v>
      </c>
      <c r="T1462">
        <v>5</v>
      </c>
      <c r="U1462">
        <v>4</v>
      </c>
    </row>
    <row r="1463" spans="1:21" x14ac:dyDescent="0.35">
      <c r="A1463">
        <v>50</v>
      </c>
      <c r="B1463" t="str" cm="1">
        <f t="array" ref="B1463">_xlfn.IFS(A1463&gt;40,"Senior",A1463&gt;30,"Adult",A1463&gt;=18,"Teenager")</f>
        <v>Senior</v>
      </c>
      <c r="C1463" t="s">
        <v>18</v>
      </c>
      <c r="D1463">
        <f t="shared" si="22"/>
        <v>1</v>
      </c>
      <c r="E1463" t="s">
        <v>19</v>
      </c>
      <c r="F1463">
        <v>4</v>
      </c>
      <c r="G1463" t="s">
        <v>24</v>
      </c>
      <c r="H1463">
        <v>2</v>
      </c>
      <c r="I1463">
        <v>3</v>
      </c>
      <c r="J1463" t="s">
        <v>21</v>
      </c>
      <c r="K1463">
        <v>1</v>
      </c>
      <c r="L1463">
        <v>10854</v>
      </c>
      <c r="M1463" t="str" cm="1">
        <f t="array" ref="M1463">_xlfn.IFS(L1463&lt;= 7000,"Low",L1463&lt;=15000,"Medium",L1463&lt;=20000,"High")</f>
        <v>Medium</v>
      </c>
      <c r="N1463" t="s">
        <v>18</v>
      </c>
      <c r="O1463">
        <v>13</v>
      </c>
      <c r="P1463">
        <v>3</v>
      </c>
      <c r="Q1463">
        <v>2</v>
      </c>
      <c r="R1463">
        <v>20</v>
      </c>
      <c r="S1463">
        <v>3</v>
      </c>
      <c r="T1463">
        <v>3</v>
      </c>
      <c r="U1463">
        <v>2</v>
      </c>
    </row>
    <row r="1464" spans="1:21" x14ac:dyDescent="0.35">
      <c r="A1464">
        <v>39</v>
      </c>
      <c r="B1464" t="str" cm="1">
        <f t="array" ref="B1464">_xlfn.IFS(A1464&gt;40,"Senior",A1464&gt;30,"Adult",A1464&gt;=18,"Teenager")</f>
        <v>Adult</v>
      </c>
      <c r="C1464" t="s">
        <v>22</v>
      </c>
      <c r="D1464">
        <f t="shared" si="22"/>
        <v>0</v>
      </c>
      <c r="E1464" t="s">
        <v>19</v>
      </c>
      <c r="F1464">
        <v>2</v>
      </c>
      <c r="G1464" t="s">
        <v>20</v>
      </c>
      <c r="H1464">
        <v>2</v>
      </c>
      <c r="I1464">
        <v>4</v>
      </c>
      <c r="J1464" t="s">
        <v>21</v>
      </c>
      <c r="K1464">
        <v>4</v>
      </c>
      <c r="L1464">
        <v>12031</v>
      </c>
      <c r="M1464" t="str" cm="1">
        <f t="array" ref="M1464">_xlfn.IFS(L1464&lt;= 7000,"Low",L1464&lt;=15000,"Medium",L1464&lt;=20000,"High")</f>
        <v>Medium</v>
      </c>
      <c r="N1464" t="s">
        <v>22</v>
      </c>
      <c r="O1464">
        <v>11</v>
      </c>
      <c r="P1464">
        <v>3</v>
      </c>
      <c r="Q1464">
        <v>1</v>
      </c>
      <c r="R1464">
        <v>21</v>
      </c>
      <c r="S1464">
        <v>2</v>
      </c>
      <c r="T1464">
        <v>20</v>
      </c>
      <c r="U1464">
        <v>9</v>
      </c>
    </row>
    <row r="1465" spans="1:21" x14ac:dyDescent="0.35">
      <c r="A1465">
        <v>31</v>
      </c>
      <c r="B1465" t="str" cm="1">
        <f t="array" ref="B1465">_xlfn.IFS(A1465&gt;40,"Senior",A1465&gt;30,"Adult",A1465&gt;=18,"Teenager")</f>
        <v>Adult</v>
      </c>
      <c r="C1465" t="s">
        <v>22</v>
      </c>
      <c r="D1465">
        <f t="shared" si="22"/>
        <v>0</v>
      </c>
      <c r="E1465" t="s">
        <v>23</v>
      </c>
      <c r="F1465">
        <v>2</v>
      </c>
      <c r="G1465" t="s">
        <v>24</v>
      </c>
      <c r="H1465">
        <v>3</v>
      </c>
      <c r="I1465">
        <v>2</v>
      </c>
      <c r="J1465" t="s">
        <v>27</v>
      </c>
      <c r="K1465">
        <v>1</v>
      </c>
      <c r="L1465">
        <v>9936</v>
      </c>
      <c r="M1465" t="str" cm="1">
        <f t="array" ref="M1465">_xlfn.IFS(L1465&lt;= 7000,"Low",L1465&lt;=15000,"Medium",L1465&lt;=20000,"High")</f>
        <v>Medium</v>
      </c>
      <c r="N1465" t="s">
        <v>22</v>
      </c>
      <c r="O1465">
        <v>19</v>
      </c>
      <c r="P1465">
        <v>3</v>
      </c>
      <c r="Q1465">
        <v>2</v>
      </c>
      <c r="R1465">
        <v>10</v>
      </c>
      <c r="S1465">
        <v>3</v>
      </c>
      <c r="T1465">
        <v>9</v>
      </c>
      <c r="U1465">
        <v>4</v>
      </c>
    </row>
    <row r="1466" spans="1:21" x14ac:dyDescent="0.35">
      <c r="A1466">
        <v>26</v>
      </c>
      <c r="B1466" t="str" cm="1">
        <f t="array" ref="B1466">_xlfn.IFS(A1466&gt;40,"Senior",A1466&gt;30,"Adult",A1466&gt;=18,"Teenager")</f>
        <v>Teenager</v>
      </c>
      <c r="C1466" t="s">
        <v>22</v>
      </c>
      <c r="D1466">
        <f t="shared" si="22"/>
        <v>0</v>
      </c>
      <c r="E1466" t="s">
        <v>19</v>
      </c>
      <c r="F1466">
        <v>4</v>
      </c>
      <c r="G1466" t="s">
        <v>20</v>
      </c>
      <c r="H1466">
        <v>2</v>
      </c>
      <c r="I1466">
        <v>1</v>
      </c>
      <c r="J1466" t="s">
        <v>30</v>
      </c>
      <c r="K1466">
        <v>3</v>
      </c>
      <c r="L1466">
        <v>2966</v>
      </c>
      <c r="M1466" t="str" cm="1">
        <f t="array" ref="M1466">_xlfn.IFS(L1466&lt;= 7000,"Low",L1466&lt;=15000,"Medium",L1466&lt;=20000,"High")</f>
        <v>Low</v>
      </c>
      <c r="N1466" t="s">
        <v>22</v>
      </c>
      <c r="O1466">
        <v>18</v>
      </c>
      <c r="P1466">
        <v>3</v>
      </c>
      <c r="Q1466">
        <v>4</v>
      </c>
      <c r="R1466">
        <v>5</v>
      </c>
      <c r="S1466">
        <v>3</v>
      </c>
      <c r="T1466">
        <v>4</v>
      </c>
      <c r="U1466">
        <v>2</v>
      </c>
    </row>
    <row r="1467" spans="1:21" x14ac:dyDescent="0.35">
      <c r="A1467">
        <v>36</v>
      </c>
      <c r="B1467" t="str" cm="1">
        <f t="array" ref="B1467">_xlfn.IFS(A1467&gt;40,"Senior",A1467&gt;30,"Adult",A1467&gt;=18,"Teenager")</f>
        <v>Adult</v>
      </c>
      <c r="C1467" t="s">
        <v>22</v>
      </c>
      <c r="D1467">
        <f t="shared" si="22"/>
        <v>0</v>
      </c>
      <c r="E1467" t="s">
        <v>23</v>
      </c>
      <c r="F1467">
        <v>3</v>
      </c>
      <c r="G1467" t="s">
        <v>24</v>
      </c>
      <c r="H1467">
        <v>4</v>
      </c>
      <c r="I1467">
        <v>2</v>
      </c>
      <c r="J1467" t="s">
        <v>26</v>
      </c>
      <c r="K1467">
        <v>4</v>
      </c>
      <c r="L1467">
        <v>2571</v>
      </c>
      <c r="M1467" t="str" cm="1">
        <f t="array" ref="M1467">_xlfn.IFS(L1467&lt;= 7000,"Low",L1467&lt;=15000,"Medium",L1467&lt;=20000,"High")</f>
        <v>Low</v>
      </c>
      <c r="N1467" t="s">
        <v>22</v>
      </c>
      <c r="O1467">
        <v>17</v>
      </c>
      <c r="P1467">
        <v>3</v>
      </c>
      <c r="Q1467">
        <v>3</v>
      </c>
      <c r="R1467">
        <v>17</v>
      </c>
      <c r="S1467">
        <v>3</v>
      </c>
      <c r="T1467">
        <v>5</v>
      </c>
      <c r="U1467">
        <v>2</v>
      </c>
    </row>
    <row r="1468" spans="1:21" x14ac:dyDescent="0.35">
      <c r="A1468">
        <v>39</v>
      </c>
      <c r="B1468" t="str" cm="1">
        <f t="array" ref="B1468">_xlfn.IFS(A1468&gt;40,"Senior",A1468&gt;30,"Adult",A1468&gt;=18,"Teenager")</f>
        <v>Adult</v>
      </c>
      <c r="C1468" t="s">
        <v>22</v>
      </c>
      <c r="D1468">
        <f t="shared" si="22"/>
        <v>0</v>
      </c>
      <c r="E1468" t="s">
        <v>23</v>
      </c>
      <c r="F1468">
        <v>4</v>
      </c>
      <c r="G1468" t="s">
        <v>24</v>
      </c>
      <c r="H1468">
        <v>2</v>
      </c>
      <c r="I1468">
        <v>3</v>
      </c>
      <c r="J1468" t="s">
        <v>28</v>
      </c>
      <c r="K1468">
        <v>1</v>
      </c>
      <c r="L1468">
        <v>9991</v>
      </c>
      <c r="M1468" t="str" cm="1">
        <f t="array" ref="M1468">_xlfn.IFS(L1468&lt;= 7000,"Low",L1468&lt;=15000,"Medium",L1468&lt;=20000,"High")</f>
        <v>Medium</v>
      </c>
      <c r="N1468" t="s">
        <v>22</v>
      </c>
      <c r="O1468">
        <v>15</v>
      </c>
      <c r="P1468">
        <v>3</v>
      </c>
      <c r="Q1468">
        <v>1</v>
      </c>
      <c r="R1468">
        <v>9</v>
      </c>
      <c r="S1468">
        <v>3</v>
      </c>
      <c r="T1468">
        <v>7</v>
      </c>
      <c r="U1468">
        <v>7</v>
      </c>
    </row>
    <row r="1469" spans="1:21" x14ac:dyDescent="0.35">
      <c r="A1469">
        <v>27</v>
      </c>
      <c r="B1469" t="str" cm="1">
        <f t="array" ref="B1469">_xlfn.IFS(A1469&gt;40,"Senior",A1469&gt;30,"Adult",A1469&gt;=18,"Teenager")</f>
        <v>Teenager</v>
      </c>
      <c r="C1469" t="s">
        <v>22</v>
      </c>
      <c r="D1469">
        <f t="shared" si="22"/>
        <v>0</v>
      </c>
      <c r="E1469" t="s">
        <v>23</v>
      </c>
      <c r="F1469">
        <v>2</v>
      </c>
      <c r="G1469" t="s">
        <v>24</v>
      </c>
      <c r="H1469">
        <v>4</v>
      </c>
      <c r="I1469">
        <v>2</v>
      </c>
      <c r="J1469" t="s">
        <v>27</v>
      </c>
      <c r="K1469">
        <v>2</v>
      </c>
      <c r="L1469">
        <v>6142</v>
      </c>
      <c r="M1469" t="str" cm="1">
        <f t="array" ref="M1469">_xlfn.IFS(L1469&lt;= 7000,"Low",L1469&lt;=15000,"Medium",L1469&lt;=20000,"High")</f>
        <v>Low</v>
      </c>
      <c r="N1469" t="s">
        <v>18</v>
      </c>
      <c r="O1469">
        <v>20</v>
      </c>
      <c r="P1469">
        <v>4</v>
      </c>
      <c r="Q1469">
        <v>2</v>
      </c>
      <c r="R1469">
        <v>6</v>
      </c>
      <c r="S1469">
        <v>3</v>
      </c>
      <c r="T1469">
        <v>6</v>
      </c>
      <c r="U1469">
        <v>2</v>
      </c>
    </row>
    <row r="1470" spans="1:21" x14ac:dyDescent="0.35">
      <c r="A1470">
        <v>49</v>
      </c>
      <c r="B1470" t="str" cm="1">
        <f t="array" ref="B1470">_xlfn.IFS(A1470&gt;40,"Senior",A1470&gt;30,"Adult",A1470&gt;=18,"Teenager")</f>
        <v>Senior</v>
      </c>
      <c r="C1470" t="s">
        <v>22</v>
      </c>
      <c r="D1470">
        <f t="shared" si="22"/>
        <v>0</v>
      </c>
      <c r="E1470" t="s">
        <v>19</v>
      </c>
      <c r="F1470">
        <v>4</v>
      </c>
      <c r="G1470" t="s">
        <v>24</v>
      </c>
      <c r="H1470">
        <v>2</v>
      </c>
      <c r="I1470">
        <v>2</v>
      </c>
      <c r="J1470" t="s">
        <v>21</v>
      </c>
      <c r="K1470">
        <v>2</v>
      </c>
      <c r="L1470">
        <v>5390</v>
      </c>
      <c r="M1470" t="str" cm="1">
        <f t="array" ref="M1470">_xlfn.IFS(L1470&lt;= 7000,"Low",L1470&lt;=15000,"Medium",L1470&lt;=20000,"High")</f>
        <v>Low</v>
      </c>
      <c r="N1470" t="s">
        <v>22</v>
      </c>
      <c r="O1470">
        <v>14</v>
      </c>
      <c r="P1470">
        <v>3</v>
      </c>
      <c r="Q1470">
        <v>4</v>
      </c>
      <c r="R1470">
        <v>17</v>
      </c>
      <c r="S1470">
        <v>2</v>
      </c>
      <c r="T1470">
        <v>9</v>
      </c>
      <c r="U1470">
        <v>6</v>
      </c>
    </row>
    <row r="1471" spans="1:21" x14ac:dyDescent="0.35">
      <c r="A1471">
        <v>34</v>
      </c>
      <c r="B1471" t="str" cm="1">
        <f t="array" ref="B1471">_xlfn.IFS(A1471&gt;40,"Senior",A1471&gt;30,"Adult",A1471&gt;=18,"Teenager")</f>
        <v>Adult</v>
      </c>
      <c r="C1471" t="s">
        <v>22</v>
      </c>
      <c r="D1471">
        <f t="shared" si="22"/>
        <v>0</v>
      </c>
      <c r="E1471" t="s">
        <v>23</v>
      </c>
      <c r="F1471">
        <v>2</v>
      </c>
      <c r="G1471" t="s">
        <v>24</v>
      </c>
      <c r="H1471">
        <v>4</v>
      </c>
      <c r="I1471">
        <v>2</v>
      </c>
      <c r="J1471" t="s">
        <v>26</v>
      </c>
      <c r="K1471">
        <v>3</v>
      </c>
      <c r="L1471">
        <v>4404</v>
      </c>
      <c r="M1471" t="str" cm="1">
        <f t="array" ref="M1471">_xlfn.IFS(L1471&lt;= 7000,"Low",L1471&lt;=15000,"Medium",L1471&lt;=20000,"High")</f>
        <v>Low</v>
      </c>
      <c r="N1471" t="s">
        <v>22</v>
      </c>
      <c r="O1471">
        <v>12</v>
      </c>
      <c r="P1471">
        <v>3</v>
      </c>
      <c r="Q1471">
        <v>1</v>
      </c>
      <c r="R1471">
        <v>6</v>
      </c>
      <c r="S1471">
        <v>4</v>
      </c>
      <c r="T1471">
        <v>4</v>
      </c>
      <c r="U1471">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Age Group Attribution</vt:lpstr>
      <vt:lpstr>Dashboard</vt:lpstr>
      <vt:lpstr>Income Group Attribution</vt:lpstr>
      <vt:lpstr>Male Vs Female</vt:lpstr>
      <vt:lpstr>Monthly Income vs Job Level</vt:lpstr>
      <vt:lpstr>Job Satisfaction &amp; Performance </vt:lpstr>
      <vt:lpstr>Job Role </vt:lpstr>
      <vt:lpstr>HR-Employee-Attrition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Nikitaa</dc:creator>
  <cp:lastModifiedBy>Nikita Sharma</cp:lastModifiedBy>
  <dcterms:created xsi:type="dcterms:W3CDTF">2026-02-13T11:08:04Z</dcterms:created>
  <dcterms:modified xsi:type="dcterms:W3CDTF">2026-03-10T08:21:03Z</dcterms:modified>
</cp:coreProperties>
</file>